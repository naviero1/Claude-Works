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Read Me &amp; Criteria"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Plan of Action" sheetId="7" state="visible" r:id="rId7"/>
    <sheet name="Call Questionnaire" sheetId="8" state="visible" r:id="rId8"/>
    <sheet name="Action Items" sheetId="9" state="visible" r:id="rId9"/>
    <sheet name="Anatomical Spec" sheetId="10" state="visible" r:id="rId10"/>
    <sheet name="Legend &amp; Scoring" sheetId="11" state="visible" r:id="rId11"/>
    <sheet name="TCO Calculator" sheetId="12" state="visible" r:id="rId12"/>
    <sheet name="Models &amp; Make-vs-Buy" sheetId="13" state="visible" r:id="rId13"/>
    <sheet name="APHIS &amp; EU Export" sheetId="14" state="visible" r:id="rId14"/>
    <sheet name="National Direct Suppliers" sheetId="15" state="visible" r:id="rId15"/>
    <sheet name="Sources &amp; Confidence" sheetId="16" state="visible" r:id="rId16"/>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4"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2">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5">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19"/>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08" customWidth="1" style="59" min="2" max="2"/>
  </cols>
  <sheetData>
    <row r="1" ht="26.4" customHeight="1" s="59">
      <c r="A1" s="194" t="inlineStr">
        <is>
          <t>Tissue Supplier Study &amp; Outreach Plan — one workbook</t>
        </is>
      </c>
    </row>
    <row r="2" ht="58.6" customHeight="1" s="59">
      <c r="A2" s="175" t="inlineStr">
        <is>
          <t>Compiled 2026-09-03: the full research file and the purchasing-manager outreach plan, merged and de-duplicated. Working tabs: Supplier Roster (every plant, with WHY + WEBSITE per line) · Rated Candidates (A/B scores) · Plan of Action (fill in during the session) · Call Questionnaire. Reference tabs: Current Base · Overview · Meeting Notes · Anatomical Spec · Legend · TCO Calculator · Models &amp; Make-vs-Buy · APHIS &amp; EU Export · National Direct Suppliers · Sources.</t>
        </is>
      </c>
    </row>
    <row r="3" ht="15" customHeight="1" s="59"/>
    <row r="4" ht="19.7" customHeight="1" s="59">
      <c r="A4" s="176" t="inlineStr">
        <is>
          <t>WHAT WE ARE LOOKING FOR</t>
        </is>
      </c>
      <c r="B4" s="172" t="n"/>
    </row>
    <row r="5" ht="72" customHeight="1" s="59">
      <c r="A5" s="160" t="inlineStr">
        <is>
          <t>The profile</t>
        </is>
      </c>
      <c r="B5" s="154" t="inlineStr">
        <is>
          <t>Suppliers ALIKE our current base — plants that could plausibly run one of the two models that already work for us: MODEL A — our harvesting techs go to their floor and collect what's needed (how Nahunta, Martin's and Custom Quality Packers work today); or MODEL B-T — their people harvest to our spec, with our training and supervision (how Parks works today). Villari is the cautionary profile: volume without access — its tissue gate is HARD; we take leaf fat only and plan no organ volume through it.</t>
        </is>
      </c>
    </row>
    <row r="6" ht="45.2" customHeight="1" s="59">
      <c r="A6" s="160" t="inlineStr">
        <is>
          <t>The plan</t>
        </is>
      </c>
      <c r="B6" s="154" t="inlineStr">
        <is>
          <t>For each good candidate: (1) a CALL using the Call Questionnaire tab — the decisive questions per candidate are pre-marked on the Plan of Action tab; (2) if the call passes the gate, a VISIT to verify floor, welfare culture and access; (3) then pilot terms. Owners and dates get filled in during the working session.</t>
        </is>
      </c>
    </row>
    <row r="7" ht="19.7" customHeight="1" s="59">
      <c r="A7" s="176" t="inlineStr">
        <is>
          <t>HARD GATES (pass/fail — applied before any scoring)</t>
        </is>
      </c>
      <c r="B7" s="172" t="n"/>
    </row>
    <row r="8" ht="45.2" customHeight="1" s="59">
      <c r="A8" s="160" t="inlineStr">
        <is>
          <t>G1 · Inspection</t>
        </is>
      </c>
      <c r="B8" s="154" t="inlineStr">
        <is>
          <t>USDA federal grant (M / Talmadge-Aiken) or NORTH CAROLINA state grant (P-number) = fully eligible — NC state is APHIS-accepted as equivalent for material WE harvest and assemble at ATM. SC / VA / TN state programmes are NOT accepted → DOMESTIC LANE ONLY. Custom-exempt = INELIGIBLE, full stop.</t>
        </is>
      </c>
    </row>
    <row r="9" ht="18.4" customHeight="1" s="59">
      <c r="A9" s="160" t="inlineStr">
        <is>
          <t>G2 · Operating</t>
        </is>
      </c>
      <c r="B9" s="154" t="inlineStr">
        <is>
          <t>Verified operating on primary data (FSIS / NCDA&amp;CS directories) as of the date named in the row.</t>
        </is>
      </c>
    </row>
    <row r="10" ht="18.4" customHeight="1" s="59">
      <c r="A10" s="160" t="inlineStr">
        <is>
          <t>G3 · Swine</t>
        </is>
      </c>
      <c r="B10" s="154" t="inlineStr">
        <is>
          <t>Actually kills hogs — per USDA species flags or the state directory species code, not per a business name.</t>
        </is>
      </c>
    </row>
    <row r="11" ht="19.7" customHeight="1" s="59">
      <c r="A11" s="176" t="inlineStr">
        <is>
          <t>SCORING (0-5 sub-scores, two weighted fits — see Rated Candidates)</t>
        </is>
      </c>
      <c r="B11" s="172" t="n"/>
    </row>
    <row r="12" ht="72" customHeight="1" s="59">
      <c r="A12" s="160" t="inlineStr">
        <is>
          <t>The 8 sub-scores</t>
        </is>
      </c>
      <c r="B12" s="154" t="inlineStr">
        <is>
          <t>PROX proximity (5 = ≤60 road mi · 4 = ≤120 · 2 = ≤160 · 1 = beyond) · ACCESS how hostable is the floor for OUR techs · CREW their crew's ability to harvest to spec under our training · ANAT anatomy match (5 market · 3 sow, pending the spec decision · 2 roaster) · VOL volume band (5 = cat 3+ · 3 = cat 2 · 1 = cat 1/unknown-small) · WELF welfare &amp; enforcement (5 clean · 3 historic-resolved · 1 repeat/recent) · EXPORT path (5 = federal or NC state · 2 = domestic-only) · RELN approachability.</t>
        </is>
      </c>
    </row>
    <row r="13" ht="31.8" customHeight="1" s="59">
      <c r="A13" s="160" t="inlineStr">
        <is>
          <t>A-FIT weights</t>
        </is>
      </c>
      <c r="B13" s="154" t="inlineStr">
        <is>
          <t>PROX 25% · ACCESS 30% · ANAT 15% · VOL 10% · WELF 10% · EXPORT 5% · RELN 5% — our techs travel there weekly, so distance and floor access dominate.</t>
        </is>
      </c>
    </row>
    <row r="14" ht="31.8" customHeight="1" s="59">
      <c r="A14" s="160" t="inlineStr">
        <is>
          <t>B-FIT weights</t>
        </is>
      </c>
      <c r="B14" s="154" t="inlineStr">
        <is>
          <t>CREW 30% · ANAT 15% · VOL 15% · WELF 15% · PROX 10% · RELN 10% · EXPORT 5% — their crew does the work; distance matters less (periodic supervision).</t>
        </is>
      </c>
    </row>
    <row r="15" ht="18.4" customHeight="1" s="59">
      <c r="A15" s="160" t="inlineStr">
        <is>
          <t>Tiers</t>
        </is>
      </c>
      <c r="B15" s="154" t="inlineStr">
        <is>
          <t>1 = CALL FIRST · 2 = CALL (with a specific gate) · 3 = PARK · X = OUT.</t>
        </is>
      </c>
    </row>
    <row r="16" ht="19.7" customHeight="1" s="59">
      <c r="A16" s="176" t="inlineStr">
        <is>
          <t>HOW TO USE THIS FILE</t>
        </is>
      </c>
      <c r="B16" s="172" t="n"/>
    </row>
    <row r="17" ht="31.8" customHeight="1" s="59">
      <c r="A17" s="160" t="inlineStr">
        <is>
          <t>Yellow cells</t>
        </is>
      </c>
      <c r="B17" s="154" t="inlineStr">
        <is>
          <t>Are yours to fill in (weights if you disagree; owners, dates, call outcomes, decisions on the Plan of Action; questionnaire answers). Everything else is research — edit it only to correct a fact.</t>
        </is>
      </c>
    </row>
    <row r="18" ht="18.4" customHeight="1" s="59">
      <c r="A18" s="160" t="inlineStr">
        <is>
          <t>Score columns</t>
        </is>
      </c>
      <c r="B18" s="154" t="inlineStr">
        <is>
          <t>A-FIT and B-FIT on Rated Candidates are live SUMPRODUCT formulas; they compute when the file opens in Excel.</t>
        </is>
      </c>
    </row>
    <row r="19" ht="31.8" customHeight="1" s="59">
      <c r="A19" s="160" t="inlineStr">
        <is>
          <t>Provenance</t>
        </is>
      </c>
      <c r="B19" s="154" t="inlineStr">
        <is>
          <t>'No record found' never means 'confirmed clean' — each row says which it is. State-inspected plants sit outside FSIS reporting; their welfare is a SITE-VISIT finding.</t>
        </is>
      </c>
    </row>
  </sheetData>
  <mergeCells count="6">
    <mergeCell ref="A4:B4"/>
    <mergeCell ref="A2:B2"/>
    <mergeCell ref="A16:B16"/>
    <mergeCell ref="A7:B7"/>
    <mergeCell ref="A11:B11"/>
    <mergeCell ref="A1:B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7"/>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65.8" customHeight="1" s="59">
      <c r="A30"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'NC Comparison 2026-08-17' tab. ★ ALSO CORRECTED 2026-09-03: PARKS harvests with THEIR OWN people under OUR training (Model B-T) — the base already runs both operating models, and candidate ratings now score A-fit (host our techs) and B-fit (their crew, our training) separately — see Supplier_Outreach_Plan.xlsx.</t>
        </is>
      </c>
      <c r="B30" s="65" t="n"/>
    </row>
    <row r="31" ht="139" customHeight="1" s="59">
      <c r="A31"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1" s="65" t="n"/>
    </row>
    <row r="32" ht="58.6" customHeight="1" s="59">
      <c r="A32"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2" s="65" t="n"/>
    </row>
    <row r="33" ht="125.6" customHeight="1" s="59">
      <c r="A33"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3" s="65" t="n"/>
    </row>
    <row r="34" ht="58.6" customHeight="1" s="59">
      <c r="A34"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4" s="65" t="n"/>
    </row>
    <row r="35" ht="45.2" customHeight="1" s="59">
      <c r="A35"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5" s="65" t="n"/>
    </row>
    <row r="36" ht="98.8" customHeight="1" s="59">
      <c r="A36"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6" s="65" t="n"/>
    </row>
    <row r="37" ht="45.2" customHeight="1" s="59">
      <c r="A37"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7" s="65" t="n"/>
    </row>
    <row r="38" ht="98.8" customHeight="1" s="59">
      <c r="A38"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38" s="65" t="n"/>
    </row>
    <row r="39" ht="72" customHeight="1" s="59">
      <c r="A39"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9" s="65" t="n"/>
    </row>
    <row r="40" ht="58.6" customHeight="1" s="59">
      <c r="A40"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0" s="65" t="n"/>
    </row>
    <row r="41" ht="45.2" customHeight="1" s="59">
      <c r="A41"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1" s="65" t="n"/>
    </row>
    <row r="42" ht="58.6" customHeight="1" s="59">
      <c r="A42"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2" s="65" t="n"/>
    </row>
    <row r="43" ht="45.2" customHeight="1" s="59">
      <c r="A43"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3" s="65" t="n"/>
    </row>
    <row r="44" ht="72" customHeight="1" s="59">
      <c r="A44"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4" s="65" t="n"/>
    </row>
    <row r="45" ht="45.2" customHeight="1" s="59">
      <c r="A45"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5" s="65" t="n"/>
    </row>
    <row r="46" ht="31.8" customHeight="1" s="59">
      <c r="A46"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6" s="65" t="n"/>
    </row>
    <row r="47" ht="31.8" customHeight="1" s="59">
      <c r="A47"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47" s="65" t="n"/>
    </row>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32">
    <mergeCell ref="A30:B30"/>
    <mergeCell ref="A45:B45"/>
    <mergeCell ref="A36:B36"/>
    <mergeCell ref="A1:B1"/>
    <mergeCell ref="A6:B6"/>
    <mergeCell ref="A16:B16"/>
    <mergeCell ref="A25:B25"/>
    <mergeCell ref="A41:B41"/>
    <mergeCell ref="A46:B46"/>
    <mergeCell ref="A37:B37"/>
    <mergeCell ref="A27:B27"/>
    <mergeCell ref="A12:B12"/>
    <mergeCell ref="A26:B26"/>
    <mergeCell ref="A2:B2"/>
    <mergeCell ref="A33:B33"/>
    <mergeCell ref="A47:B47"/>
    <mergeCell ref="A42:B42"/>
    <mergeCell ref="A5:B5"/>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(192-1,917/wk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~1,917/wk;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30"/>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44" customWidth="1" style="59" min="17" max="17"/>
    <col width="30" customWidth="1" style="59" min="18" max="18"/>
    <col width="9"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 Why a candidate
(or why not)</t>
        </is>
      </c>
      <c r="R4" s="3" t="inlineStr">
        <is>
          <t>Website
(verified 2026-09-03)</t>
        </is>
      </c>
      <c r="S4" s="3" t="inlineStr">
        <is>
          <t>Conf.</t>
        </is>
      </c>
      <c r="T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20" t="inlineStr">
        <is>
          <t>MEDIUM
(350-2,500/wk)</t>
        </is>
      </c>
      <c r="F6" s="68" t="inlineStr">
        <is>
          <t>Yes — swine
(NC state programme;
no FSIS species flags published)</t>
        </is>
      </c>
      <c r="G6" s="68" t="inlineStr">
        <is>
          <t>STATE only
(NOT USDA)</t>
        </is>
      </c>
      <c r="H6" s="68" t="inlineStr">
        <is>
          <t>None found — and NOTE THE LIMIT: NCDA&amp;CS publishes no searchable state-plant enforcement log and FSIS reporting does not cover state plants, so welfare here is a SITE-VISIT finding. Client's own crews on-site are the best evidence.</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L6" s="68" t="inlineStr">
        <is>
          <t>Yes (already custom-slaughters 3rd-party animals)</t>
        </is>
      </c>
      <c r="M6" s="109" t="inlineStr">
        <is>
          <t>YES · ~0 mi</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competing retail SKU; export-eligible via NC-state equivalence.</t>
        </is>
      </c>
      <c r="R6" s="179" t="inlineStr">
        <is>
          <t>nahuntapork.com</t>
        </is>
      </c>
      <c r="S6" s="68" t="inlineStr">
        <is>
          <t>High</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$85 hog kill + $5.06/head DISPOSAL FEE on their own price sheet — viscera are normally discarded, i.e. organs exist and are being thrown away; recovery is a negotiation, not a rebuild. 150-lb pig minimum (their customer manual).</t>
        </is>
      </c>
      <c r="L9" s="68" t="inlineStr">
        <is>
          <t>★ BEST MODEL A HOST IN THE WEST: purpose-built harvest facility (45,000 sq ft processing at Asheboro; kill floor Gibsonville), Mon-Fri kill days by appointment, slaughter-only structure, 600+ farm clients</t>
        </is>
      </c>
      <c r="M9" s="88" t="inlineStr">
        <is>
          <t>YES · ~116 mi
(borderline)</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proves organs are discarded today. Cat-2 ceiling.</t>
        </is>
      </c>
      <c r="R9" s="179" t="inlineStr">
        <is>
          <t>piedmontcustommeats.com</t>
        </is>
      </c>
      <c r="S9" s="68" t="inlineStr">
        <is>
          <t>High</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Own kill floor, slow line, sows on the grant — mechanically plausible, but hogs share the week with cattle/sheep/goats, so dedicated swine-organ days would be limited. Hog kill fee $0.19/lb dressed + $0.84/lb processing (own site).</t>
        </is>
      </c>
      <c r="L10" s="68" t="inlineStr">
        <is>
          <t>Plausible</t>
        </is>
      </c>
      <c r="M10" s="109" t="inlineStr">
        <is>
          <t>YES · ~88 mi</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delivered via the
Talmadge-Aiken programme —
TA-20129 in the NCDA&amp;CS
TA directory 2026-08-10)</t>
        </is>
      </c>
      <c r="H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Custom abattoir serving farmers/licensed handlers — offal return is standard practice in this class (undocumented). Sow + boar flags = large-frame animals come through.</t>
        </is>
      </c>
      <c r="L17" s="68" t="inlineStr">
        <is>
          <t>Plausible</t>
        </is>
      </c>
      <c r="M17" s="110" t="inlineStr">
        <is>
          <t>NO · ~209 mi</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t>
        </is>
      </c>
      <c r="T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 STRONG ON PAPER: sows are killed for sausage MEAT, so viscera / organs / aortas are NOT their product and could come off intact. Sow organ scale is closest to adult human. Willingness untested — never contacted. Office hours Tue 9-3; larryssausage.com live.</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t>
        </is>
      </c>
      <c r="T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139" t="inlineStr">
        <is>
          <t>SMALL
(0-300/wk)</t>
        </is>
      </c>
      <c r="F23" s="68" t="inlineStr">
        <is>
          <t>SOW ONLY
sow_slaughter=Yes; market_swine=No,
roaster=No, boar/stag=No</t>
        </is>
      </c>
      <c r="G23" s="68" t="inlineStr">
        <is>
          <t>USDA ✓ M3521 — NEWEST swine-slaughter
grant in NC (2/17/2026), sow-only;
TA-3521 in the NCDA&amp;CS TA directory</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Whole-hog sausage uses carcass meat, not viscera — sow organs / aortas are currently WASTE (inference, labeled). Sows = MATURE anatomy: large hearts, aortas, bladders, uteri.</t>
        </is>
      </c>
      <c r="L23" s="68" t="inlineStr">
        <is>
          <t>Micro-scale only — but brand-new floor, growth mode, never hosted harvesters; scheduling likely negotiable</t>
        </is>
      </c>
      <c r="M23" s="88" t="inlineStr">
        <is>
          <t>YES · ~40 mi</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43" t="inlineStr">
        <is>
          <t>n/a</t>
        </is>
      </c>
      <c r="F26" s="68" t="inlineStr">
        <is>
          <t>see row below</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72"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SOW (fresh FSIS flags 2026-09-03;
re-granted 11/24/2025 —
earlier 'no swine flags' superseded)</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72" customHeight="1" s="59">
      <c r="A33" s="138" t="inlineStr">
        <is>
          <t>Williamsburg Packing Company, Inc.</t>
        </is>
      </c>
      <c r="B33" s="68" t="inlineStr">
        <is>
          <t>Kingstree, SC (Williamsburg)</t>
        </is>
      </c>
      <c r="C33" s="68" t="inlineStr">
        <is>
          <t>USDA federal slaughter + processing</t>
        </is>
      </c>
      <c r="D33" s="68" t="inlineStr">
        <is>
          <t>192-1,917/wk (FSIS cat 3,
ALL-SPECIES aggregate —
hog share unknown)</t>
        </is>
      </c>
      <c r="E33" s="142" t="inlineStr">
        <is>
          <t>MEDIUM
(350-2,500/wk)</t>
        </is>
      </c>
      <c r="F33" s="68" t="inlineStr">
        <is>
          <t>ALL FOUR hog classes
(market+sow+roaster+boar/stag,
FSIS flags 2026-09-03)</t>
        </is>
      </c>
      <c r="G33" s="68" t="inlineStr">
        <is>
          <t>USDA ✓ M4005 + P4005 + V4005
(V = voluntary grant — the
research-tissue mechanism)</t>
        </is>
      </c>
      <c r="H33" s="25" t="inlineStr">
        <is>
          <t>No enforcement found. Earlier welfare-CERTIFICATION marketing claims were refuted (claims, not violations) — do not lead with welfare.</t>
        </is>
      </c>
      <c r="I33" s="68" t="inlineStr">
        <is>
          <t>FULL export path (federal)</t>
        </is>
      </c>
      <c r="J33" s="68" t="inlineStr">
        <is>
          <t>Do not lead with welfare (see enforcement col).</t>
        </is>
      </c>
      <c r="K33" s="68" t="inlineStr">
        <is>
          <t>Unknown — the call decides; V4005 is directly relevant to research tissue</t>
        </is>
      </c>
      <c r="L33" s="68" t="inlineStr">
        <is>
          <t>No (190 road mi — outside the radius)</t>
        </is>
      </c>
      <c r="M33" s="89" t="inlineStr">
        <is>
          <t>NO · ~190 mi</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 Plan of Action (2d).</t>
        </is>
      </c>
    </row>
    <row r="34" ht="85.40000000000001" customHeight="1" s="59">
      <c r="A34" s="138" t="inlineStr">
        <is>
          <t>Hemingway Locker Plant, LLC</t>
        </is>
      </c>
      <c r="B34" s="68" t="inlineStr">
        <is>
          <t>Hemingway, SC (Williamsburg)</t>
        </is>
      </c>
      <c r="C34" s="68" t="inlineStr">
        <is>
          <t>USDA federal locker plant (slaughter + processing)</t>
        </is>
      </c>
      <c r="D34" s="68" t="inlineStr">
        <is>
          <t>19-192/wk (FSIS cat 2)</t>
        </is>
      </c>
      <c r="E34" s="139" t="inlineStr">
        <is>
          <t>SMALL
(0-300/wk)</t>
        </is>
      </c>
      <c r="F34" s="68" t="inlineStr">
        <is>
          <t>MARKET hogs</t>
        </is>
      </c>
      <c r="G34" s="68" t="inlineStr">
        <is>
          <t>USDA ✓ M34181
(grant 7/11/2022)</t>
        </is>
      </c>
      <c r="H34" s="25" t="inlineStr">
        <is>
          <t>ONE humane-handling action: NOS 7/2/2024 (first stun ineffective), held in abeyance 7/3/2024 after same-day corrective action — stunner replaced and retrained (FSIS letter retrieved 2026-09-03). Nothing since.</t>
        </is>
      </c>
      <c r="I34" s="68" t="inlineStr">
        <is>
          <t>FULL export path (federal)</t>
        </is>
      </c>
      <c r="J34" s="68" t="inlineStr">
        <is>
          <t>Single resolved 2024 event — discussion item, not exclusion.</t>
        </is>
      </c>
      <c r="K34" s="68" t="inlineStr">
        <is>
          <t>Unknown — locker-plant custom culture implies cut-to-spec basics</t>
        </is>
      </c>
      <c r="L34" s="68" t="inlineStr">
        <is>
          <t>No (180 road mi)</t>
        </is>
      </c>
      <c r="M34" s="89" t="inlineStr">
        <is>
          <t>NO · ~180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58.6" customHeight="1" s="59">
      <c r="A36" s="4" t="inlineStr">
        <is>
          <t>Fayette Packing Co., Inc.</t>
        </is>
      </c>
      <c r="B36" s="68" t="inlineStr">
        <is>
          <t>Eads, TN (Memphis area)</t>
        </is>
      </c>
      <c r="C36" s="68" t="inlineStr">
        <is>
          <t>USDA slaughter + processing</t>
        </is>
      </c>
      <c r="D36" s="68" t="inlineStr">
        <is>
          <t>&lt;19/wk
(FSIS cat 1) — 'largest of the TN
group' is REFUTED</t>
        </is>
      </c>
      <c r="E36" s="139" t="inlineStr">
        <is>
          <t>SMALL
(0-300/wk)</t>
        </is>
      </c>
      <c r="F36" s="68" t="inlineStr">
        <is>
          <t>MARKET + SOW + ROASTER + boar/stag
(all four classes)</t>
        </is>
      </c>
      <c r="G36" s="68" t="inlineStr">
        <is>
          <t>USDA ✓ M6555 + P34794</t>
        </is>
      </c>
      <c r="H36" s="25" t="inlineStr">
        <is>
          <t>⚠ Humane-handling NOS Apr 2023 (Est. M6555 — 4 stun attempts on a cow); held in abeyance.</t>
        </is>
      </c>
      <c r="I36" s="68" t="inlineStr">
        <is>
          <t>Not on public export lists — verify w/ APHIS VS</t>
        </is>
      </c>
      <c r="J36" s="68" t="inlineStr">
        <is>
          <t>Family since 1952 (3 generations, Keith) — strong culture</t>
        </is>
      </c>
      <c r="K36" s="68" t="inlineStr">
        <is>
          <t>Not noted</t>
        </is>
      </c>
      <c r="L36" s="68" t="inlineStr">
        <is>
          <t>Possible</t>
        </is>
      </c>
      <c r="M36" s="110" t="inlineStr">
        <is>
          <t>NO</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~192-1,917/wk
(FSIS cat 3)</t>
        </is>
      </c>
      <c r="E37" s="142" t="inlineStr">
        <is>
          <t>MEDIUM
(350-2,500/wk)</t>
        </is>
      </c>
      <c r="F37" s="68" t="inlineStr">
        <is>
          <t>MARKET + SOW
(roaster: No, boar/stag: No)</t>
        </is>
      </c>
      <c r="G37" s="68" t="inlineStr">
        <is>
          <t>USDA ✓ M51351 + P51351</t>
        </is>
      </c>
      <c r="H37" s="68" t="inlineStr">
        <is>
          <t>None found (a logged FOIA request is not an enforcement action)</t>
        </is>
      </c>
      <c r="I37" s="68" t="inlineStr">
        <is>
          <t>Not on public export lists — verify</t>
        </is>
      </c>
      <c r="J37" s="68" t="inlineStr">
        <is>
          <t>Growing processor</t>
        </is>
      </c>
      <c r="K37" s="68" t="inlineStr">
        <is>
          <t>Not noted</t>
        </is>
      </c>
      <c r="L37" s="68" t="inlineStr">
        <is>
          <t>Possible</t>
        </is>
      </c>
      <c r="M37" s="110" t="inlineStr">
        <is>
          <t>NO</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8" ht="31.8" customHeight="1" s="59">
      <c r="A38" s="4" t="inlineStr">
        <is>
          <t>Cherry Meat Company</t>
        </is>
      </c>
      <c r="B38" s="68" t="inlineStr">
        <is>
          <t>Chapel Hill, TN</t>
        </is>
      </c>
      <c r="C38" s="68" t="inlineStr">
        <is>
          <t>USDA slaughter + processing</t>
        </is>
      </c>
      <c r="D38" s="68" t="inlineStr">
        <is>
          <t>~18/wk (80/month verified)</t>
        </is>
      </c>
      <c r="E38" s="22" t="inlineStr">
        <is>
          <t>SMALL
(0-300/wk)</t>
        </is>
      </c>
      <c r="F38" s="68" t="inlineStr">
        <is>
          <t>MARKET only
(sow: No, roaster: No)</t>
        </is>
      </c>
      <c r="G38" s="68" t="inlineStr">
        <is>
          <t>USDA ✓ M40106</t>
        </is>
      </c>
      <c r="H38" s="68" t="inlineStr">
        <is>
          <t>None found (very small; FSIS grant 2021)</t>
        </is>
      </c>
      <c r="I38" s="68" t="inlineStr">
        <is>
          <t>Not on public export lists — verify</t>
        </is>
      </c>
      <c r="J38" s="68" t="inlineStr">
        <is>
          <t>Family (Cherry / Bear Creek Farm) — strong culture</t>
        </is>
      </c>
      <c r="K38" s="68" t="inlineStr">
        <is>
          <t>Not noted</t>
        </is>
      </c>
      <c r="L38" s="68" t="inlineStr">
        <is>
          <t>Low-vol</t>
        </is>
      </c>
      <c r="M38" s="110" t="inlineStr">
        <is>
          <t>NO</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22" t="inlineStr">
        <is>
          <t>SMALL
(0-300/wk)</t>
        </is>
      </c>
      <c r="F39" s="68" t="inlineStr">
        <is>
          <t>Yes</t>
        </is>
      </c>
      <c r="G39" s="68" t="inlineStr">
        <is>
          <t>USDA ✓</t>
        </is>
      </c>
      <c r="H39" s="25" t="inlineStr">
        <is>
          <t>⚠ Harris Country Meats (Greeneville, M20686): humane NOS 2024. Volunteer/412 (Lexington, M6561): humane NOS Nov 2024. Others: none found.</t>
        </is>
      </c>
      <c r="I39" s="68" t="inlineStr">
        <is>
          <t>Not on public export lists — verify each w/ APHIS VS</t>
        </is>
      </c>
      <c r="J39" s="68" t="inlineStr">
        <is>
          <t>Small family shops</t>
        </is>
      </c>
      <c r="K39" s="68" t="inlineStr">
        <is>
          <t>Not noted</t>
        </is>
      </c>
      <c r="L39" s="68" t="inlineStr">
        <is>
          <t>Possible</t>
        </is>
      </c>
      <c r="M39" s="111" t="inlineStr">
        <is>
          <t>mixed — confirm</t>
        </is>
      </c>
      <c r="N39" s="68" t="inlineStr">
        <is>
          <t>B</t>
        </is>
      </c>
      <c r="O39" s="68" t="inlineStr">
        <is>
          <t>see notes →</t>
        </is>
      </c>
      <c r="P39" s="23" t="inlineStr">
        <is>
          <t>POSSIBLE</t>
        </is>
      </c>
      <c r="Q39" s="178" t="inlineStr">
        <is>
          <t>Context roll-up — not an individual candidate.</t>
        </is>
      </c>
      <c r="R39" s="179" t="inlineStr">
        <is>
          <t>—</t>
        </is>
      </c>
      <c r="S39" s="68" t="inlineStr">
        <is>
          <t>Low-Med</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85.40000000000001" customHeight="1" s="59">
      <c r="A41" s="4" t="inlineStr">
        <is>
          <t>EcoFriendly Foods, LLC</t>
        </is>
      </c>
      <c r="B41" s="68" t="inlineStr">
        <is>
          <t>Moneta, VA</t>
        </is>
      </c>
      <c r="C41" s="68" t="inlineStr">
        <is>
          <t>USDA + Certified Humane multi-species harvest</t>
        </is>
      </c>
      <c r="D41" s="68" t="inlineStr">
        <is>
          <t>~192-1,917/wk
(FSIS cat 3)</t>
        </is>
      </c>
      <c r="E41" s="142" t="inlineStr">
        <is>
          <t>MEDIUM
(350-2,500/wk)</t>
        </is>
      </c>
      <c r="F41" s="68" t="inlineStr">
        <is>
          <t>MARKET + SOW + ROASTER + boar/stag
(all four classes)</t>
        </is>
      </c>
      <c r="G41" s="68" t="inlineStr">
        <is>
          <t>USDA ✓ M21938 + P21938</t>
        </is>
      </c>
      <c r="H41" s="68" t="inlineStr">
        <is>
          <t>None found in FSIS/recall/AWI — BUT reportedly CEASED operations / bankruptcy ~2020. Verify still operating!</t>
        </is>
      </c>
      <c r="I41" s="68" t="inlineStr">
        <is>
          <t>Not on public export lists — verify (and confirm still operating)</t>
        </is>
      </c>
      <c r="J41" s="68" t="inlineStr">
        <is>
          <t>CERTIFIED HUMANE — strongest welfare match in the study</t>
        </is>
      </c>
      <c r="K41" s="68" t="inlineStr">
        <is>
          <t>Custom multi-species harvest for outside producers</t>
        </is>
      </c>
      <c r="L41" s="68" t="inlineStr">
        <is>
          <t>Worth asking (A)</t>
        </is>
      </c>
      <c r="M41" s="110" t="inlineStr">
        <is>
          <t>NO</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t>
        </is>
      </c>
      <c r="T41"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2" ht="85.40000000000001" customHeight="1" s="59">
      <c r="A42" s="4" t="inlineStr">
        <is>
          <t>T&amp;E Meats (True &amp; Essential)</t>
        </is>
      </c>
      <c r="B42" s="68" t="inlineStr">
        <is>
          <t>Harrisonburg, VA</t>
        </is>
      </c>
      <c r="C42" s="68" t="inlineStr">
        <is>
          <t>USDA + AWA slaughter + processing</t>
        </is>
      </c>
      <c r="D42" s="68" t="inlineStr">
        <is>
          <t>~19-192/wk
(FSIS cat 2)</t>
        </is>
      </c>
      <c r="E42" s="22" t="inlineStr">
        <is>
          <t>SMALL
(0-300/wk)</t>
        </is>
      </c>
      <c r="F42" s="68" t="inlineStr">
        <is>
          <t>MARKET + SOW + ROASTER + boar/stag
(all four classes)</t>
        </is>
      </c>
      <c r="G42" s="68" t="inlineStr">
        <is>
          <t>USDA ✓ M7420 + V7420
(FSIS lists 'Honest Meats, LLC')</t>
        </is>
      </c>
      <c r="H42" s="68" t="inlineStr">
        <is>
          <t>None found in public sources</t>
        </is>
      </c>
      <c r="I42" s="68" t="inlineStr">
        <is>
          <t>Not on public export lists — verify w/ APHIS VS</t>
        </is>
      </c>
      <c r="J42" s="68" t="inlineStr">
        <is>
          <t>AWA humane; mission-driven independent (Salatin/Cloud); site since 1930s — very strong</t>
        </is>
      </c>
      <c r="K42" s="68" t="inlineStr">
        <is>
          <t>Not noted</t>
        </is>
      </c>
      <c r="L42" s="68" t="inlineStr">
        <is>
          <t>Worth asking (A)</t>
        </is>
      </c>
      <c r="M42" s="110" t="inlineStr">
        <is>
          <t>NO</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3" ht="45.2" customHeight="1" s="59">
      <c r="A43" s="4" t="inlineStr">
        <is>
          <t>Blue Ridge Meats of Front Royal</t>
        </is>
      </c>
      <c r="B43" s="68" t="inlineStr">
        <is>
          <t>Middletown, VA</t>
        </is>
      </c>
      <c r="C43" s="68" t="inlineStr">
        <is>
          <t>USDA + AWA abattoir</t>
        </is>
      </c>
      <c r="D43" s="68" t="inlineStr">
        <is>
          <t>&lt;19/wk
(FSIS cat 1)</t>
        </is>
      </c>
      <c r="E43" s="139" t="inlineStr">
        <is>
          <t>SMALL
(0-300/wk)</t>
        </is>
      </c>
      <c r="F43" s="68" t="inlineStr">
        <is>
          <t>MARKET + SOW + boar/stag</t>
        </is>
      </c>
      <c r="G43" s="68" t="inlineStr">
        <is>
          <t>USDA ✓ M6526</t>
        </is>
      </c>
      <c r="H43" s="68" t="inlineStr">
        <is>
          <t>None found (do NOT confuse with 'Blue Ridge Beef' pet-food recalls)</t>
        </is>
      </c>
      <c r="I43" s="68" t="inlineStr">
        <is>
          <t>Not on public export lists — verify</t>
        </is>
      </c>
      <c r="J43" s="68" t="inlineStr">
        <is>
          <t>AWA-approved (humane) since 2006</t>
        </is>
      </c>
      <c r="K43" s="68" t="inlineStr">
        <is>
          <t>Not noted</t>
        </is>
      </c>
      <c r="L43" s="68" t="inlineStr">
        <is>
          <t>Mobile-slaughter option</t>
        </is>
      </c>
      <c r="M43" s="110" t="inlineStr">
        <is>
          <t>NO</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24" t="inlineStr">
        <is>
          <t>unknown
(confirm)</t>
        </is>
      </c>
      <c r="F44" s="68" t="inlineStr">
        <is>
          <t>Yes</t>
        </is>
      </c>
      <c r="G44" s="68" t="inlineStr">
        <is>
          <t>USDA ✓ (FSIS
slaughter listed)</t>
        </is>
      </c>
      <c r="H44" s="25" t="inlineStr">
        <is>
          <t>⚠ REPEAT humane-handling suspensions 2021 &amp; Dec 2024 (+ a 2018 violation). Est. M33940.</t>
        </is>
      </c>
      <c r="I44" s="68" t="inlineStr">
        <is>
          <t>FSIS Est. M33940; not on public export lists — verify</t>
        </is>
      </c>
      <c r="J44" s="68" t="inlineStr">
        <is>
          <t>Not noted</t>
        </is>
      </c>
      <c r="K44" s="68" t="inlineStr">
        <is>
          <t>Not noted</t>
        </is>
      </c>
      <c r="L44" s="68" t="inlineStr">
        <is>
          <t>Worth asking (A)</t>
        </is>
      </c>
      <c r="M44" s="110" t="inlineStr">
        <is>
          <t>NO</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24" t="inlineStr">
        <is>
          <t>unknown
(confirm)</t>
        </is>
      </c>
      <c r="F45" s="68" t="inlineStr">
        <is>
          <t>Yes (confirm per-facility)</t>
        </is>
      </c>
      <c r="G45" s="68" t="inlineStr">
        <is>
          <t>USDA ✓</t>
        </is>
      </c>
      <c r="H45" s="25" t="inlineStr">
        <is>
          <t>⚠ Donald's Meat Processing (Lexington, M39968): repeat humane suspension 2023 → 3-yr consent decision. Others: none found.</t>
        </is>
      </c>
      <c r="I45" s="68" t="inlineStr">
        <is>
          <t>Not on public export lists — verify each</t>
        </is>
      </c>
      <c r="J45" s="68" t="inlineStr">
        <is>
          <t>Varies</t>
        </is>
      </c>
      <c r="K45" s="68" t="inlineStr">
        <is>
          <t>Not noted</t>
        </is>
      </c>
      <c r="L45" s="68" t="inlineStr">
        <is>
          <t>Possible</t>
        </is>
      </c>
      <c r="M45" s="111" t="inlineStr">
        <is>
          <t>mixed — confirm</t>
        </is>
      </c>
      <c r="N45" s="68" t="inlineStr">
        <is>
          <t>B</t>
        </is>
      </c>
      <c r="O45" s="68" t="inlineStr">
        <is>
          <t>see notes →</t>
        </is>
      </c>
      <c r="P45" s="23" t="inlineStr">
        <is>
          <t>POSSIBLE</t>
        </is>
      </c>
      <c r="Q45" s="178" t="inlineStr">
        <is>
          <t>Context roll-up — not an individual candidate.</t>
        </is>
      </c>
      <c r="R45" s="179" t="inlineStr">
        <is>
          <t>—</t>
        </is>
      </c>
      <c r="S45" s="68" t="inlineStr">
        <is>
          <t>Low-Med</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22" t="inlineStr">
        <is>
          <t>SMALL
(0-300/wk)</t>
        </is>
      </c>
      <c r="F46" s="68" t="inlineStr">
        <is>
          <t>Yes</t>
        </is>
      </c>
      <c r="G46" s="68" t="inlineStr">
        <is>
          <t>STATE only
(NOT USDA)</t>
        </is>
      </c>
      <c r="H46" s="68" t="inlineStr">
        <is>
          <t>Not in FSIS federal enforcement data (state-inspected) — check VDACS state records</t>
        </is>
      </c>
      <c r="I46" s="112" t="inlineStr">
        <is>
          <t>⛔ State-inspected, non-NC — NOT accepted as equivalent. Needs USDA/FSIS to qualify for Path 1.</t>
        </is>
      </c>
      <c r="J46" s="68" t="inlineStr">
        <is>
          <t>Varies</t>
        </is>
      </c>
      <c r="K46" s="68" t="inlineStr">
        <is>
          <t>Not noted</t>
        </is>
      </c>
      <c r="L46" s="68" t="inlineStr">
        <is>
          <t>Possible</t>
        </is>
      </c>
      <c r="M46" s="111" t="inlineStr">
        <is>
          <t>mixed — confirm</t>
        </is>
      </c>
      <c r="N46" s="68" t="inlineStr">
        <is>
          <t>B</t>
        </is>
      </c>
      <c r="O46" s="68" t="inlineStr">
        <is>
          <t>see notes →</t>
        </is>
      </c>
      <c r="P46" s="23" t="inlineStr">
        <is>
          <t>CAUTION</t>
        </is>
      </c>
      <c r="Q46" s="178" t="inlineStr">
        <is>
          <t>Context roll-up — not an individual candidate.</t>
        </is>
      </c>
      <c r="R46" s="179" t="inlineStr">
        <is>
          <t>—</t>
        </is>
      </c>
      <c r="S46" s="68" t="inlineStr">
        <is>
          <t>Low</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~19-192/wk
(FSIS cat 2 ceiling — the
'20,000/yr ≈ 385/wk' figure
EXCEEDS it)</t>
        </is>
      </c>
      <c r="E48" s="139" t="inlineStr">
        <is>
          <t>SMALL
(0-300/wk)</t>
        </is>
      </c>
      <c r="F48" s="68" t="inlineStr">
        <is>
          <t>MARKET + ROASTER
(sow: No, boar/stag: No)</t>
        </is>
      </c>
      <c r="G48" s="68" t="inlineStr">
        <is>
          <t>meat insp.
unconfirmed</t>
        </is>
      </c>
      <c r="H48" s="68" t="inlineStr">
        <is>
          <t>None found (small research facility; rarely in enforcement data)</t>
        </is>
      </c>
      <c r="I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8" s="68" t="inlineStr">
        <is>
          <t>Strong — closed herd, stringent QC; family (Theis, since 1978), ~20 staff</t>
        </is>
      </c>
      <c r="K48" s="68" t="inlineStr">
        <is>
          <t>YES — CORE BUSINESS: whole organs (decellularization), veins/arteries for implantation, mesh tissue, bio-samples; xeno/vaccine/stem-cell research</t>
        </is>
      </c>
      <c r="L48" s="68" t="inlineStr">
        <is>
          <t>Plausible (has harvest facility)</t>
        </is>
      </c>
      <c r="M48" s="111" t="inlineStr">
        <is>
          <t>confirm</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t>
        </is>
      </c>
      <c r="T48"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t>
        </is>
      </c>
      <c r="E49" s="26" t="inlineStr">
        <is>
          <t>HIGH
(&gt;5,000/wk)</t>
        </is>
      </c>
      <c r="F49" s="68" t="inlineStr">
        <is>
          <t>MARKET only</t>
        </is>
      </c>
      <c r="G49" s="68" t="inlineStr">
        <is>
          <t>USDA ✓ M717 + P19051 + V717
(V = voluntary grant;
export-certified)</t>
        </is>
      </c>
      <c r="H49" s="25" t="inlineStr">
        <is>
          <t>⚠ REPEAT humane-handling: NOIE 2021 &amp; 2023; suspension 09/2024 (egregious). ASPCA line-speed concerns. Est. M717.</t>
        </is>
      </c>
      <c r="I49" s="68" t="inlineStr">
        <is>
          <t>FSIS export-certified (edible, Est. M717). Research-tissue via APHIS VS/TRACES unverified</t>
        </is>
      </c>
      <c r="J49" s="68" t="inlineStr">
        <is>
          <t>Industrial scale, but a structured biologics unit</t>
        </is>
      </c>
      <c r="K49" s="68" t="inlineStr">
        <is>
          <t>YES — full program: PELVIC (bladder, ovary); ABDOMINAL (kidney, liver, pancreas, sm. intestine, mucosa, peritoneum, pepsin lining); THORACIC (heart, valves, lung, aorta, pericardium, trachea); glands/skin/eyes</t>
        </is>
      </c>
      <c r="L49" s="68" t="inlineStr">
        <is>
          <t>Negotiate (industrial site)</t>
        </is>
      </c>
      <c r="M49" s="110" t="inlineStr">
        <is>
          <t>NO</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t>
        </is>
      </c>
      <c r="E51" s="20" t="inlineStr">
        <is>
          <t>MEDIUM
(350-2,500/wk)</t>
        </is>
      </c>
      <c r="F51" s="68" t="inlineStr">
        <is>
          <t>NO SWINE FLAGS in FSIS —
hog slaughter NOT confirmed</t>
        </is>
      </c>
      <c r="G51" s="68" t="inlineStr">
        <is>
          <t>USDA ✓ M21207 + P21207 + V21207</t>
        </is>
      </c>
      <c r="H51" s="68" t="inlineStr">
        <is>
          <t>Recall 2010 (Listeria, cooked ham, Class I). No humane-handling action found.</t>
        </is>
      </c>
      <c r="I51" s="68" t="inlineStr">
        <is>
          <t>FSIS export-certified (edible, general; Est. M21207). EU-specific unverified</t>
        </is>
      </c>
      <c r="J51" s="68" t="inlineStr">
        <is>
          <t>Strong — explicit humane-slaughter positioning; family since 1968, ~140 staff; organic/grass-fed ties</t>
        </is>
      </c>
      <c r="K51" s="68" t="inlineStr">
        <is>
          <t>None known</t>
        </is>
      </c>
      <c r="L51" s="68" t="inlineStr">
        <is>
          <t>Good Model A host (fee-for-service, small-producer friendly)</t>
        </is>
      </c>
      <c r="M51" s="110" t="inlineStr">
        <is>
          <t>NO</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~192-1,917/wk
(FSIS cat 3)</t>
        </is>
      </c>
      <c r="E52" s="142" t="inlineStr">
        <is>
          <t>MEDIUM
(350-2,500/wk)</t>
        </is>
      </c>
      <c r="F52" s="68" t="inlineStr">
        <is>
          <t>MARKET only</t>
        </is>
      </c>
      <c r="G52" s="68" t="inlineStr">
        <is>
          <t>USDA ✓ M20748 + V20748
(V = voluntary; export-cert)</t>
        </is>
      </c>
      <c r="H52" s="68" t="inlineStr">
        <is>
          <t>None found in public sources</t>
        </is>
      </c>
      <c r="I52" s="68" t="inlineStr">
        <is>
          <t>FSIS export-certified (edible; exports to Japan — Japan ≠ EU). EU/APHIS unverified</t>
        </is>
      </c>
      <c r="J52" s="68" t="inlineStr">
        <is>
          <t>Berkshire / USDA-organic; export QC discipline</t>
        </is>
      </c>
      <c r="K52" s="68" t="inlineStr">
        <is>
          <t>None found</t>
        </is>
      </c>
      <c r="L52" s="68" t="inlineStr">
        <is>
          <t>Likely Model A host</t>
        </is>
      </c>
      <c r="M52" s="110" t="inlineStr">
        <is>
          <t>NO</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t>
        </is>
      </c>
      <c r="T52"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3" ht="31.8" customHeight="1" s="59">
      <c r="A53" s="4" t="inlineStr">
        <is>
          <t>Eickman's Processing Co.</t>
        </is>
      </c>
      <c r="B53" s="68" t="inlineStr">
        <is>
          <t>Seward, IL</t>
        </is>
      </c>
      <c r="C53" s="68" t="inlineStr">
        <is>
          <t>USDA (Est. M31776), small family plant</t>
        </is>
      </c>
      <c r="D53" s="68" t="inlineStr">
        <is>
          <t>~19-192/wk
(FSIS cat 2 ceiling)</t>
        </is>
      </c>
      <c r="E53" s="22" t="inlineStr">
        <is>
          <t>SMALL
(0-300/wk)</t>
        </is>
      </c>
      <c r="F53" s="68" t="inlineStr">
        <is>
          <t>MARKET + ROASTER</t>
        </is>
      </c>
      <c r="G53" s="68" t="inlineStr">
        <is>
          <t>USDA ✓ M31776 + P31776 + V31776</t>
        </is>
      </c>
      <c r="H53" s="68" t="inlineStr">
        <is>
          <t>Recall 2010 (underprocessed canned). No humane-handling action found.</t>
        </is>
      </c>
      <c r="I53" s="68" t="inlineStr">
        <is>
          <t>Not on public export lists — verify</t>
        </is>
      </c>
      <c r="J53" s="68" t="inlineStr">
        <is>
          <t>Long-tenured family operation (~70 yrs, ~30 staff) — stable culture</t>
        </is>
      </c>
      <c r="K53" s="68" t="inlineStr">
        <is>
          <t>None</t>
        </is>
      </c>
      <c r="L53" s="68" t="inlineStr">
        <is>
          <t>Model A small batches</t>
        </is>
      </c>
      <c r="M53" s="110" t="inlineStr">
        <is>
          <t>NO</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t>
        </is>
      </c>
      <c r="T53" s="68" t="inlineStr">
        <is>
          <t>SMALL tier (~low-100s/wk est.). Stable family culture, USDA. Viable now that capacity is open — good Model A small-batch partner.</t>
        </is>
      </c>
    </row>
    <row r="54" ht="31.8" customHeight="1" s="59">
      <c r="A54" s="4" t="inlineStr">
        <is>
          <t>Ruthven Meat Processing</t>
        </is>
      </c>
      <c r="B54" s="68" t="inlineStr">
        <is>
          <t>Ruthven, IA</t>
        </is>
      </c>
      <c r="C54" s="68" t="inlineStr">
        <is>
          <t>USDA (Est. M2118), FSIS 'Very Small'</t>
        </is>
      </c>
      <c r="D54" s="68" t="inlineStr">
        <is>
          <t>~19-192/wk
(FSIS cat 2 ceiling)</t>
        </is>
      </c>
      <c r="E54" s="22" t="inlineStr">
        <is>
          <t>SMALL
(0-300/wk)</t>
        </is>
      </c>
      <c r="F54" s="68" t="inlineStr">
        <is>
          <t>NO SWINE FLAGS in FSIS —
hogs NOT confirmed</t>
        </is>
      </c>
      <c r="G54" s="68" t="inlineStr">
        <is>
          <t>USDA ✓ M2118 + P2118 + V2118</t>
        </is>
      </c>
      <c r="H54" s="68" t="inlineStr">
        <is>
          <t>None found in public sources</t>
        </is>
      </c>
      <c r="I54" s="68" t="inlineStr">
        <is>
          <t>Not on public export lists — verify</t>
        </is>
      </c>
      <c r="J54" s="68" t="inlineStr">
        <is>
          <t>Small locker</t>
        </is>
      </c>
      <c r="K54" s="68" t="inlineStr">
        <is>
          <t>Unknown</t>
        </is>
      </c>
      <c r="L54" s="68" t="inlineStr">
        <is>
          <t>Model A small batch</t>
        </is>
      </c>
      <c r="M54" s="110" t="inlineStr">
        <is>
          <t>NO</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t>
        </is>
      </c>
      <c r="E56" s="26" t="inlineStr">
        <is>
          <t>HIGH
(&gt;5,000/wk)</t>
        </is>
      </c>
      <c r="F56" s="68" t="inlineStr">
        <is>
          <t>MARKET + ROASTER + boar/stag
(sow: No)</t>
        </is>
      </c>
      <c r="G56" s="68" t="inlineStr">
        <is>
          <t>USDA ✓ M5537</t>
        </is>
      </c>
      <c r="H56" s="25" t="inlineStr">
        <is>
          <t>⚠ Humane-handling: NOIE 11/2020, suspension 04/2021 (Est. M5537); PETA sought charges (none filed on record).</t>
        </is>
      </c>
      <c r="I56" s="68" t="inlineStr">
        <is>
          <t>Export status not confirmed on public lists — verify</t>
        </is>
      </c>
      <c r="J56" s="68" t="inlineStr">
        <is>
          <t>NEGATIVE signal — an animal-rights group publicly sought charges over handling</t>
        </is>
      </c>
      <c r="K56" s="68" t="inlineStr">
        <is>
          <t>No biologics program found</t>
        </is>
      </c>
      <c r="L56" s="68" t="inlineStr">
        <is>
          <t>Unlikely</t>
        </is>
      </c>
      <c r="M56" s="110" t="inlineStr">
        <is>
          <t>NO</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45.2" customHeight="1" s="59">
      <c r="A57" s="4" t="inlineStr">
        <is>
          <t>Seaboard Triumph Foods</t>
        </is>
      </c>
      <c r="B57" s="68" t="inlineStr">
        <is>
          <t>Sioux City, IA</t>
        </is>
      </c>
      <c r="C57" s="68" t="inlineStr">
        <is>
          <t>Very large packer</t>
        </is>
      </c>
      <c r="D57" s="68" t="inlineStr">
        <is>
          <t>~10,000/DAY (up to 20-24k)</t>
        </is>
      </c>
      <c r="E57" s="26" t="inlineStr">
        <is>
          <t>HIGH
(&gt;5,000/wk)</t>
        </is>
      </c>
      <c r="F57" s="68" t="inlineStr">
        <is>
          <t>MARKET only</t>
        </is>
      </c>
      <c r="G57" s="68" t="inlineStr">
        <is>
          <t>USDA ✓ M46071 + V46071
(V = voluntary; export-cert)</t>
        </is>
      </c>
      <c r="H57" s="68" t="inlineStr">
        <is>
          <t>No FSIS humane/recall found. Non-FSIS press: labor / child-labor fines, emissions.</t>
        </is>
      </c>
      <c r="I57" s="68" t="inlineStr">
        <is>
          <t>FSIS export-certified (edible, general; Est. M46071). EU-specific unverified</t>
        </is>
      </c>
      <c r="J57" s="68" t="inlineStr">
        <is>
          <t>Industrial</t>
        </is>
      </c>
      <c r="K57" s="68" t="inlineStr">
        <is>
          <t>NOT confirmed (no research-organ program found)</t>
        </is>
      </c>
      <c r="L57" s="68" t="inlineStr">
        <is>
          <t>Unlikely</t>
        </is>
      </c>
      <c r="M57" s="110" t="inlineStr">
        <is>
          <t>NO</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t>
        </is>
      </c>
      <c r="E58" s="26" t="inlineStr">
        <is>
          <t>HIGH
(&gt;5,000/wk)</t>
        </is>
      </c>
      <c r="F58" s="68" t="inlineStr">
        <is>
          <t>MARKET only</t>
        </is>
      </c>
      <c r="G58" s="68" t="inlineStr">
        <is>
          <t>USDA ✓ M51340 + V51340
(listed as Eagle Grove Cooperative;
export-cert)</t>
        </is>
      </c>
      <c r="H58" s="25" t="inlineStr">
        <is>
          <t>⚠ REPEAT humane-handling suspensions 2020 &amp; 04/2022 (egregious). Est. M51340. PETA sought kill-floor cameras.</t>
        </is>
      </c>
      <c r="I58" s="68" t="inlineStr">
        <is>
          <t>Export-oriented; 'Certification–Export' not directly confirmed. EU unverified</t>
        </is>
      </c>
      <c r="J58" s="68" t="inlineStr">
        <is>
          <t>Industrial</t>
        </is>
      </c>
      <c r="K58" s="68" t="inlineStr">
        <is>
          <t>No organ program found</t>
        </is>
      </c>
      <c r="L58" s="68" t="inlineStr">
        <is>
          <t>Unlikely</t>
        </is>
      </c>
      <c r="M58" s="110" t="inlineStr">
        <is>
          <t>NO</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t>
        </is>
      </c>
      <c r="E59" s="26" t="inlineStr">
        <is>
          <t>HIGH
(&gt;5,000/wk)</t>
        </is>
      </c>
      <c r="F59" s="68" t="inlineStr">
        <is>
          <t>MARKET only</t>
        </is>
      </c>
      <c r="G59" s="68" t="inlineStr">
        <is>
          <t>USDA ✓ M46491 + P46491</t>
        </is>
      </c>
      <c r="H59" s="25" t="inlineStr">
        <is>
          <t>⚠ Humane-handling NOIE 12/2019 (Est. M46491; captive bolt on a condemned hog).</t>
        </is>
      </c>
      <c r="I59" s="68" t="inlineStr">
        <is>
          <t>Not confirmed on public lists — verify</t>
        </is>
      </c>
      <c r="J59" s="68" t="inlineStr">
        <is>
          <t>Industrial</t>
        </is>
      </c>
      <c r="K59" s="68" t="inlineStr">
        <is>
          <t>Biologics unknown</t>
        </is>
      </c>
      <c r="L59" s="68" t="inlineStr">
        <is>
          <t>Unlikely</t>
        </is>
      </c>
      <c r="M59" s="110" t="inlineStr">
        <is>
          <t>NO</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26" t="inlineStr">
        <is>
          <t>HIGH
(&gt;5,000/wk)</t>
        </is>
      </c>
      <c r="F60" s="68" t="inlineStr">
        <is>
          <t>Yes/mixed</t>
        </is>
      </c>
      <c r="G60" s="68" t="inlineStr">
        <is>
          <t>USDA ✓</t>
        </is>
      </c>
      <c r="H60" s="68" t="inlineStr">
        <is>
          <t>Varies by plant — check FSIS Quarterly Enforcement Reports per establishment #</t>
        </is>
      </c>
      <c r="I60" s="68" t="inlineStr">
        <is>
          <t>Varies — check FSIS 'Eligible Establishments by Country' + TRACES</t>
        </is>
      </c>
      <c r="J60" s="68" t="inlineStr">
        <is>
          <t>Industrial</t>
        </is>
      </c>
      <c r="K60" s="68" t="inlineStr">
        <is>
          <t>Not confirmed</t>
        </is>
      </c>
      <c r="L60" s="68" t="inlineStr">
        <is>
          <t>Unlikely</t>
        </is>
      </c>
      <c r="M60" s="110" t="inlineStr">
        <is>
          <t>NO</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31.8" customHeight="1" s="59">
      <c r="A62" s="4" t="inlineStr">
        <is>
          <t>Sinclair BioResources</t>
        </is>
      </c>
      <c r="B62" s="68" t="inlineStr">
        <is>
          <t>Auxvasse, MO</t>
        </is>
      </c>
      <c r="C62" s="68" t="inlineStr">
        <is>
          <t>Minipig supplier + bio-samples</t>
        </is>
      </c>
      <c r="D62" s="68" t="inlineStr">
        <is>
          <t>n/a (research minipigs)</t>
        </is>
      </c>
      <c r="E62" s="24" t="inlineStr">
        <is>
          <t>n/a</t>
        </is>
      </c>
      <c r="F62" s="68" t="inlineStr">
        <is>
          <t>Yes (minipigs)</t>
        </is>
      </c>
      <c r="G62" s="68" t="inlineStr">
        <is>
          <t>unknown</t>
        </is>
      </c>
      <c r="H62" s="68" t="inlineStr">
        <is>
          <t>None found (research minipig facility)</t>
        </is>
      </c>
      <c r="I62" s="68" t="inlineStr">
        <is>
          <t>Research minipig; APHIS VS channel — verify</t>
        </is>
      </c>
      <c r="J62" s="68" t="inlineStr">
        <is>
          <t>Research-scale program</t>
        </is>
      </c>
      <c r="K62" s="68" t="inlineStr">
        <is>
          <t>Minipig tissue / bio-samples (Sinclair, Yucatan, Hanford)</t>
        </is>
      </c>
      <c r="L62" s="68" t="inlineStr">
        <is>
          <t>n/a</t>
        </is>
      </c>
      <c r="M62" s="110" t="inlineStr">
        <is>
          <t>NO</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t>
        </is>
      </c>
      <c r="E64" s="26" t="inlineStr">
        <is>
          <t>HIGH
(&gt;5,000/wk)</t>
        </is>
      </c>
      <c r="F64" s="83" t="inlineStr">
        <is>
          <t>MARKET + boar/stag
(sow: No, roaster: No)</t>
        </is>
      </c>
      <c r="G64" s="83" t="inlineStr">
        <is>
          <t>USDA ✓ M20608</t>
        </is>
      </c>
      <c r="H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I64" s="83" t="inlineStr">
        <is>
          <t>Sister plant Villari Food Group is EXPORT-CERTIFIED for pork (FSIS, edible). APHIS by-product listing unverified</t>
        </is>
      </c>
      <c r="J64" s="83" t="inlineStr">
        <is>
          <t>⚠⚠ TWO humane-handling NOIEs — 11 May 2022 AND 8 May 2025 (repeat pattern, 3 yrs apart)</t>
        </is>
      </c>
      <c r="K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L64" s="83" t="inlineStr">
        <is>
          <t>Unlikely at 1,500 hd/day</t>
        </is>
      </c>
      <c r="M64" s="109" t="inlineStr">
        <is>
          <t>YES · ~45 mi</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t>
        </is>
      </c>
    </row>
    <row r="65" ht="125.6"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t>
        </is>
      </c>
      <c r="E65" s="20" t="inlineStr">
        <is>
          <t>MEDIUM
(350-2,500/wk)</t>
        </is>
      </c>
      <c r="F65" s="134" t="inlineStr">
        <is>
          <t>MARKET + ROASTER
(NOT roaster-only)</t>
        </is>
      </c>
      <c r="G65" s="83" t="inlineStr">
        <is>
          <t>USDA ✓ M18296A
(the study's 'TA-18296A' is the
Talmadge-Aiken designation of the
same establishment)</t>
        </is>
      </c>
      <c r="H65" s="83" t="inlineStr">
        <is>
          <t>None found (FSIS unreachable — NOT a clean bill)</t>
        </is>
      </c>
      <c r="I65" s="83" t="inlineStr">
        <is>
          <t>TA = interstate/export eligible. Company claims Caribbean export (self-reported, UNVERIFIED). APHIS listing not found</t>
        </is>
      </c>
      <c r="J65" s="83" t="inlineStr">
        <is>
          <t>None found (NOT a clean bill — FSIS unreachable)</t>
        </is>
      </c>
      <c r="K65" s="83" t="inlineStr">
        <is>
          <t>Roaster line dresses whole-body — suits intact-block recovery; organs near-zero-value byproduct on their lines. Cold storage + Caribbean-export chill-chain discipline already on site.</t>
        </is>
      </c>
      <c r="L65" s="83" t="inlineStr">
        <is>
          <t>Their floor hosts THEIR crew —
see Model B column (B-T live)</t>
        </is>
      </c>
      <c r="M65" s="109" t="inlineStr">
        <is>
          <t>YES · ~45 mi</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t>
        </is>
      </c>
    </row>
    <row r="66" ht="98.8" customHeight="1" s="59">
      <c r="A66" s="4" t="inlineStr">
        <is>
          <t>Caldwell Meat Processing Co.</t>
        </is>
      </c>
      <c r="B66" s="68" t="inlineStr">
        <is>
          <t>Maiden, NC (Lincoln)</t>
        </is>
      </c>
      <c r="C66" s="68" t="inlineStr">
        <is>
          <t>NC STATE-inspected slaughter + processing</t>
        </is>
      </c>
      <c r="D66" s="68" t="inlineStr">
        <is>
          <t>unknown (est. SMALL)</t>
        </is>
      </c>
      <c r="E66" s="22" t="inlineStr">
        <is>
          <t>SMALL
(0-300/wk)</t>
        </is>
      </c>
      <c r="F66" s="68" t="inlineStr">
        <is>
          <t>Yes — SWINE-ONLY</t>
        </is>
      </c>
      <c r="G66" s="68" t="inlineStr">
        <is>
          <t>STATE only P-312
(NOT USDA — intrastate)</t>
        </is>
      </c>
      <c r="H66" s="68" t="inlineStr">
        <is>
          <t>State-inspected — never appears in FSIS data; absence is meaningless. Check NCDA state records.</t>
        </is>
      </c>
      <c r="I66" s="68" t="inlineStr">
        <is>
          <t>State-inspected — intrastate NC only; not export eligible as edible product</t>
        </is>
      </c>
      <c r="J66" s="68" t="inlineStr">
        <is>
          <t>None found (state plants never appear in FSIS data — absence is meaningless here)</t>
        </is>
      </c>
      <c r="K66" s="68" t="inlineStr">
        <is>
          <t>Hog-ONLY kill floor — every kill day is a hog day (the Nahunta structural pattern). Offal policy unverified.</t>
        </is>
      </c>
      <c r="L66" s="68" t="inlineStr">
        <is>
          <t>Plausible</t>
        </is>
      </c>
      <c r="M66" s="110" t="inlineStr">
        <is>
          <t>NO · ~227 mi</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12.2" customHeight="1" s="59">
      <c r="A67" s="4" t="inlineStr">
        <is>
          <t>McLaughlin's</t>
        </is>
      </c>
      <c r="B67" s="68" t="inlineStr">
        <is>
          <t>Mooresville, NC (Rowan)</t>
        </is>
      </c>
      <c r="C67" s="68" t="inlineStr">
        <is>
          <t>NC STATE-inspected slaughter + processing</t>
        </is>
      </c>
      <c r="D67" s="68" t="inlineStr">
        <is>
          <t>unknown (est. SMALL)</t>
        </is>
      </c>
      <c r="E67" s="22" t="inlineStr">
        <is>
          <t>SMALL
(0-300/wk)</t>
        </is>
      </c>
      <c r="F67" s="68" t="inlineStr">
        <is>
          <t>Yes — SWINE-ONLY</t>
        </is>
      </c>
      <c r="G67" s="68" t="inlineStr">
        <is>
          <t>STATE only P-85
(NOT USDA — intrastate)</t>
        </is>
      </c>
      <c r="H67" s="68" t="inlineStr">
        <is>
          <t>State-inspected — not in FSIS data by construction</t>
        </is>
      </c>
      <c r="I67" s="68" t="inlineStr">
        <is>
          <t>State-inspected — intrastate NC only</t>
        </is>
      </c>
      <c r="J67" s="68" t="inlineStr">
        <is>
          <t>None found (state plant — not in FSIS data)</t>
        </is>
      </c>
      <c r="K67" s="68" t="inlineStr">
        <is>
          <t>MIXED: livermush CONSUMES THE LIVERS (~3,000 lb/wk in season) and sausage uses trim — livers and some viscera are their RAW MATERIAL. But pelvic / bariatric / thoracic blocks, aortas and leaf fat may still be waste streams — negotiable.</t>
        </is>
      </c>
      <c r="L67" s="68" t="inlineStr">
        <is>
          <t>Plausible</t>
        </is>
      </c>
      <c r="M67" s="110" t="inlineStr">
        <is>
          <t>NO · ~201 mi</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8" ht="112.2" customHeight="1" s="59">
      <c r="A68" s="4" t="inlineStr">
        <is>
          <t>Price's Custom Meat Cutting &amp; Abattoir</t>
        </is>
      </c>
      <c r="B68" s="68" t="inlineStr">
        <is>
          <t>Hickory, NC (Burke)</t>
        </is>
      </c>
      <c r="C68" s="68" t="inlineStr">
        <is>
          <t>NC STATE-inspected slaughter + processing</t>
        </is>
      </c>
      <c r="D68" s="68" t="inlineStr">
        <is>
          <t>unknown (est. SMALL)</t>
        </is>
      </c>
      <c r="E68" s="22" t="inlineStr">
        <is>
          <t>SMALL
(0-300/wk)</t>
        </is>
      </c>
      <c r="F68" s="68" t="inlineStr">
        <is>
          <t>Yes — SWINE-ONLY</t>
        </is>
      </c>
      <c r="G68" s="68" t="inlineStr">
        <is>
          <t>STATE only P-307
(NOT USDA — intrastate)</t>
        </is>
      </c>
      <c r="H68" s="68" t="inlineStr">
        <is>
          <t>State-inspected — not in FSIS data by construction</t>
        </is>
      </c>
      <c r="I68" s="68" t="inlineStr">
        <is>
          <t>State-inspected — intrastate NC only</t>
        </is>
      </c>
      <c r="J68" s="68" t="inlineStr">
        <is>
          <t>None found (state plant — not in FSIS data)</t>
        </is>
      </c>
      <c r="K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L68" s="68" t="inlineStr">
        <is>
          <t>Plausible</t>
        </is>
      </c>
      <c r="M68" s="110" t="inlineStr">
        <is>
          <t>NO · ~226 mi</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12.2" customHeight="1" s="59">
      <c r="A69" s="4" t="inlineStr">
        <is>
          <t>Contentnea Farms, LLC</t>
        </is>
      </c>
      <c r="B69" s="68" t="inlineStr">
        <is>
          <t>Walstonburg, NC (Greene)</t>
        </is>
      </c>
      <c r="C69" s="68" t="inlineStr">
        <is>
          <t>Talmadge-Aiken multi-species slaughter</t>
        </is>
      </c>
      <c r="D69" s="68" t="inlineStr">
        <is>
          <t>&lt;19/wk
(FSIS cat 1)</t>
        </is>
      </c>
      <c r="E69" s="139" t="inlineStr">
        <is>
          <t>SMALL
(0-300/wk)</t>
        </is>
      </c>
      <c r="F69" s="68" t="inlineStr">
        <is>
          <t>MARKET + SOW + boar/stag</t>
        </is>
      </c>
      <c r="G69" s="68" t="inlineStr">
        <is>
          <t>USDA ✓ M2583 — grant 10/29/2025
(2nd-newest swine grant in NC;
TA-2583 in the state TA directory)</t>
        </is>
      </c>
      <c r="H69" s="68" t="inlineStr">
        <is>
          <t>None found (FSIS unreachable)</t>
        </is>
      </c>
      <c r="I69" s="68" t="inlineStr">
        <is>
          <t>Talmadge-Aiken — interstate/export eligible. APHIS listing unverified</t>
        </is>
      </c>
      <c r="J69" s="68" t="inlineStr">
        <is>
          <t>None found (FSIS unreachable)</t>
        </is>
      </c>
      <c r="K69" s="68" t="inlineStr">
        <is>
          <t>unknown</t>
        </is>
      </c>
      <c r="L69" s="68" t="inlineStr">
        <is>
          <t>Plausible</t>
        </is>
      </c>
      <c r="M69" s="109" t="inlineStr">
        <is>
          <t>YES · ~35 mi</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70" ht="58.6" customHeight="1" s="59">
      <c r="A70" s="4" t="inlineStr">
        <is>
          <t>Assured Community Processing LLC</t>
        </is>
      </c>
      <c r="B70" s="68" t="inlineStr">
        <is>
          <t>Micro, NC (Johnston)</t>
        </is>
      </c>
      <c r="C70" s="68" t="inlineStr">
        <is>
          <t>USDA federal, FSIS 'Very Small'</t>
        </is>
      </c>
      <c r="D70" s="68" t="inlineStr">
        <is>
          <t>n/a — CLOSED</t>
        </is>
      </c>
      <c r="E70" s="143" t="inlineStr">
        <is>
          <t>n/a</t>
        </is>
      </c>
      <c r="F70" s="68" t="inlineStr">
        <is>
          <t>CONFIRM SWINE</t>
        </is>
      </c>
      <c r="G70" s="68" t="inlineStr">
        <is>
          <t>⚠ M2123 went FSIS-INACTIVE
11/10/2025</t>
        </is>
      </c>
      <c r="H70" s="68" t="inlineStr">
        <is>
          <t>None found (FSIS unreachable)</t>
        </is>
      </c>
      <c r="I70" s="68" t="inlineStr">
        <is>
          <t>Federal grant — export structurally possible. Not on public export lists</t>
        </is>
      </c>
      <c r="J70" s="68" t="inlineStr">
        <is>
          <t>None found (FSIS unreachable)</t>
        </is>
      </c>
      <c r="K70" s="68" t="inlineStr">
        <is>
          <t>unknown</t>
        </is>
      </c>
      <c r="L70" s="68" t="inlineStr">
        <is>
          <t>No</t>
        </is>
      </c>
      <c r="M70" s="109" t="inlineStr">
        <is>
          <t>YES · ~40 mi</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143" t="inlineStr">
        <is>
          <t>n/a</t>
        </is>
      </c>
      <c r="F71" s="68" t="inlineStr">
        <is>
          <t>CONFIRM SWINE</t>
        </is>
      </c>
      <c r="G71" s="68" t="inlineStr">
        <is>
          <t>⚠ M32012 went FSIS-INACTIVE
6/24/2025</t>
        </is>
      </c>
      <c r="H71" s="68" t="inlineStr">
        <is>
          <t>None found (FSIS unreachable)</t>
        </is>
      </c>
      <c r="I71" s="68" t="inlineStr">
        <is>
          <t>Federal grant. Not on public export lists</t>
        </is>
      </c>
      <c r="J71" s="68" t="inlineStr">
        <is>
          <t>None found (FSIS unreachable)</t>
        </is>
      </c>
      <c r="K71" s="68" t="inlineStr">
        <is>
          <t>unknown</t>
        </is>
      </c>
      <c r="L71" s="68" t="inlineStr">
        <is>
          <t>No</t>
        </is>
      </c>
      <c r="M71" s="110" t="inlineStr">
        <is>
          <t>NO · ~137 mi</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~19-192/wk
(FSIS cat 2 ceiling)</t>
        </is>
      </c>
      <c r="E72" s="22" t="inlineStr">
        <is>
          <t>SMALL
(0-300/wk)</t>
        </is>
      </c>
      <c r="F72" s="68" t="inlineStr">
        <is>
          <t>MARKET + boar/stag
(sow: No, roaster: No)</t>
        </is>
      </c>
      <c r="G72" s="68" t="inlineStr">
        <is>
          <t>USDA ✓ M21747 + P21747
(grant 2022)</t>
        </is>
      </c>
      <c r="H72" s="68" t="inlineStr">
        <is>
          <t>None found (FSIS unreachable)</t>
        </is>
      </c>
      <c r="I72" s="68" t="inlineStr">
        <is>
          <t>Federal (M21747). Not on public export lists</t>
        </is>
      </c>
      <c r="J72" s="68" t="inlineStr">
        <is>
          <t>None found (FSIS unreachable)</t>
        </is>
      </c>
      <c r="K72" s="68" t="inlineStr">
        <is>
          <t>Small custom-oriented family floor — offal return on request is the norm in this class (inference). BOAR/STAG flag = the largest male anatomy in the region.</t>
        </is>
      </c>
      <c r="L72" s="68" t="inlineStr">
        <is>
          <t>Plausible</t>
        </is>
      </c>
      <c r="M72" s="109" t="inlineStr">
        <is>
          <t>YES · ~45 mi</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22" t="inlineStr">
        <is>
          <t>SMALL
(0-300/wk)</t>
        </is>
      </c>
      <c r="F73" s="68" t="inlineStr">
        <is>
          <t>Yes (C among A-E)</t>
        </is>
      </c>
      <c r="G73" s="68" t="inlineStr">
        <is>
          <t>USDA ✓ Talmadge-Aiken
(interstate/export eligible)</t>
        </is>
      </c>
      <c r="H73" s="68" t="inlineStr">
        <is>
          <t>Not individually researched — Wayne Mays and Wilkes/Thomas Bros carry actions (see their own rows)</t>
        </is>
      </c>
      <c r="I73" s="68" t="inlineStr">
        <is>
          <t>All Talmadge-Aiken = federal-equivalent, so interstate/export eligible in structure. APHIS listing unverified for all</t>
        </is>
      </c>
      <c r="J73" s="68" t="inlineStr">
        <is>
          <t>None found (FSIS unreachable)</t>
        </is>
      </c>
      <c r="K73" s="68" t="inlineStr">
        <is>
          <t>unknown</t>
        </is>
      </c>
      <c r="L73" s="68" t="inlineStr">
        <is>
          <t>Plausible (Model A / aggregation)</t>
        </is>
      </c>
      <c r="M73" s="111" t="inlineStr">
        <is>
          <t>mixed — confirm</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22" t="inlineStr">
        <is>
          <t>SMALL
(0-300/wk)</t>
        </is>
      </c>
      <c r="F74" s="68" t="inlineStr">
        <is>
          <t>Yes</t>
        </is>
      </c>
      <c r="G74" s="68" t="inlineStr">
        <is>
          <t>STATE only
(NOT USDA — FLAG)</t>
        </is>
      </c>
      <c r="H74" s="68" t="inlineStr">
        <is>
          <t>State-inspected — not in FSIS data by construction</t>
        </is>
      </c>
      <c r="I74" s="68" t="inlineStr">
        <is>
          <t>State-inspected — intrastate NC only (FLAG for export)</t>
        </is>
      </c>
      <c r="J74" s="68" t="inlineStr">
        <is>
          <t>Not in FSIS data by construction</t>
        </is>
      </c>
      <c r="K74" s="68" t="inlineStr">
        <is>
          <t>unknown</t>
        </is>
      </c>
      <c r="L74" s="68" t="inlineStr">
        <is>
          <t>Plausible</t>
        </is>
      </c>
      <c r="M74" s="111" t="inlineStr">
        <is>
          <t>mixed — confirm</t>
        </is>
      </c>
      <c r="N74" s="68" t="inlineStr">
        <is>
          <t>Implausible</t>
        </is>
      </c>
      <c r="O74" s="68" t="inlineStr">
        <is>
          <t>see notes →</t>
        </is>
      </c>
      <c r="P74" s="23" t="inlineStr">
        <is>
          <t>CAUTION</t>
        </is>
      </c>
      <c r="Q74" s="178" t="inlineStr">
        <is>
          <t>Context roll-up — not an individual candidate.</t>
        </is>
      </c>
      <c r="R74" s="179" t="inlineStr">
        <is>
          <t>—</t>
        </is>
      </c>
      <c r="S74" s="68" t="inlineStr">
        <is>
          <t>Med</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31.8" customHeight="1" s="59">
      <c r="A75" s="4" t="inlineStr">
        <is>
          <t>Frank Corriher Beef and Sausage</t>
        </is>
      </c>
      <c r="B75" s="68" t="inlineStr">
        <is>
          <t>China Grove, NC (Rowan)</t>
        </is>
      </c>
      <c r="C75" s="68" t="inlineStr">
        <is>
          <t>TA — AMBIGUOUS record</t>
        </is>
      </c>
      <c r="D75" s="68" t="inlineStr">
        <is>
          <t>unknown</t>
        </is>
      </c>
      <c r="E75" s="24" t="inlineStr">
        <is>
          <t>unknown
(confirm)</t>
        </is>
      </c>
      <c r="F75" s="68" t="inlineStr">
        <is>
          <t>Ambiguous — see notes</t>
        </is>
      </c>
      <c r="G75" s="68" t="inlineStr">
        <is>
          <t>USDA ✓ TA-21022 / M21022</t>
        </is>
      </c>
      <c r="H75" s="68" t="inlineStr">
        <is>
          <t>None found</t>
        </is>
      </c>
      <c r="I75" s="68" t="inlineStr">
        <is>
          <t>TA/federal number exists — verify</t>
        </is>
      </c>
      <c r="J75" s="68" t="inlineStr">
        <is>
          <t>None found</t>
        </is>
      </c>
      <c r="K75" s="68" t="inlineStr">
        <is>
          <t>unknown</t>
        </is>
      </c>
      <c r="L75" s="68" t="inlineStr">
        <is>
          <t>Unknown</t>
        </is>
      </c>
      <c r="M75" s="110" t="inlineStr">
        <is>
          <t>NO · ~187 mi</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t>
        </is>
      </c>
      <c r="T75" s="68" t="inlineStr">
        <is>
          <t>DATA ANOMALY: NCDA lists Activities='Processing' but populates Slaughter Species='C' — every other processing-only plant leaves that blank. Either a stale slaughter grant or a data error. Worth ONE phone call.</t>
        </is>
      </c>
    </row>
    <row r="76" ht="31.8" customHeight="1" s="59">
      <c r="A76" s="4" t="inlineStr">
        <is>
          <t>Deer Shack Processing</t>
        </is>
      </c>
      <c r="B76" s="68" t="inlineStr">
        <is>
          <t>Mount Holly, NC (Gaston)</t>
        </is>
      </c>
      <c r="C76" s="68" t="inlineStr">
        <is>
          <t>CUSTOM-EXEMPT</t>
        </is>
      </c>
      <c r="D76" s="68" t="inlineStr">
        <is>
          <t>unknown</t>
        </is>
      </c>
      <c r="E76" s="24" t="inlineStr">
        <is>
          <t>unknown
(confirm)</t>
        </is>
      </c>
      <c r="F76" s="68" t="inlineStr">
        <is>
          <t>Yes — SWINE-ONLY</t>
        </is>
      </c>
      <c r="G76" s="68" t="inlineStr">
        <is>
          <t>CUSTOM-EXEMPT
(no inspection, no sale)</t>
        </is>
      </c>
      <c r="H76" s="68" t="inlineStr">
        <is>
          <t>Custom-exempt — outside FSIS enforcement</t>
        </is>
      </c>
      <c r="I76" s="68" t="inlineStr">
        <is>
          <t>Custom-exempt — not saleable, not exportable</t>
        </is>
      </c>
      <c r="J76" s="68" t="inlineStr">
        <is>
          <t>n/a</t>
        </is>
      </c>
      <c r="K76" s="68" t="inlineStr">
        <is>
          <t>n/a</t>
        </is>
      </c>
      <c r="L76" s="68" t="inlineStr">
        <is>
          <t>Not usable for a regulated chain</t>
        </is>
      </c>
      <c r="M76" s="110" t="inlineStr">
        <is>
          <t>NO · ~223 mi</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t>
        </is>
      </c>
      <c r="E77" s="24" t="inlineStr">
        <is>
          <t>n/a</t>
        </is>
      </c>
      <c r="F77" s="68" t="inlineStr">
        <is>
          <t>NO SWINE FLAGS in FSIS
— confirms BEEF ONLY</t>
        </is>
      </c>
      <c r="G77" s="68" t="inlineStr">
        <is>
          <t>USDA ✓ M6590
(Harpley's Meat Packing Inc.)</t>
        </is>
      </c>
      <c r="H77" s="68" t="inlineStr">
        <is>
          <t>n/a — beef plant, excluded</t>
        </is>
      </c>
      <c r="I77" s="68" t="inlineStr">
        <is>
          <t>n/a</t>
        </is>
      </c>
      <c r="J77" s="68" t="inlineStr">
        <is>
          <t>n/a</t>
        </is>
      </c>
      <c r="K77" s="68" t="inlineStr">
        <is>
          <t>n/a</t>
        </is>
      </c>
      <c r="L77" s="68" t="inlineStr">
        <is>
          <t>No</t>
        </is>
      </c>
      <c r="M77" s="110" t="inlineStr">
        <is>
          <t>NO (est.)</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98.8" customHeight="1" s="59">
      <c r="A79" s="146" t="inlineStr">
        <is>
          <t>McLamb's Abattoir and Meats, Inc.</t>
        </is>
      </c>
      <c r="B79" s="83" t="inlineStr">
        <is>
          <t>Benson, NC (Johnston)</t>
        </is>
      </c>
      <c r="C79" s="83" t="inlineStr">
        <is>
          <t>NC STATE-inspected slaughter + processing</t>
        </is>
      </c>
      <c r="D79" s="83" t="inlineStr">
        <is>
          <t>unknown — state plants
publish no volumes</t>
        </is>
      </c>
      <c r="E79" s="143" t="inlineStr">
        <is>
          <t>unknown
(confirm)</t>
        </is>
      </c>
      <c r="F79" s="134" t="inlineStr">
        <is>
          <t>Multi-species incl. HOGS
(state species A,B,C,D,E)</t>
        </is>
      </c>
      <c r="G79" s="83" t="inlineStr">
        <is>
          <t>STATE ✓ P-247
(NC state — APHIS-equivalent
for our harvest path)</t>
        </is>
      </c>
      <c r="H79" s="83" t="inlineStr">
        <is>
          <t>None found (state plants sit outside FSIS reporting — site-visit finding)</t>
        </is>
      </c>
      <c r="I79" s="83" t="inlineStr">
        <is>
          <t>NC state inspection = APHIS-accepted equivalent when WE harvest; export-eligible via ATM assembly</t>
        </is>
      </c>
      <c r="J79" s="83" t="inlineStr">
        <is>
          <t>Family abattoir; operator Shane Lee. Nothing published either way.</t>
        </is>
      </c>
      <c r="K79" s="83" t="inlineStr">
        <is>
          <t>Plausible-untested — custom-oriented family floor; offal return is the norm in this class</t>
        </is>
      </c>
      <c r="L79" s="83" t="inlineStr">
        <is>
          <t>Nahunta playbook: relationship-first, our crew on site</t>
        </is>
      </c>
      <c r="M79" s="88" t="inlineStr">
        <is>
          <t>YES · ~37 mi</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80" ht="72" customHeight="1" s="59">
      <c r="A80" s="146" t="inlineStr">
        <is>
          <t>Gale McLamb Meats</t>
        </is>
      </c>
      <c r="B80" s="83" t="inlineStr">
        <is>
          <t>Dunn, NC (Harnett)</t>
        </is>
      </c>
      <c r="C80" s="83" t="inlineStr">
        <is>
          <t>NC STATE-inspected slaughter + processing</t>
        </is>
      </c>
      <c r="D80" s="83" t="inlineStr">
        <is>
          <t>unknown — likely small
retail-butcher scale</t>
        </is>
      </c>
      <c r="E80" s="143" t="inlineStr">
        <is>
          <t>unknown
(confirm)</t>
        </is>
      </c>
      <c r="F80" s="134" t="inlineStr">
        <is>
          <t>Cattle + HOGS
(state species A,B,C)</t>
        </is>
      </c>
      <c r="G80" s="83" t="inlineStr">
        <is>
          <t>STATE ✓ P-221
(NC state — APHIS-equivalent
for our harvest path)</t>
        </is>
      </c>
      <c r="H80" s="83" t="inlineStr">
        <is>
          <t>None found (state plants sit outside FSIS reporting)</t>
        </is>
      </c>
      <c r="I80" s="83" t="inlineStr">
        <is>
          <t>NC state inspection = APHIS-accepted equivalent when WE harvest</t>
        </is>
      </c>
      <c r="J80" s="83" t="inlineStr">
        <is>
          <t>Family plant since 1980 (Gale &amp; Linda McLamb + two sons). Nothing published either way.</t>
        </is>
      </c>
      <c r="K80" s="83" t="inlineStr">
        <is>
          <t>Plausible-untested</t>
        </is>
      </c>
      <c r="L80" s="83" t="inlineStr">
        <is>
          <t>Nahunta playbook; Martin's-adjacent fallback</t>
        </is>
      </c>
      <c r="M80" s="88" t="inlineStr">
        <is>
          <t>YES · ~44 mi</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81" ht="72" customHeight="1" s="59">
      <c r="A81" s="146" t="inlineStr">
        <is>
          <t>SCR International Corp.</t>
        </is>
      </c>
      <c r="B81" s="83" t="inlineStr">
        <is>
          <t>Fairmont, NC (Robeson)</t>
        </is>
      </c>
      <c r="C81" s="83" t="inlineStr">
        <is>
          <t>USDA federal (T-A) whole-pig ROASTER house</t>
        </is>
      </c>
      <c r="D81" s="83" t="inlineStr">
        <is>
          <t>~19-192/wk
(FSIS cat 2)</t>
        </is>
      </c>
      <c r="E81" s="139" t="inlineStr">
        <is>
          <t>SMALL
(0-300/wk)</t>
        </is>
      </c>
      <c r="F81" s="134" t="inlineStr">
        <is>
          <t>MARKET + SOW flags —
reality: roasters 10-110 lb
for the lechon/ethnic trade</t>
        </is>
      </c>
      <c r="G81" s="83" t="inlineStr">
        <is>
          <t>USDA ✓ M9199 + P9199
(TA-9199 in the state TA directory)</t>
        </is>
      </c>
      <c r="H81" s="83" t="inlineStr">
        <is>
          <t>None found</t>
        </is>
      </c>
      <c r="I81" s="83" t="inlineStr">
        <is>
          <t>Federal grant → harvest-path eligible in principle</t>
        </is>
      </c>
      <c r="J81" s="83" t="inlineStr">
        <is>
          <t>None found (no FTP documentation, no HH enforcement rows)</t>
        </is>
      </c>
      <c r="K81" s="83" t="inlineStr">
        <is>
          <t>WEAK — roasters dressed whole; small-pig anatomy wrong for surgical models; sow flag likely incidental</t>
        </is>
      </c>
      <c r="L81" s="83" t="inlineStr">
        <is>
          <t>No upside vs Parks</t>
        </is>
      </c>
      <c r="M81" s="89" t="inlineStr">
        <is>
          <t>NO · ~114 mi</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143" t="inlineStr">
        <is>
          <t>unknown
(confirm)</t>
        </is>
      </c>
      <c r="F82" s="134" t="inlineStr">
        <is>
          <t>unknown</t>
        </is>
      </c>
      <c r="G82" s="83" t="inlineStr">
        <is>
          <t>NOT in any 2026-08-10 directory
(state, TA, or custom)</t>
        </is>
      </c>
      <c r="H82" s="83" t="inlineStr">
        <is>
          <t>n/a</t>
        </is>
      </c>
      <c r="I82" s="83" t="inlineStr">
        <is>
          <t>n/a</t>
        </is>
      </c>
      <c r="J82" s="83" t="inlineStr">
        <is>
          <t>unknown</t>
        </is>
      </c>
      <c r="K82" s="83" t="inlineStr">
        <is>
          <t>unknown</t>
        </is>
      </c>
      <c r="L82" s="83" t="inlineStr">
        <is>
          <t>unknown</t>
        </is>
      </c>
      <c r="M82" s="89" t="inlineStr">
        <is>
          <t>confirm</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72" customHeight="1" s="59">
      <c r="A83" s="146" t="inlineStr">
        <is>
          <t>Select Meats, Inc.</t>
        </is>
      </c>
      <c r="B83" s="83" t="inlineStr">
        <is>
          <t>Kannapolis, NC (Rowan)</t>
        </is>
      </c>
      <c r="C83" s="83" t="inlineStr">
        <is>
          <t>USDA federal (T-A) SLAUGHTER-ONLY plant</t>
        </is>
      </c>
      <c r="D83" s="83" t="inlineStr">
        <is>
          <t>~19-192/wk all species
(FSIS cat 2)</t>
        </is>
      </c>
      <c r="E83" s="139" t="inlineStr">
        <is>
          <t>SMALL
(0-300/wk)</t>
        </is>
      </c>
      <c r="F83" s="134" t="inlineStr">
        <is>
          <t>MARKET only
(cattle + hogs; mgr Gerald Wood)</t>
        </is>
      </c>
      <c r="G83" s="83" t="inlineStr">
        <is>
          <t>USDA ✓ M10757
(TA-10757 in the state TA directory)</t>
        </is>
      </c>
      <c r="H83" s="83" t="inlineStr">
        <is>
          <t>None found</t>
        </is>
      </c>
      <c r="I83" s="83" t="inlineStr">
        <is>
          <t>Federal grant → harvest-path eligible</t>
        </is>
      </c>
      <c r="J83" s="83" t="inlineStr">
        <is>
          <t>None found</t>
        </is>
      </c>
      <c r="K83" s="83" t="inlineStr">
        <is>
          <t>Plausible-unknown — slaughter-only custom plant, organ return typical but undocumented</t>
        </is>
      </c>
      <c r="L83" s="83" t="inlineStr">
        <is>
          <t>Could be a CQP-style Model A host IF the building supports it — near-zero public footprint</t>
        </is>
      </c>
      <c r="M83" s="89" t="inlineStr">
        <is>
          <t>NO · ~190 mi</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4" ht="72" customHeight="1" s="59">
      <c r="A84" s="146" t="inlineStr">
        <is>
          <t>Crawley's Abattoir</t>
        </is>
      </c>
      <c r="B84" s="83" t="inlineStr">
        <is>
          <t>Morganton, NC (Burke)</t>
        </is>
      </c>
      <c r="C84" s="83" t="inlineStr">
        <is>
          <t>NC STATE-inspected slaughter + processing</t>
        </is>
      </c>
      <c r="D84" s="83" t="inlineStr">
        <is>
          <t>unknown — state plants
publish no volumes</t>
        </is>
      </c>
      <c r="E84" s="143" t="inlineStr">
        <is>
          <t>unknown
(confirm)</t>
        </is>
      </c>
      <c r="F84" s="134" t="inlineStr">
        <is>
          <t>HOGS + goats/sheep
(state species C, D, E)</t>
        </is>
      </c>
      <c r="G84" s="83" t="inlineStr">
        <is>
          <t>STATE ✓ P-101
(NC state — APHIS-equivalent
for our harvest path)</t>
        </is>
      </c>
      <c r="H84" s="83" t="inlineStr">
        <is>
          <t>None found (state plants sit outside FSIS reporting)</t>
        </is>
      </c>
      <c r="I84" s="83" t="inlineStr">
        <is>
          <t>NC state inspection = APHIS-accepted equivalent when WE harvest</t>
        </is>
      </c>
      <c r="J84" s="83" t="inlineStr">
        <is>
          <t>Nothing published either way.</t>
        </is>
      </c>
      <c r="K84" s="83" t="inlineStr">
        <is>
          <t>Plausible-untested</t>
        </is>
      </c>
      <c r="L84" s="83" t="inlineStr">
        <is>
          <t>Western-crew / Model B only (distance)</t>
        </is>
      </c>
      <c r="M84" s="89" t="inlineStr">
        <is>
          <t>NO · ~245 mi</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139" t="inlineStr">
        <is>
          <t>SMALL
(0-300/wk)</t>
        </is>
      </c>
      <c r="F85" s="134" t="inlineStr">
        <is>
          <t>Mixed (market; some sow/boar)</t>
        </is>
      </c>
      <c r="G85" s="83" t="inlineStr">
        <is>
          <t>USDA ✓ — Blueridge Processing M2225 (Marion);
Circle S Meats M1916 (Rutherfordton);
Plantation Processing M790 (Marshville);
Cool Springs M1041 (Yadkinville)</t>
        </is>
      </c>
      <c r="H85" s="83" t="inlineStr">
        <is>
          <t>None found</t>
        </is>
      </c>
      <c r="I85" s="83" t="inlineStr">
        <is>
          <t>Federal grants → harvest-path eligible</t>
        </is>
      </c>
      <c r="J85" s="83" t="inlineStr">
        <is>
          <t>None found</t>
        </is>
      </c>
      <c r="K85" s="83" t="inlineStr">
        <is>
          <t>n/a at this volume</t>
        </is>
      </c>
      <c r="L85" s="83" t="inlineStr">
        <is>
          <t>No — too small, too far</t>
        </is>
      </c>
      <c r="M85" s="89" t="inlineStr">
        <is>
          <t>NO · 170-283 mi</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143" t="inlineStr">
        <is>
          <t>n/a</t>
        </is>
      </c>
      <c r="F86" s="134" t="inlineStr">
        <is>
          <t>n/a</t>
        </is>
      </c>
      <c r="G86" s="83" t="inlineStr">
        <is>
          <t>All confirmed on the FSIS INACTIVE
directory retrieved 2026-08-17</t>
        </is>
      </c>
      <c r="H86" s="83" t="inlineStr">
        <is>
          <t>n/a</t>
        </is>
      </c>
      <c r="I86" s="83" t="inlineStr">
        <is>
          <t>n/a</t>
        </is>
      </c>
      <c r="J86" s="83" t="inlineStr">
        <is>
          <t>n/a</t>
        </is>
      </c>
      <c r="K86" s="83" t="inlineStr">
        <is>
          <t>n/a</t>
        </is>
      </c>
      <c r="L86" s="83" t="inlineStr">
        <is>
          <t>n/a</t>
        </is>
      </c>
      <c r="M86" s="89"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24" t="inlineStr">
        <is>
          <t>unknown
(confirm)</t>
        </is>
      </c>
      <c r="F88" s="68" t="inlineStr">
        <is>
          <t>CONFIRM — no species column in SC file</t>
        </is>
      </c>
      <c r="G88" s="68" t="inlineStr">
        <is>
          <t>USDA federal-equivalent
(interstate/export eligible)</t>
        </is>
      </c>
      <c r="H88" s="68" t="inlineStr">
        <is>
          <t>None found — and SC LEGALLY REFUSES to release humane records, so screening returns false negatives by construction</t>
        </is>
      </c>
      <c r="I88" s="68" t="inlineStr">
        <is>
          <t>Federal-equivalent — SC's ONLY export-eligible slaughter route. APHIS listing unverified</t>
        </is>
      </c>
      <c r="J88" s="68" t="inlineStr">
        <is>
          <t>None found</t>
        </is>
      </c>
      <c r="K88" s="68" t="inlineStr">
        <is>
          <t>unknown</t>
        </is>
      </c>
      <c r="L88" s="68" t="inlineStr">
        <is>
          <t>Plausible</t>
        </is>
      </c>
      <c r="M88" s="111" t="inlineStr">
        <is>
          <t>mixed — confirm</t>
        </is>
      </c>
      <c r="N88" s="68" t="inlineStr">
        <is>
          <t>Plausible</t>
        </is>
      </c>
      <c r="O88" s="68" t="inlineStr">
        <is>
          <t>see notes →</t>
        </is>
      </c>
      <c r="P88" s="23" t="inlineStr">
        <is>
          <t>POSSIBLE</t>
        </is>
      </c>
      <c r="Q88" s="178" t="inlineStr">
        <is>
          <t>Context roll-up — not an individual candidate.</t>
        </is>
      </c>
      <c r="R88" s="179" t="inlineStr">
        <is>
          <t>—</t>
        </is>
      </c>
      <c r="S88" s="68" t="inlineStr">
        <is>
          <t>Med</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22" t="inlineStr">
        <is>
          <t>SMALL
(0-300/wk)</t>
        </is>
      </c>
      <c r="F89" s="68" t="inlineStr">
        <is>
          <t>CONFIRM — no species column</t>
        </is>
      </c>
      <c r="G89" s="68" t="inlineStr">
        <is>
          <t>STATE only
(NOT USDA — FLAG)</t>
        </is>
      </c>
      <c r="H89" s="68" t="inlineStr">
        <is>
          <t>SC law blocks release of humane-handling records — public screening is unreliable by construction</t>
        </is>
      </c>
      <c r="I89" s="112" t="inlineStr">
        <is>
          <t>⛔ State-inspected, non-NC — NOT accepted as equivalent. Needs USDA/FSIS to qualify for Path 1.</t>
        </is>
      </c>
      <c r="J89" s="68" t="inlineStr">
        <is>
          <t>SC LEGALLY REFUSES to release humane-handling records — screening returns false negatives by construction</t>
        </is>
      </c>
      <c r="K89" s="68" t="inlineStr">
        <is>
          <t>unknown</t>
        </is>
      </c>
      <c r="L89" s="68" t="inlineStr">
        <is>
          <t>Plausible</t>
        </is>
      </c>
      <c r="M89" s="111" t="inlineStr">
        <is>
          <t>mixed — confirm</t>
        </is>
      </c>
      <c r="N89" s="68" t="inlineStr">
        <is>
          <t>Implausible</t>
        </is>
      </c>
      <c r="O89" s="68" t="inlineStr">
        <is>
          <t>see notes →</t>
        </is>
      </c>
      <c r="P89" s="23" t="inlineStr">
        <is>
          <t>CAUTION</t>
        </is>
      </c>
      <c r="Q89" s="178" t="inlineStr">
        <is>
          <t>Context roll-up — not an individual candidate.</t>
        </is>
      </c>
      <c r="R89" s="179" t="inlineStr">
        <is>
          <t>—</t>
        </is>
      </c>
      <c r="S89" s="68" t="inlineStr">
        <is>
          <t>Med</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t>
        </is>
      </c>
      <c r="E91" s="27" t="inlineStr">
        <is>
          <t>MEDIUM-HIGH
(2,500-5,000/wk)</t>
        </is>
      </c>
      <c r="F91" s="68" t="inlineStr">
        <is>
          <t>Yes — SOWS</t>
        </is>
      </c>
      <c r="G91" s="68" t="inlineStr">
        <is>
          <t>USDA ✓ M8314 + V8314</t>
        </is>
      </c>
      <c r="H91" s="25" t="inlineStr">
        <is>
          <t>⚠ Two TN OSHA machine-guarding actions (2018 complaint-driven, 2024 planned; same 1910.212(a)(1) standard 6 yrs apart)</t>
        </is>
      </c>
      <c r="I91" s="68" t="inlineStr">
        <is>
          <t>Federal (M8314). Not confirmed on public export lists</t>
        </is>
      </c>
      <c r="J91" s="68" t="inlineStr">
        <is>
          <t>⚠ Two TN OSHA machine-guarding actions 6 yrs apart (2018, 2024, same standard) — worker-welfare flag</t>
        </is>
      </c>
      <c r="K91" s="68" t="inlineStr">
        <is>
          <t>No existing organ programme — would have to be BUILT</t>
        </is>
      </c>
      <c r="L91" s="68" t="inlineStr">
        <is>
          <t>Possible</t>
        </is>
      </c>
      <c r="M91" s="110" t="inlineStr">
        <is>
          <t>NO</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t>
        </is>
      </c>
      <c r="E92" s="20" t="inlineStr">
        <is>
          <t>MEDIUM
(350-2,500/wk)</t>
        </is>
      </c>
      <c r="F92" s="133" t="inlineStr">
        <is>
          <t>MARKET + SOW
(not sow-only)</t>
        </is>
      </c>
      <c r="G92" s="68" t="inlineStr">
        <is>
          <t>USDA ✓ M9065 + P9065 + V9065</t>
        </is>
      </c>
      <c r="H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92" s="68" t="inlineStr">
        <is>
          <t>Federal (M9065). Not confirmed on public export lists</t>
        </is>
      </c>
      <c r="J92" s="68" t="inlineStr">
        <is>
          <t>Family-owned since 1937 BUT production hiring routes through 3 staffing agencies at $12-14/hr — against the tenure criterion</t>
        </is>
      </c>
      <c r="K92" s="68" t="inlineStr">
        <is>
          <t>unknown</t>
        </is>
      </c>
      <c r="L92" s="68" t="inlineStr">
        <is>
          <t>Possible</t>
        </is>
      </c>
      <c r="M92" s="110" t="inlineStr">
        <is>
          <t>NO</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45.2" customHeight="1" s="59">
      <c r="A93" s="4" t="inlineStr">
        <is>
          <t>Tyson (Hillshire / Jimmy Dean) — Newbern</t>
        </is>
      </c>
      <c r="B93" s="68" t="inlineStr">
        <is>
          <t>Newbern, TN (Dyer)</t>
        </is>
      </c>
      <c r="C93" s="68" t="inlineStr">
        <is>
          <t>Industrial — PRIMARILY SOWS</t>
        </is>
      </c>
      <c r="D93" s="68" t="inlineStr">
        <is>
          <t>~14,000/wk (2,800 hd/day)</t>
        </is>
      </c>
      <c r="E93" s="26" t="inlineStr">
        <is>
          <t>HIGH
(&gt;5,000/wk)</t>
        </is>
      </c>
      <c r="F93" s="68" t="inlineStr">
        <is>
          <t>MARKET + SOW
(roaster: No, boar/stag: No)</t>
        </is>
      </c>
      <c r="G93" s="68" t="inlineStr">
        <is>
          <t>USDA ✓ M8080 + P8080
(FSIS lists The Hillshire Brands Company)</t>
        </is>
      </c>
      <c r="H93" s="68" t="inlineStr">
        <is>
          <t>Not individually researched</t>
        </is>
      </c>
      <c r="I93" s="68" t="inlineStr">
        <is>
          <t>Federal. Export status not researched</t>
        </is>
      </c>
      <c r="J93" s="68" t="inlineStr">
        <is>
          <t>Corporate industrial</t>
        </is>
      </c>
      <c r="K93" s="68" t="inlineStr">
        <is>
          <t>unknown</t>
        </is>
      </c>
      <c r="L93" s="68" t="inlineStr">
        <is>
          <t>Low plausibility</t>
        </is>
      </c>
      <c r="M93" s="110" t="inlineStr">
        <is>
          <t>NO</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20" t="inlineStr">
        <is>
          <t>MEDIUM
(350-2,500/wk)</t>
        </is>
      </c>
      <c r="F94" s="68" t="inlineStr">
        <is>
          <t>Yes — SOWS</t>
        </is>
      </c>
      <c r="G94" s="68" t="inlineStr">
        <is>
          <t>unknown — est. no. NOT captured</t>
        </is>
      </c>
      <c r="H94" s="68" t="inlineStr">
        <is>
          <t>None found (FSIS unreachable)</t>
        </is>
      </c>
      <c r="I94" s="68" t="inlineStr">
        <is>
          <t>Establishment number not captured — inspection + export status UNKNOWN</t>
        </is>
      </c>
      <c r="J94" s="68" t="inlineStr">
        <is>
          <t>None found</t>
        </is>
      </c>
      <c r="K94" s="68" t="inlineStr">
        <is>
          <t>unknown</t>
        </is>
      </c>
      <c r="L94" s="68" t="inlineStr">
        <is>
          <t>Plausible (small family op)</t>
        </is>
      </c>
      <c r="M94" s="110" t="inlineStr">
        <is>
          <t>NO</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24" t="inlineStr">
        <is>
          <t>n/a</t>
        </is>
      </c>
      <c r="F95" s="68" t="inlineStr">
        <is>
          <t>n/a</t>
        </is>
      </c>
      <c r="G95" s="68" t="inlineStr">
        <is>
          <t>VDACS publishes NO online directory</t>
        </is>
      </c>
      <c r="H95" s="68" t="inlineStr">
        <is>
          <t>n/a</t>
        </is>
      </c>
      <c r="I95" s="68" t="inlineStr">
        <is>
          <t>n/a</t>
        </is>
      </c>
      <c r="J95" s="68" t="inlineStr">
        <is>
          <t>n/a</t>
        </is>
      </c>
      <c r="K95" s="68" t="inlineStr">
        <is>
          <t>n/a</t>
        </is>
      </c>
      <c r="L95" s="68" t="inlineStr">
        <is>
          <t>n/a</t>
        </is>
      </c>
      <c r="M95" s="110" t="inlineStr">
        <is>
          <t>NO</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58.6" customHeight="1" s="59">
      <c r="A97" s="4" t="inlineStr">
        <is>
          <t>Swaggerty Sausage Company</t>
        </is>
      </c>
      <c r="B97" s="68" t="inlineStr">
        <is>
          <t>Kodak, TN (Sevier)</t>
        </is>
      </c>
      <c r="C97" s="68" t="inlineStr">
        <is>
          <t>Captive SOW abattoir + sausage mfr (FSIS 'Large')</t>
        </is>
      </c>
      <c r="D97" s="68" t="inlineStr">
        <is>
          <t>~4,250/wk (850 hd/day EMI 2017; cat-4 confirms ≥2,000/wk)</t>
        </is>
      </c>
      <c r="E97" s="27" t="inlineStr">
        <is>
          <t>MEDIUM-HIGH
(2,500-5,000/wk)</t>
        </is>
      </c>
      <c r="F97" s="68" t="inlineStr">
        <is>
          <t>Yes — SOW ONLY (FSIS flags: sow=TRUE, market=FALSE)</t>
        </is>
      </c>
      <c r="G97" s="68" t="inlineStr">
        <is>
          <t>USDA ✓ M8314 + V8314 (V = voluntary grant)</t>
        </is>
      </c>
      <c r="H97" s="68" t="inlineStr">
        <is>
          <t>See the Welfare &amp; culture column — enforcement detail is carried there for these rows</t>
        </is>
      </c>
      <c r="I97" s="68" t="inlineStr">
        <is>
          <t>Not verified — APHIS publishes no searchable list; confirm with APHIS VS</t>
        </is>
      </c>
      <c r="J97" s="68" t="inlineStr">
        <is>
          <t>NO suspension in ANY FSIS QER FY2024Q1-FY2026Q2 (no public record ≠ clean). Prior TN OSHA machine-guarding actions 2018 &amp; 2024</t>
        </is>
      </c>
      <c r="K97" s="68" t="inlineStr">
        <is>
          <t>No existing organ programme — would be built. V-grant is useful for non-amenable/research material</t>
        </is>
      </c>
      <c r="L97" s="68" t="inlineStr">
        <is>
          <t>Plausible — single site, family-owned, decision-maker reachable</t>
        </is>
      </c>
      <c r="M97" s="110" t="inlineStr">
        <is>
          <t>NO</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t>
        </is>
      </c>
      <c r="E98" s="27" t="inlineStr">
        <is>
          <t>MEDIUM-HIGH
(2,500-5,000/wk)</t>
        </is>
      </c>
      <c r="F98" s="68" t="inlineStr">
        <is>
          <t>Yes — MARKET HOGS (butcher hogs 180-230 lb)</t>
        </is>
      </c>
      <c r="G98" s="68" t="inlineStr">
        <is>
          <t>USDA ✓ M21651 (slaughter)
Sister M21826+V21826 Chicago = Certification-Export</t>
        </is>
      </c>
      <c r="H98" s="68" t="inlineStr">
        <is>
          <t>See the Welfare &amp; culture column — enforcement detail is carried there for these rows</t>
        </is>
      </c>
      <c r="I98" s="68" t="inlineStr">
        <is>
          <t>Not verified — APHIS publishes no searchable list; confirm with APHIS VS</t>
        </is>
      </c>
      <c r="J98" s="68" t="inlineStr">
        <is>
          <t>NO suspension in any QER FY2024-FY2026 (no public record)</t>
        </is>
      </c>
      <c r="K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98" s="68" t="inlineStr">
        <is>
          <t>Plausible</t>
        </is>
      </c>
      <c r="M98" s="110" t="inlineStr">
        <is>
          <t>NO</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t>
        </is>
      </c>
      <c r="E99" s="27" t="inlineStr">
        <is>
          <t>MEDIUM-HIGH
(2,500-5,000/wk)</t>
        </is>
      </c>
      <c r="F99" s="68" t="inlineStr">
        <is>
          <t>Yes — SOW ONLY</t>
        </is>
      </c>
      <c r="G99" s="68" t="inlineStr">
        <is>
          <t>USDA ✓ M1962 + P1962</t>
        </is>
      </c>
      <c r="H99" s="68" t="inlineStr">
        <is>
          <t>See the Welfare &amp; culture column — enforcement detail is carried there for these rows</t>
        </is>
      </c>
      <c r="I99" s="68" t="inlineStr">
        <is>
          <t>Not verified — APHIS publishes no searchable list; confirm with APHIS VS</t>
        </is>
      </c>
      <c r="J99" s="68" t="inlineStr">
        <is>
          <t>NO suspension in any QER FY2024-FY2026 (no public record)</t>
        </is>
      </c>
      <c r="K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99" s="68" t="inlineStr">
        <is>
          <t>⚠ May be REFUSED on channel conflict</t>
        </is>
      </c>
      <c r="M99" s="110" t="inlineStr">
        <is>
          <t>NO</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58.6"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t>
        </is>
      </c>
      <c r="E100" s="26" t="inlineStr">
        <is>
          <t>HIGH
(&gt;5,000/wk)</t>
        </is>
      </c>
      <c r="F100" s="68" t="inlineStr">
        <is>
          <t>Yes — SOW ONLY</t>
        </is>
      </c>
      <c r="G100" s="68" t="inlineStr">
        <is>
          <t>USDA ✓ M5536 + P5536</t>
        </is>
      </c>
      <c r="H100" s="68" t="inlineStr">
        <is>
          <t>See the Welfare &amp; culture column — enforcement detail is carried there for these rows</t>
        </is>
      </c>
      <c r="I100" s="68" t="inlineStr">
        <is>
          <t>Not verified — APHIS publishes no searchable list; confirm with APHIS VS</t>
        </is>
      </c>
      <c r="J100" s="68" t="inlineStr">
        <is>
          <t>NO suspension in any QER FY2024-FY2026 (no public record)</t>
        </is>
      </c>
      <c r="K100" s="68" t="inlineStr">
        <is>
          <t>Same SSR medical-tissue infrastructure as Perry Way (ISO 22442-2, GMP rooms, Customization Center)</t>
        </is>
      </c>
      <c r="L100" s="68" t="inlineStr">
        <is>
          <t>⚠ Same competitor caveat</t>
        </is>
      </c>
      <c r="M100" s="110" t="inlineStr">
        <is>
          <t>NO</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t>
        </is>
      </c>
      <c r="E101" s="27" t="inlineStr">
        <is>
          <t>MEDIUM-HIGH
(2,500-5,000/wk)</t>
        </is>
      </c>
      <c r="F101" s="68" t="inlineStr">
        <is>
          <t>Yes — MKT + SOW + boar</t>
        </is>
      </c>
      <c r="G101" s="68" t="inlineStr">
        <is>
          <t>USDA ✓ M6775 + V6775
✅ Certification-Export ON THE GRANT</t>
        </is>
      </c>
      <c r="H101" s="68" t="inlineStr">
        <is>
          <t>See the Welfare &amp; culture column — enforcement detail is carried there for these rows</t>
        </is>
      </c>
      <c r="I101" s="68" t="inlineStr">
        <is>
          <t>Not verified — APHIS publishes no searchable list; confirm with APHIS VS</t>
        </is>
      </c>
      <c r="J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101" s="68" t="inlineStr">
        <is>
          <t>unknown</t>
        </is>
      </c>
      <c r="L101" s="68" t="inlineStr">
        <is>
          <t>Plausible</t>
        </is>
      </c>
      <c r="M101" s="110" t="inlineStr">
        <is>
          <t>NO</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72"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t>
        </is>
      </c>
      <c r="E102" s="27" t="inlineStr">
        <is>
          <t>MEDIUM-HIGH
(2,500-5,000/wk)</t>
        </is>
      </c>
      <c r="F102" s="68" t="inlineStr">
        <is>
          <t>Yes — MKT + SOW + roaster</t>
        </is>
      </c>
      <c r="G102" s="68" t="inlineStr">
        <is>
          <t>USDA ✓ M325</t>
        </is>
      </c>
      <c r="H102" s="68" t="inlineStr">
        <is>
          <t>See the Welfare &amp; culture column — enforcement detail is carried there for these rows</t>
        </is>
      </c>
      <c r="I102" s="68" t="inlineStr">
        <is>
          <t>Not verified — APHIS publishes no searchable list; confirm with APHIS VS</t>
        </is>
      </c>
      <c r="J102" s="68" t="inlineStr">
        <is>
          <t>🚨 INH suspension 15 Nov 2023 — NOT reinstated until 12 Apr 2024, roughly FIVE MONTHS out. A long suspension; warrants scrutiny</t>
        </is>
      </c>
      <c r="K102" s="68" t="inlineStr">
        <is>
          <t>unknown</t>
        </is>
      </c>
      <c r="L102" s="68" t="inlineStr">
        <is>
          <t>Plausible</t>
        </is>
      </c>
      <c r="M102" s="110" t="inlineStr">
        <is>
          <t>NO</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45.2" customHeight="1" s="59">
      <c r="A104" s="4" t="inlineStr">
        <is>
          <t>Leidy's, LLC</t>
        </is>
      </c>
      <c r="B104" s="68" t="inlineStr">
        <is>
          <t>Souderton, PA</t>
        </is>
      </c>
      <c r="C104" s="68" t="inlineStr">
        <is>
          <t>USDA federal — MARKET hogs</t>
        </is>
      </c>
      <c r="D104" s="68" t="inlineStr">
        <is>
          <t>~6,750/wk (1,350 hd/day EMI 2017)</t>
        </is>
      </c>
      <c r="E104" s="26" t="inlineStr">
        <is>
          <t>HIGH
(&gt;5,000/wk)</t>
        </is>
      </c>
      <c r="F104" s="68" t="inlineStr">
        <is>
          <t>Yes — MARKET</t>
        </is>
      </c>
      <c r="G104" s="68" t="inlineStr">
        <is>
          <t>USDA ✓ M9520+P9520+V9520
✅ EXPORT-CERTIFIED</t>
        </is>
      </c>
      <c r="H104" s="68" t="inlineStr">
        <is>
          <t>See the Welfare &amp; culture column — enforcement detail is carried there for these rows</t>
        </is>
      </c>
      <c r="I104" s="68" t="inlineStr">
        <is>
          <t>Not verified — APHIS publishes no searchable list; confirm with APHIS VS</t>
        </is>
      </c>
      <c r="J104" s="68" t="inlineStr">
        <is>
          <t>No QER suspension FY2024-FY2026 (no public record)</t>
        </is>
      </c>
      <c r="K104" s="68" t="inlineStr">
        <is>
          <t>unknown</t>
        </is>
      </c>
      <c r="L104" s="68" t="inlineStr">
        <is>
          <t>Plausible</t>
        </is>
      </c>
      <c r="M104" s="110" t="inlineStr">
        <is>
          <t>NO</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t>
        </is>
      </c>
      <c r="T104" s="68" t="inlineStr">
        <is>
          <t>MID-ATLANTIC and EXPORT-CERTIFIED — relevant to the Pennsylvania-abattoir lead from Animal Biotech. Closest large export-capable plant to the NC operation.</t>
        </is>
      </c>
    </row>
    <row r="105" ht="45.2" customHeight="1" s="59">
      <c r="A105" s="4" t="inlineStr">
        <is>
          <t>Tri Eagle Provisions</t>
        </is>
      </c>
      <c r="B105" s="68" t="inlineStr">
        <is>
          <t>Tippecanoe, IN</t>
        </is>
      </c>
      <c r="C105" s="68" t="inlineStr">
        <is>
          <t>USDA federal — market + roaster</t>
        </is>
      </c>
      <c r="D105" s="68" t="inlineStr">
        <is>
          <t>~5,500/wk (1,100 hd/day EMI 2017)</t>
        </is>
      </c>
      <c r="E105" s="26" t="inlineStr">
        <is>
          <t>HIGH
(&gt;5,000/wk)</t>
        </is>
      </c>
      <c r="F105" s="68" t="inlineStr">
        <is>
          <t>Yes — MKT + roaster</t>
        </is>
      </c>
      <c r="G105" s="68" t="inlineStr">
        <is>
          <t>USDA ✓ M17496</t>
        </is>
      </c>
      <c r="H105" s="68" t="inlineStr">
        <is>
          <t>See the Welfare &amp; culture column — enforcement detail is carried there for these rows</t>
        </is>
      </c>
      <c r="I105" s="68" t="inlineStr">
        <is>
          <t>Not verified — APHIS publishes no searchable list; confirm with APHIS VS</t>
        </is>
      </c>
      <c r="J105" s="68" t="inlineStr">
        <is>
          <t>No QER suspension FY2024-FY2026</t>
        </is>
      </c>
      <c r="K105" s="68" t="inlineStr">
        <is>
          <t>unknown</t>
        </is>
      </c>
      <c r="L105" s="68" t="inlineStr">
        <is>
          <t>Plausible</t>
        </is>
      </c>
      <c r="M105" s="110" t="inlineStr">
        <is>
          <t>NO</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t>
        </is>
      </c>
      <c r="T105" s="68" t="inlineStr">
        <is>
          <t>DBAs Vin Lee Ron, Maple Creek Packing.</t>
        </is>
      </c>
    </row>
    <row r="106" ht="45.2" customHeight="1" s="59">
      <c r="A106" s="4" t="inlineStr">
        <is>
          <t>Verschoor Meats</t>
        </is>
      </c>
      <c r="B106" s="68" t="inlineStr">
        <is>
          <t>Sioux City, IA</t>
        </is>
      </c>
      <c r="C106" s="68" t="inlineStr">
        <is>
          <t>USDA federal — market + boar</t>
        </is>
      </c>
      <c r="D106" s="68" t="inlineStr">
        <is>
          <t>~6,000/wk (1,200 hd/day EMI 2017)</t>
        </is>
      </c>
      <c r="E106" s="26" t="inlineStr">
        <is>
          <t>HIGH
(&gt;5,000/wk)</t>
        </is>
      </c>
      <c r="F106" s="68" t="inlineStr">
        <is>
          <t>Yes — MKT + boar</t>
        </is>
      </c>
      <c r="G106" s="68" t="inlineStr">
        <is>
          <t>USDA ✓ M363</t>
        </is>
      </c>
      <c r="H106" s="68" t="inlineStr">
        <is>
          <t>See the Welfare &amp; culture column — enforcement detail is carried there for these rows</t>
        </is>
      </c>
      <c r="I106" s="68" t="inlineStr">
        <is>
          <t>Not verified — APHIS publishes no searchable list; confirm with APHIS VS</t>
        </is>
      </c>
      <c r="J106" s="68" t="inlineStr">
        <is>
          <t>No QER suspension FY2024-FY2026</t>
        </is>
      </c>
      <c r="K106" s="68" t="inlineStr">
        <is>
          <t>unknown</t>
        </is>
      </c>
      <c r="L106" s="68" t="inlineStr">
        <is>
          <t>Plausible</t>
        </is>
      </c>
      <c r="M106" s="110" t="inlineStr">
        <is>
          <t>NO</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t>
        </is>
      </c>
      <c r="T106" s="68" t="inlineStr">
        <is>
          <t>Iowa option just above band.</t>
        </is>
      </c>
    </row>
    <row r="107" ht="45.2" customHeight="1" s="59">
      <c r="A107" s="4" t="inlineStr">
        <is>
          <t>Premium Minnesota Pork</t>
        </is>
      </c>
      <c r="B107" s="68" t="inlineStr">
        <is>
          <t>Luverne, MN</t>
        </is>
      </c>
      <c r="C107" s="68" t="inlineStr">
        <is>
          <t>USDA federal — market</t>
        </is>
      </c>
      <c r="D107" s="68" t="inlineStr">
        <is>
          <t>unknown — FSIS category 4 (≥2,000/wk)</t>
        </is>
      </c>
      <c r="E107" s="24" t="inlineStr">
        <is>
          <t>unknown
(confirm)</t>
        </is>
      </c>
      <c r="F107" s="68" t="inlineStr">
        <is>
          <t>Yes — MARKET</t>
        </is>
      </c>
      <c r="G107" s="68" t="inlineStr">
        <is>
          <t>USDA ✓ M21069L (newer grant, 2022)</t>
        </is>
      </c>
      <c r="H107" s="68" t="inlineStr">
        <is>
          <t>See the Welfare &amp; culture column — enforcement detail is carried there for these rows</t>
        </is>
      </c>
      <c r="I107" s="68" t="inlineStr">
        <is>
          <t>Not verified — APHIS publishes no searchable list; confirm with APHIS VS</t>
        </is>
      </c>
      <c r="J107" s="68" t="inlineStr">
        <is>
          <t>No QER suspension FY2024-FY2026</t>
        </is>
      </c>
      <c r="K107" s="68" t="inlineStr">
        <is>
          <t>unknown</t>
        </is>
      </c>
      <c r="L107" s="68" t="inlineStr">
        <is>
          <t>Plausible</t>
        </is>
      </c>
      <c r="M107" s="110" t="inlineStr">
        <is>
          <t>NO</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t>
        </is>
      </c>
      <c r="E109" s="20" t="inlineStr">
        <is>
          <t>MEDIUM
(350-2,500/wk)</t>
        </is>
      </c>
      <c r="F109" s="68" t="inlineStr">
        <is>
          <t>Yes — SOW + BOAR ONLY (market_swine flag BLANK)</t>
        </is>
      </c>
      <c r="G109" s="68" t="inlineStr">
        <is>
          <t>USDA ✓ M372 (grant 2021)</t>
        </is>
      </c>
      <c r="H109" s="68" t="inlineStr">
        <is>
          <t>See the Welfare &amp; culture column — enforcement detail is carried there for these rows</t>
        </is>
      </c>
      <c r="I109" s="68" t="inlineStr">
        <is>
          <t>Not verified — APHIS publishes no searchable list; confirm with APHIS VS</t>
        </is>
      </c>
      <c r="J109" s="68" t="inlineStr">
        <is>
          <t>Not on the current FSIS enforcement page (that page covers only ~Aug 2025-Jul 2026 — NOT a clean record)</t>
        </is>
      </c>
      <c r="K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109" s="68" t="inlineStr">
        <is>
          <t>STRONG — sow+boar only, single small site, pre-rigor culture</t>
        </is>
      </c>
      <c r="M109" s="110" t="inlineStr">
        <is>
          <t>NO</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t>
        </is>
      </c>
      <c r="E110" s="27" t="inlineStr">
        <is>
          <t>MEDIUM-HIGH
(2,500-5,000/wk)</t>
        </is>
      </c>
      <c r="F110" s="68" t="inlineStr">
        <is>
          <t>Yes — BOTH sow AND market (USDA flags both = Yes)</t>
        </is>
      </c>
      <c r="G110" s="68" t="inlineStr">
        <is>
          <t>USDA ✓ M7464 + P7464 (grant 2021; category refreshed 2025-06)</t>
        </is>
      </c>
      <c r="H110" s="68" t="inlineStr">
        <is>
          <t>See the Welfare &amp; culture column — enforcement detail is carried there for these rows</t>
        </is>
      </c>
      <c r="I110" s="68" t="inlineStr">
        <is>
          <t>Not verified — APHIS publishes no searchable list; confirm with APHIS VS</t>
        </is>
      </c>
      <c r="J110" s="68" t="inlineStr">
        <is>
          <t>Not on the current FSIS enforcement page (1-yr window only — not a clean record)</t>
        </is>
      </c>
      <c r="K110" s="68" t="inlineStr">
        <is>
          <t>None found</t>
        </is>
      </c>
      <c r="L110" s="68" t="inlineStr">
        <is>
          <t>Plausible — small, family-run, single site, already runs a poultry grant so used to multi-programme oversight</t>
        </is>
      </c>
      <c r="M110" s="110" t="inlineStr">
        <is>
          <t>NO</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t>
        </is>
      </c>
      <c r="E111" s="133" t="inlineStr">
        <is>
          <t>MEDIUM
(350-2,500/wk)</t>
        </is>
      </c>
      <c r="F111" s="68" t="inlineStr">
        <is>
          <t>Yes — SOW ONLY</t>
        </is>
      </c>
      <c r="G111" s="68" t="inlineStr">
        <is>
          <t>USDA ✓ M6785 (grant 2020)</t>
        </is>
      </c>
      <c r="H111" s="68" t="inlineStr">
        <is>
          <t>See the Welfare &amp; culture column — enforcement detail is carried there for these rows</t>
        </is>
      </c>
      <c r="I111" s="68" t="inlineStr">
        <is>
          <t>Not verified — APHIS publishes no searchable list; confirm with APHIS VS</t>
        </is>
      </c>
      <c r="J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11" s="68" t="inlineStr">
        <is>
          <t>None found</t>
        </is>
      </c>
      <c r="L111" s="68" t="inlineStr">
        <is>
          <t>WEAK-MEDIUM — big-corporate parent means legal/insurance friction for third-party staff on the kill floor</t>
        </is>
      </c>
      <c r="M111" s="110" t="inlineStr">
        <is>
          <t>NO</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t>
        </is>
      </c>
      <c r="T111"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t>
        </is>
      </c>
      <c r="E112" s="133" t="inlineStr">
        <is>
          <t>MEDIUM
(350-2,500/wk)</t>
        </is>
      </c>
      <c r="F112" s="68" t="inlineStr">
        <is>
          <t>Yes — SOW ONLY</t>
        </is>
      </c>
      <c r="G112" s="68" t="inlineStr">
        <is>
          <t>USDA ✓ M952 (grant 2021)</t>
        </is>
      </c>
      <c r="H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12" s="68" t="inlineStr">
        <is>
          <t>Not verified — APHIS publishes no searchable list; confirm with APHIS VS</t>
        </is>
      </c>
      <c r="J112" s="68" t="inlineStr">
        <is>
          <t>Not on the current enforcement page — BUT corporate humane-handling systems are shared with Xenia, so treat the 2018 Xenia action as a COMPANY-LEVEL signal</t>
        </is>
      </c>
      <c r="K112" s="68" t="inlineStr">
        <is>
          <t>None found</t>
        </is>
      </c>
      <c r="L112" s="68" t="inlineStr">
        <is>
          <t>WEAK-MEDIUM (corporate)</t>
        </is>
      </c>
      <c r="M112" s="110" t="inlineStr">
        <is>
          <t>NO</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t>
        </is>
      </c>
      <c r="T112" s="68" t="inlineStr">
        <is>
          <t>⚠ VOLUME CORRECTED to FSIS cat 3 (~192–1,923/wk);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19–192/wk (FSIS cat 2)</t>
        </is>
      </c>
      <c r="E113" s="133" t="inlineStr">
        <is>
          <t>SMALL
(0-300/wk)</t>
        </is>
      </c>
      <c r="F113" s="135" t="inlineStr">
        <is>
          <t>SOW</t>
        </is>
      </c>
      <c r="G113" s="68" t="inlineStr">
        <is>
          <t>USDA ✓ M6621 + P6621</t>
        </is>
      </c>
      <c r="H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13" s="68" t="inlineStr">
        <is>
          <t>Not verified — APHIS publishes no searchable list; confirm with APHIS VS</t>
        </is>
      </c>
      <c r="J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13" s="68" t="inlineStr">
        <is>
          <t>None found</t>
        </is>
      </c>
      <c r="L113" s="68" t="inlineStr">
        <is>
          <t>WEAK — placing our own harvesters inside a plant with an active repeat record for machine guarding and blocked egress is a direct worker-safety and insurance exposure</t>
        </is>
      </c>
      <c r="M113" s="110" t="inlineStr">
        <is>
          <t>NO</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t>
        </is>
      </c>
      <c r="T113"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t>
        </is>
      </c>
      <c r="E114" s="20" t="inlineStr">
        <is>
          <t>MEDIUM
(350-2,500/wk)</t>
        </is>
      </c>
      <c r="F114" s="68" t="inlineStr">
        <is>
          <t>Yes — MARKET + ROASTER, NO SOW</t>
        </is>
      </c>
      <c r="G114" s="68" t="inlineStr">
        <is>
          <t>USDA ✓ M9228 + P9228 + V9228
(V = VOLUNTARY grant)</t>
        </is>
      </c>
      <c r="H114" s="68" t="inlineStr">
        <is>
          <t>See the Welfare &amp; culture column — enforcement detail is carried there for these rows</t>
        </is>
      </c>
      <c r="I114" s="68" t="inlineStr">
        <is>
          <t>Not verified — APHIS publishes no searchable list; confirm with APHIS VS</t>
        </is>
      </c>
      <c r="J114" s="68" t="inlineStr">
        <is>
          <t>None found (limited-window caveat)</t>
        </is>
      </c>
      <c r="K114" s="68" t="inlineStr">
        <is>
          <t>⭐ The V GRANT IS THE KEY DETAIL: voluntary inspection is the mechanism USDA uses for NON-AMENABLE / NON-FOOD-USE product — so this plant already has the regulatory scaffolding for non-food biomedical harvest</t>
        </is>
      </c>
      <c r="L114" s="68" t="inlineStr">
        <is>
          <t>MEDIUM-STRONG — small, clean, traceable</t>
        </is>
      </c>
      <c r="M114" s="110" t="inlineStr">
        <is>
          <t>NO</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72"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t>
        </is>
      </c>
      <c r="E115" s="20" t="inlineStr">
        <is>
          <t>MEDIUM
(350-2,500/wk)</t>
        </is>
      </c>
      <c r="F115" s="68" t="inlineStr">
        <is>
          <t>Yes — MARKET + ROASTER + sheep. NO SOW</t>
        </is>
      </c>
      <c r="G115" s="68" t="inlineStr">
        <is>
          <t>USDA ✓ M7562 (grant 2021)</t>
        </is>
      </c>
      <c r="H115" s="68" t="inlineStr">
        <is>
          <t>See the Welfare &amp; culture column — enforcement detail is carried there for these rows</t>
        </is>
      </c>
      <c r="I115" s="68" t="inlineStr">
        <is>
          <t>Not verified — APHIS publishes no searchable list; confirm with APHIS VS</t>
        </is>
      </c>
      <c r="J115" s="68" t="inlineStr">
        <is>
          <t>None found (limited-window caveat). Positively framed in trade press — used by small farms 'who value personalized service and humane treatment'</t>
        </is>
      </c>
      <c r="K115" s="68" t="inlineStr">
        <is>
          <t>None found</t>
        </is>
      </c>
      <c r="L115" s="68" t="inlineStr">
        <is>
          <t>MEDIUM — small, relationship-driven, likely receptive</t>
        </is>
      </c>
      <c r="M115" s="110" t="inlineStr">
        <is>
          <t>NO</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72"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t>
        </is>
      </c>
      <c r="E117" s="26" t="inlineStr">
        <is>
          <t>HIGH
(&gt;5,000/wk)</t>
        </is>
      </c>
      <c r="F117" s="68" t="inlineStr">
        <is>
          <t>Yes — MARKET</t>
        </is>
      </c>
      <c r="G117" s="68" t="inlineStr">
        <is>
          <t>USDA ✓ M9520+P9520+V9520
✅ EXPORT-CERTIFIED</t>
        </is>
      </c>
      <c r="H117" s="68" t="inlineStr">
        <is>
          <t>See the Welfare &amp; culture column — enforcement detail is carried there for these rows</t>
        </is>
      </c>
      <c r="I117" s="68" t="inlineStr">
        <is>
          <t>Not verified — APHIS publishes no searchable list; confirm with APHIS VS</t>
        </is>
      </c>
      <c r="J117" s="68" t="inlineStr">
        <is>
          <t>Not on the current FSIS enforcement page (1-yr window)</t>
        </is>
      </c>
      <c r="K117" s="68" t="inlineStr">
        <is>
          <t>None published</t>
        </is>
      </c>
      <c r="L117" s="68" t="inlineStr">
        <is>
          <t>Plausible — ASK WHETHER ABI OR LAMPIRE TECHNICIANS ALREADY HARVEST HERE; if so, a Model A precedent already exists</t>
        </is>
      </c>
      <c r="M117" s="110" t="inlineStr">
        <is>
          <t>NO</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t>
        </is>
      </c>
      <c r="T117" s="68" t="inlineStr">
        <is>
          <t>★ BEST PA ENTRY POINT. ~5 MILES from Animal Biotech Industries' lab at Harleysville, and one of only TWO PA swine plants holding export certification. Also appears in the 'just above band' group — Medium-High/High boundary.</t>
        </is>
      </c>
    </row>
    <row r="118" ht="45.2" customHeight="1" s="59">
      <c r="A118" s="4" t="inlineStr">
        <is>
          <t>Clemens Food Group</t>
        </is>
      </c>
      <c r="B118" s="68" t="inlineStr">
        <is>
          <t>Hatfield, PA</t>
        </is>
      </c>
      <c r="C118" s="68" t="inlineStr">
        <is>
          <t>Large industrial market-hog packer</t>
        </is>
      </c>
      <c r="D118" s="68" t="inlineStr">
        <is>
          <t>~58,000-63,000/wk (11,700 hd/day)</t>
        </is>
      </c>
      <c r="E118" s="26" t="inlineStr">
        <is>
          <t>HIGH
(&gt;5,000/wk)</t>
        </is>
      </c>
      <c r="F118" s="68" t="inlineStr">
        <is>
          <t>Yes — MARKET</t>
        </is>
      </c>
      <c r="G118" s="68" t="inlineStr">
        <is>
          <t>USDA ✓ M791+P791+V791
✅ EXPORT-CERTIFIED</t>
        </is>
      </c>
      <c r="H118" s="68" t="inlineStr">
        <is>
          <t>See the Welfare &amp; culture column — enforcement detail is carried there for these rows</t>
        </is>
      </c>
      <c r="I118" s="68" t="inlineStr">
        <is>
          <t>Not verified — APHIS publishes no searchable list; confirm with APHIS VS</t>
        </is>
      </c>
      <c r="J118" s="68" t="inlineStr">
        <is>
          <t>Not on the current enforcement page (1-yr window)</t>
        </is>
      </c>
      <c r="K118" s="68" t="inlineStr">
        <is>
          <t>None published</t>
        </is>
      </c>
      <c r="L118" s="68" t="inlineStr">
        <is>
          <t>Unlikely at this scale — corporate-level agreement required</t>
        </is>
      </c>
      <c r="M118" s="110" t="inlineStr">
        <is>
          <t>NO</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24" t="inlineStr">
        <is>
          <t>unknown
(confirm)</t>
        </is>
      </c>
      <c r="F119" s="68" t="inlineStr">
        <is>
          <t>Yes — market + SOW + roaster (+boar at two)</t>
        </is>
      </c>
      <c r="G119" s="68" t="inlineStr">
        <is>
          <t>USDA ✓ — see notes</t>
        </is>
      </c>
      <c r="H119" s="68" t="inlineStr">
        <is>
          <t>See the Welfare &amp; culture column — enforcement detail is carried there for these rows</t>
        </is>
      </c>
      <c r="I119" s="68" t="inlineStr">
        <is>
          <t>Not verified — APHIS publishes no searchable list; confirm with APHIS VS</t>
        </is>
      </c>
      <c r="J119" s="68" t="inlineStr">
        <is>
          <t>Not on the current enforcement page (1-yr window)</t>
        </is>
      </c>
      <c r="K119" s="68" t="inlineStr">
        <is>
          <t>None published</t>
        </is>
      </c>
      <c r="L119" s="68" t="inlineStr">
        <is>
          <t>Plausible (small plants)</t>
        </is>
      </c>
      <c r="M119" s="111" t="inlineStr">
        <is>
          <t>mixed — confirm</t>
        </is>
      </c>
      <c r="N119" s="68" t="inlineStr">
        <is>
          <t>Plausible</t>
        </is>
      </c>
      <c r="O119" s="68" t="inlineStr">
        <is>
          <t>see notes →</t>
        </is>
      </c>
      <c r="P119" s="23" t="inlineStr">
        <is>
          <t>POSSIBLE</t>
        </is>
      </c>
      <c r="Q119" s="178" t="inlineStr">
        <is>
          <t>Context roll-up — not an individual candidate.</t>
        </is>
      </c>
      <c r="R119" s="179" t="inlineStr">
        <is>
          <t>—</t>
        </is>
      </c>
      <c r="S119" s="68" t="inlineStr">
        <is>
          <t>Med</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24" t="inlineStr">
        <is>
          <t>n/a</t>
        </is>
      </c>
      <c r="F120" s="68" t="inlineStr">
        <is>
          <t>n/a</t>
        </is>
      </c>
      <c r="G120" s="68" t="inlineStr">
        <is>
          <t>n/a — they BUY from PA abattoirs</t>
        </is>
      </c>
      <c r="H120" s="68" t="inlineStr">
        <is>
          <t>See the Welfare &amp; culture column — enforcement detail is carried there for these rows</t>
        </is>
      </c>
      <c r="I120" s="68" t="inlineStr">
        <is>
          <t>Not verified — APHIS publishes no searchable list; confirm with APHIS VS</t>
        </is>
      </c>
      <c r="J120" s="68" t="inlineStr">
        <is>
          <t>n/a</t>
        </is>
      </c>
      <c r="K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20" s="68" t="inlineStr">
        <is>
          <t>n/a</t>
        </is>
      </c>
      <c r="M120" s="110" t="inlineStr">
        <is>
          <t>NO</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152.4"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143" t="inlineStr">
        <is>
          <t>n/a</t>
        </is>
      </c>
      <c r="F122" s="68" t="inlineStr">
        <is>
          <t>n/a</t>
        </is>
      </c>
      <c r="G122" s="68" t="inlineStr">
        <is>
          <t>KCS's own establishment M760A (DBAs
'Coastal Protein; Pine Ridge Farms')
went FSIS-INACTIVE 9/3/2024</t>
        </is>
      </c>
      <c r="H122" s="68" t="inlineStr">
        <is>
          <t>See the Welfare &amp; culture column — enforcement detail is carried there for these rows</t>
        </is>
      </c>
      <c r="I122" s="68" t="inlineStr">
        <is>
          <t>Not verified — APHIS publishes no searchable list; confirm with APHIS VS</t>
        </is>
      </c>
      <c r="J122" s="68" t="inlineStr">
        <is>
          <t>n/a</t>
        </is>
      </c>
      <c r="K122" s="68" t="inlineStr">
        <is>
          <t>n/a</t>
        </is>
      </c>
      <c r="L122" s="68" t="inlineStr">
        <is>
          <t>No</t>
        </is>
      </c>
      <c r="M122" s="109" t="inlineStr">
        <is>
          <t>YES · ~45 mi</t>
        </is>
      </c>
      <c r="N122" s="68" t="inlineStr">
        <is>
          <t>No</t>
        </is>
      </c>
      <c r="O122" s="68" t="inlineStr">
        <is>
          <t>—</t>
        </is>
      </c>
      <c r="P122" s="141" t="inlineStr">
        <is>
          <t>OUT / FLAG</t>
        </is>
      </c>
      <c r="Q122" s="178" t="inlineStr">
        <is>
          <t>Not a candidate — closed / no inspected operation (see notes).</t>
        </is>
      </c>
      <c r="R122" s="179" t="inlineStr">
        <is>
          <t>—</t>
        </is>
      </c>
      <c r="S122" s="68" t="inlineStr">
        <is>
          <t>High</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3" ht="85.40000000000001" customHeight="1" s="59">
      <c r="A123" s="4" t="inlineStr">
        <is>
          <t>Gunnoe Sausage Co. — REFUTED</t>
        </is>
      </c>
      <c r="B123" s="68" t="inlineStr">
        <is>
          <t>Goode, VA</t>
        </is>
      </c>
      <c r="C123" s="68" t="inlineStr">
        <is>
          <t>NO ACTIVE FSIS ESTABLISHMENT</t>
        </is>
      </c>
      <c r="D123" s="68" t="inlineStr">
        <is>
          <t>n/a</t>
        </is>
      </c>
      <c r="E123" s="24" t="inlineStr">
        <is>
          <t>n/a</t>
        </is>
      </c>
      <c r="F123" s="68" t="inlineStr">
        <is>
          <t>n/a</t>
        </is>
      </c>
      <c r="G123" s="68" t="inlineStr">
        <is>
          <t>No active FSIS establishment found</t>
        </is>
      </c>
      <c r="H123" s="68" t="inlineStr">
        <is>
          <t>See the Welfare &amp; culture column — enforcement detail is carried there for these rows</t>
        </is>
      </c>
      <c r="I123" s="68" t="inlineStr">
        <is>
          <t>Not verified — APHIS publishes no searchable list; confirm with APHIS VS</t>
        </is>
      </c>
      <c r="J123" s="68" t="inlineStr">
        <is>
          <t>n/a</t>
        </is>
      </c>
      <c r="K123" s="68" t="inlineStr">
        <is>
          <t>n/a</t>
        </is>
      </c>
      <c r="L123" s="68" t="inlineStr">
        <is>
          <t>No</t>
        </is>
      </c>
      <c r="M123" s="110"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22" t="inlineStr">
        <is>
          <t>SMALL
(0-300/wk)</t>
        </is>
      </c>
      <c r="F124" s="68" t="inlineStr">
        <is>
          <t>mixed</t>
        </is>
      </c>
      <c r="G124" s="68" t="inlineStr">
        <is>
          <t>USDA ✓ (various)</t>
        </is>
      </c>
      <c r="H124" s="68" t="inlineStr">
        <is>
          <t>See the Welfare &amp; culture column — enforcement detail is carried there for these rows</t>
        </is>
      </c>
      <c r="I124" s="68" t="inlineStr">
        <is>
          <t>Not verified — APHIS publishes no searchable list; confirm with APHIS VS</t>
        </is>
      </c>
      <c r="J124" s="68" t="inlineStr">
        <is>
          <t>various</t>
        </is>
      </c>
      <c r="K124" s="68" t="inlineStr">
        <is>
          <t>unknown</t>
        </is>
      </c>
      <c r="L124" s="68" t="inlineStr">
        <is>
          <t>varies</t>
        </is>
      </c>
      <c r="M124" s="110" t="inlineStr">
        <is>
          <t>NO</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24" t="inlineStr">
        <is>
          <t>n/a</t>
        </is>
      </c>
      <c r="F125" s="68" t="inlineStr">
        <is>
          <t>n/a</t>
        </is>
      </c>
      <c r="G125" s="68" t="inlineStr">
        <is>
          <t>n/a</t>
        </is>
      </c>
      <c r="H125" s="68" t="inlineStr">
        <is>
          <t>See the Welfare &amp; culture column — enforcement detail is carried there for these rows</t>
        </is>
      </c>
      <c r="I125" s="68" t="inlineStr">
        <is>
          <t>Not verified — APHIS publishes no searchable list; confirm with APHIS VS</t>
        </is>
      </c>
      <c r="J125" s="68" t="inlineStr">
        <is>
          <t>n/a</t>
        </is>
      </c>
      <c r="K125" s="68" t="inlineStr">
        <is>
          <t>n/a</t>
        </is>
      </c>
      <c r="L125" s="68" t="inlineStr">
        <is>
          <t>No</t>
        </is>
      </c>
      <c r="M125" s="110"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72"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t>
        </is>
      </c>
      <c r="E126" s="24" t="inlineStr">
        <is>
          <t>unknown
(confirm)</t>
        </is>
      </c>
      <c r="F126" s="68" t="inlineStr">
        <is>
          <t>Yes — MKT+SOW+boar+beef</t>
        </is>
      </c>
      <c r="G126" s="68" t="inlineStr">
        <is>
          <t>USDA ✓ M33940</t>
        </is>
      </c>
      <c r="H126" s="68" t="inlineStr">
        <is>
          <t>See the Welfare &amp; culture column — enforcement detail is carried there for these rows</t>
        </is>
      </c>
      <c r="I126" s="68" t="inlineStr">
        <is>
          <t>Not verified — APHIS publishes no searchable list; confirm with APHIS VS</t>
        </is>
      </c>
      <c r="J126" s="68" t="inlineStr">
        <is>
          <t>🚨 INH suspension 04 Dec 2024 → reinstated 06 Mar 2025</t>
        </is>
      </c>
      <c r="K126" s="68" t="inlineStr">
        <is>
          <t>unknown</t>
        </is>
      </c>
      <c r="L126" s="68" t="inlineStr">
        <is>
          <t>Structurally suits Model A (custom processor)</t>
        </is>
      </c>
      <c r="M126" s="110" t="inlineStr">
        <is>
          <t>NO</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50" t="inlineStr">
        <is>
          <t>n/a</t>
        </is>
      </c>
      <c r="F129" s="53" t="inlineStr">
        <is>
          <t>n/a (works on others' hog lines)</t>
        </is>
      </c>
      <c r="G129" s="53" t="inlineStr">
        <is>
          <t>n/a — collects at USDA-inspected plants</t>
        </is>
      </c>
      <c r="H129" s="53" t="inlineStr">
        <is>
          <t>Not researched — they are operators, not slaughter plants</t>
        </is>
      </c>
      <c r="I129" s="53" t="inlineStr">
        <is>
          <t>Not verified — ask directly; they run an established export-grade pharma supply chain</t>
        </is>
      </c>
      <c r="J129" s="53" t="inlineStr">
        <is>
          <t>Pharma-grade operation; heparin API feeds regulated medicine supply</t>
        </is>
      </c>
      <c r="K129" s="53" t="inlineStr">
        <is>
          <t>⭐ THIS IS THE POINT: they recover porcine MUCOSA under written protocol, with their OWN CREWS, on someone else's kill floor, paying for line position</t>
        </is>
      </c>
      <c r="L129" s="53" t="inlineStr">
        <is>
          <t>They ARE Model A — at industrial scale, already proven</t>
        </is>
      </c>
      <c r="M129" s="110" t="inlineStr">
        <is>
          <t>NO</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50" t="inlineStr">
        <is>
          <t>n/a</t>
        </is>
      </c>
      <c r="F130" s="53" t="inlineStr">
        <is>
          <t>n/a (works on others' hog lines)</t>
        </is>
      </c>
      <c r="G130" s="53" t="inlineStr">
        <is>
          <t>USDA ✓ V27254
(voluntary grant, Certification–Export;
FSIS lists 'Oversea Dewied International LLC')</t>
        </is>
      </c>
      <c r="H130" s="53" t="inlineStr">
        <is>
          <t>Not researched — they are operators, not slaughter plants</t>
        </is>
      </c>
      <c r="I130" s="53" t="inlineStr">
        <is>
          <t>Not verified — ask directly; casings are widely exported so export documentation experience is likely</t>
        </is>
      </c>
      <c r="J130" s="53" t="inlineStr">
        <is>
          <t>Long-established casings house; merged with Oversea Casing 2018</t>
        </is>
      </c>
      <c r="K130" s="53" t="inlineStr">
        <is>
          <t>⭐ Same model: own crews recovering ONE tissue (intestine/casings) under written protocol inside third-party plants</t>
        </is>
      </c>
      <c r="L130" s="53" t="inlineStr">
        <is>
          <t>They ARE Model A — at industrial scale, already proven</t>
        </is>
      </c>
      <c r="M130" s="110" t="inlineStr">
        <is>
          <t>NO</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t>
        </is>
      </c>
      <c r="T130"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T4"/>
  <mergeCells count="22">
    <mergeCell ref="A40:T40"/>
    <mergeCell ref="A24:T24"/>
    <mergeCell ref="A103:T103"/>
    <mergeCell ref="A1:T1"/>
    <mergeCell ref="A61:T61"/>
    <mergeCell ref="A78:T78"/>
    <mergeCell ref="A87:T87"/>
    <mergeCell ref="A90:T90"/>
    <mergeCell ref="A128:T128"/>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V2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9"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2" t="n"/>
    </row>
    <row r="2" ht="18.4" customHeight="1" s="59">
      <c r="A2" s="180" t="inlineStr">
        <is>
          <t>Sub-scores are 0-5 (rationale in the evidence columns). A-FIT and B-FIT are live SUMPRODUCT formulas over the yellow weight rows — change a weight or sub-score and they recompute on open. Tier: 1 CALL FIRST · 2 CALL · 3 PARK · X OUT.</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31.8"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row>
    <row r="6" ht="125.6" customHeight="1" s="59">
      <c r="A6" s="153" t="inlineStr">
        <is>
          <t>Larry's Sausage Co.
Fayetteville, NC</t>
        </is>
      </c>
      <c r="B6" s="154" t="inlineStr">
        <is>
          <t>USDA ✓ M8305 (T-A)</t>
        </is>
      </c>
      <c r="C6" s="185" t="inlineStr">
        <is>
          <t>NC-East</t>
        </is>
      </c>
      <c r="D6" s="185" t="inlineStr">
        <is>
          <t>65</t>
        </is>
      </c>
      <c r="E6" s="154" t="inlineStr">
        <is>
          <t>SOW only — mature anatomy;
gated by the anatomical-spec decision</t>
        </is>
      </c>
      <c r="F6" s="154" t="inlineStr">
        <is>
          <t>19-192/wk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3</v>
      </c>
      <c r="O6" s="185" t="n">
        <v>3</v>
      </c>
      <c r="P6" s="185" t="n">
        <v>5</v>
      </c>
      <c r="Q6" s="185" t="n">
        <v>5</v>
      </c>
      <c r="R6" s="185" t="n">
        <v>5</v>
      </c>
      <c r="S6" s="162">
        <f>ROUND(SUMPRODUCT($K$3:$R$3,K6:R6),1)</f>
        <v/>
      </c>
      <c r="T6" s="162">
        <f>ROUND(SUMPRODUCT($K$4:$R$4,K6:R6),1)</f>
        <v/>
      </c>
      <c r="U6" s="186" t="inlineStr">
        <is>
          <t>1</t>
        </is>
      </c>
      <c r="V6" s="154" t="inlineStr">
        <is>
          <t>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row>
    <row r="7" ht="58.6" customHeight="1" s="59">
      <c r="A7" s="153" t="inlineStr">
        <is>
          <t>McLamb's Abattoir &amp; Meats
Benson, NC</t>
        </is>
      </c>
      <c r="B7" s="154" t="inlineStr">
        <is>
          <t>STATE ✓ P-247 (NC)</t>
        </is>
      </c>
      <c r="C7" s="185" t="inlineStr">
        <is>
          <t>NC-East</t>
        </is>
      </c>
      <c r="D7" s="185" t="inlineStr">
        <is>
          <t>37</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Top unworked NC state plant: the Nahunta playbook 37 miles out. Operator Shane Lee. One call closes the volume unknown. (919) 894-2587.</t>
        </is>
      </c>
    </row>
    <row r="8" ht="45.2" customHeight="1" s="59">
      <c r="A8" s="153" t="inlineStr">
        <is>
          <t>Gale McLamb Meats
Dunn, NC</t>
        </is>
      </c>
      <c r="B8" s="154" t="inlineStr">
        <is>
          <t>STATE ✓ P-221 (NC)</t>
        </is>
      </c>
      <c r="C8" s="185" t="inlineStr">
        <is>
          <t>NC-East</t>
        </is>
      </c>
      <c r="D8" s="185" t="inlineStr">
        <is>
          <t>44</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row>
    <row r="9" ht="139" customHeight="1" s="59">
      <c r="A9" s="153" t="inlineStr">
        <is>
          <t>Piedmont Custom Meats
Gibsonville, NC</t>
        </is>
      </c>
      <c r="B9" s="154" t="inlineStr">
        <is>
          <t>USDA ✓ M7975 (T-A)</t>
        </is>
      </c>
      <c r="C9" s="185" t="inlineStr">
        <is>
          <t>NC-West</t>
        </is>
      </c>
      <c r="D9" s="185" t="inlineStr">
        <is>
          <t>116</t>
        </is>
      </c>
      <c r="E9" s="154" t="inlineStr">
        <is>
          <t>ALL FOUR hog classes —
only NC plant so flagged</t>
        </is>
      </c>
      <c r="F9" s="154" t="inlineStr">
        <is>
          <t>19-192/wk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4</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The strongest all-round candidate outside the current base. Limit: cat-2 ceiling (~192/wk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row>
    <row r="10" ht="58.6" customHeight="1" s="59">
      <c r="A10" s="153" t="inlineStr">
        <is>
          <t>Flowers Slaughter House
Sims, NC</t>
        </is>
      </c>
      <c r="B10" s="154" t="inlineStr">
        <is>
          <t>USDA ✓ M21747</t>
        </is>
      </c>
      <c r="C10" s="185" t="inlineStr">
        <is>
          <t>NC-East</t>
        </is>
      </c>
      <c r="D10" s="185" t="inlineStr">
        <is>
          <t>45</t>
        </is>
      </c>
      <c r="E10" s="154" t="inlineStr">
        <is>
          <t>Market + BOAR/STAG
(largest male anatomy in region)</t>
        </is>
      </c>
      <c r="F10" s="154" t="inlineStr">
        <is>
          <t>19-192/wk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5</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row>
    <row r="11" ht="58.6" customHeight="1" s="59">
      <c r="A11" s="153" t="inlineStr">
        <is>
          <t>Acre Station Meat Farm
Pinetown, NC</t>
        </is>
      </c>
      <c r="B11" s="154" t="inlineStr">
        <is>
          <t>USDA ✓ M19904 (T-A)</t>
        </is>
      </c>
      <c r="C11" s="185" t="inlineStr">
        <is>
          <t>NC-East</t>
        </is>
      </c>
      <c r="D11" s="185" t="inlineStr">
        <is>
          <t>88</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4</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row>
    <row r="12" ht="112.2" customHeight="1" s="59">
      <c r="A12" s="153" t="inlineStr">
        <is>
          <t>Bass Farms (Bass Farm Sausage)
Spring Hope, NC</t>
        </is>
      </c>
      <c r="B12" s="154" t="inlineStr">
        <is>
          <t>USDA ✓ M3521 (T-A)
grant 2/17/2026 — newest in NC</t>
        </is>
      </c>
      <c r="C12" s="185" t="inlineStr">
        <is>
          <t>NC-North</t>
        </is>
      </c>
      <c r="D12" s="185" t="inlineStr">
        <is>
          <t>40</t>
        </is>
      </c>
      <c r="E12" s="154" t="inlineStr">
        <is>
          <t>SOW only — mature anatomy</t>
        </is>
      </c>
      <c r="F12" s="154" t="inlineStr">
        <is>
          <t>19-192/wk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5</v>
      </c>
      <c r="L12" s="185" t="n">
        <v>2</v>
      </c>
      <c r="M12" s="185" t="n">
        <v>3</v>
      </c>
      <c r="N12" s="185" t="n">
        <v>3</v>
      </c>
      <c r="O12" s="185" t="n">
        <v>2</v>
      </c>
      <c r="P12" s="185" t="n">
        <v>4</v>
      </c>
      <c r="Q12" s="185" t="n">
        <v>5</v>
      </c>
      <c r="R12" s="185" t="n">
        <v>4</v>
      </c>
      <c r="S12" s="162">
        <f>ROUND(SUMPRODUCT($K$3:$R$3,K12:R12),1)</f>
        <v/>
      </c>
      <c r="T12" s="162">
        <f>ROUND(SUMPRODUCT($K$4:$R$4,K12:R12),1)</f>
        <v/>
      </c>
      <c r="U12" s="187" t="inlineStr">
        <is>
          <t>2</t>
        </is>
      </c>
      <c r="V12" s="154" t="inlineStr">
        <is>
          <t>★ UPGRADED AGAIN 2026-09-03: FSIS now shows slaughter volume category 2 (19-192 sows/wk) — up from category 1 three weeks ago; the $2.2M expansion is showing up in USDA's own data. Still a mature-anatomy add-on rather than a lane, but a GROWING one, 20-40 min from Sims. President Kenneth Edwards. (252) 478-4147.</t>
        </is>
      </c>
    </row>
    <row r="13" ht="85.40000000000001" customHeight="1" s="59">
      <c r="A13" s="153" t="inlineStr">
        <is>
          <t>Williamsburg Packing Co.
Kingstree, SC</t>
        </is>
      </c>
      <c r="B13" s="154" t="inlineStr">
        <is>
          <t>USDA ✓ M4005 + P4005 + V4005</t>
        </is>
      </c>
      <c r="C13" s="185" t="inlineStr">
        <is>
          <t>SC</t>
        </is>
      </c>
      <c r="D13" s="185" t="inlineStr">
        <is>
          <t>190</t>
        </is>
      </c>
      <c r="E13" s="154" t="inlineStr">
        <is>
          <t>ALL FOUR hog classes
(market + sow + roaster + boar/stag —
fresh FSIS flags 2026-09-03)</t>
        </is>
      </c>
      <c r="F13" s="154" t="inlineStr">
        <is>
          <t>192-1,917/wk (FSIS cat 3) —
ALL-SPECIES aggregate; hog share
is the open question</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4</v>
      </c>
      <c r="P13" s="185" t="n">
        <v>4</v>
      </c>
      <c r="Q13" s="185" t="n">
        <v>5</v>
      </c>
      <c r="R13" s="185" t="n">
        <v>2</v>
      </c>
      <c r="S13" s="162">
        <f>ROUND(SUMPRODUCT($K$3:$R$3,K13:R13),1)</f>
        <v/>
      </c>
      <c r="T13" s="162">
        <f>ROUND(SUMPRODUCT($K$4:$R$4,K13:R13),1)</f>
        <v/>
      </c>
      <c r="U13" s="187" t="inlineStr">
        <is>
          <t>2</t>
        </is>
      </c>
      <c r="V13" s="154" t="inlineStr">
        <is>
          <t>ONE call decides it: actual hogs/week (the cat-3 band is a multi-species aggregate, so the hog number could disappoint). If the hog share is real, this is the only outside-the-base volume play in reach — as Model B-T. (843) 355-6447.</t>
        </is>
      </c>
    </row>
    <row r="14" ht="45.2" customHeight="1" s="59">
      <c r="A14" s="153" t="inlineStr">
        <is>
          <t>Contentnea Farms
Walstonburg, NC</t>
        </is>
      </c>
      <c r="B14" s="154" t="inlineStr">
        <is>
          <t>USDA ✓ M2583 (T-A)
grant 10/29/2025</t>
        </is>
      </c>
      <c r="C14" s="185" t="inlineStr">
        <is>
          <t>NC-East</t>
        </is>
      </c>
      <c r="D14" s="185" t="inlineStr">
        <is>
          <t>35</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5</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Closest plant on the list (35 mi) but &lt;19/wk: overflow/pilot for odd-lot sow or boar needs only. (252) 717-9229.</t>
        </is>
      </c>
    </row>
    <row r="15" ht="58.6" customHeight="1" s="59">
      <c r="A15" s="153" t="inlineStr">
        <is>
          <t>Select Meats
Kannapolis, NC</t>
        </is>
      </c>
      <c r="B15" s="154" t="inlineStr">
        <is>
          <t>USDA ✓ M10757 (T-A)</t>
        </is>
      </c>
      <c r="C15" s="185" t="inlineStr">
        <is>
          <t>NC-West</t>
        </is>
      </c>
      <c r="D15" s="185" t="inlineStr">
        <is>
          <t>190</t>
        </is>
      </c>
      <c r="E15" s="154" t="inlineStr">
        <is>
          <t>MARKET only</t>
        </is>
      </c>
      <c r="F15" s="154" t="inlineStr">
        <is>
          <t>19-192/wk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1</v>
      </c>
      <c r="L15" s="185" t="n">
        <v>3</v>
      </c>
      <c r="M15" s="185" t="n">
        <v>2</v>
      </c>
      <c r="N15" s="185" t="n">
        <v>5</v>
      </c>
      <c r="O15" s="185" t="n">
        <v>3</v>
      </c>
      <c r="P15" s="185" t="n">
        <v>4</v>
      </c>
      <c r="Q15" s="185" t="n">
        <v>5</v>
      </c>
      <c r="R15" s="185" t="n">
        <v>2</v>
      </c>
      <c r="S15" s="162">
        <f>ROUND(SUMPRODUCT($K$3:$R$3,K15:R15),1)</f>
        <v/>
      </c>
      <c r="T15" s="162">
        <f>ROUND(SUMPRODUCT($K$4:$R$4,K15:R15),1)</f>
        <v/>
      </c>
      <c r="U15" s="188" t="inlineStr">
        <is>
          <t>3</t>
        </is>
      </c>
      <c r="V15" s="154" t="inlineStr">
        <is>
          <t>The western sleeper — one phone call resolves it, but at 190 mi it needs a western crew or Model B-T to matter. (704) 202-9340 / (704) 933-7550.</t>
        </is>
      </c>
    </row>
    <row r="16" ht="72" customHeight="1" s="59">
      <c r="A16" s="153" t="inlineStr">
        <is>
          <t>Wilkes Abattoir (Apple Brandy)
N. Wilkesboro, NC</t>
        </is>
      </c>
      <c r="B16" s="154" t="inlineStr">
        <is>
          <t>USDA ✓ M19511 (T-A)</t>
        </is>
      </c>
      <c r="C16" s="185" t="inlineStr">
        <is>
          <t>NC-West</t>
        </is>
      </c>
      <c r="D16" s="185" t="inlineStr">
        <is>
          <t>209</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1</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row>
    <row r="17" ht="72" customHeight="1" s="59">
      <c r="A17" s="153" t="inlineStr">
        <is>
          <t>Western state trio: Caldwell P-312 ·
Price's P-307 · McLaughlin's P-85</t>
        </is>
      </c>
      <c r="B17" s="154" t="inlineStr">
        <is>
          <t>STATE ✓ (NC)
Maiden / Hickory / Mooresville</t>
        </is>
      </c>
      <c r="C17" s="185" t="inlineStr">
        <is>
          <t>NC-West</t>
        </is>
      </c>
      <c r="D17" s="185" t="inlineStr">
        <is>
          <t>201-227</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1</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row>
    <row r="18" ht="45.2" customHeight="1" s="59">
      <c r="A18" s="153" t="inlineStr">
        <is>
          <t>Key Packing Co.
Robbins, NC</t>
        </is>
      </c>
      <c r="B18" s="154" t="inlineStr">
        <is>
          <t>STATE ✓ P-48 (NC)</t>
        </is>
      </c>
      <c r="C18" s="185" t="inlineStr">
        <is>
          <t>NC-Central</t>
        </is>
      </c>
      <c r="D18" s="185" t="inlineStr">
        <is>
          <t>116</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row>
    <row r="19" ht="112.2" customHeight="1" s="59">
      <c r="A19" s="153" t="inlineStr">
        <is>
          <t>Hemingway Locker Plant
Hemingway, SC</t>
        </is>
      </c>
      <c r="B19" s="154" t="inlineStr">
        <is>
          <t>USDA ✓ M34181</t>
        </is>
      </c>
      <c r="C19" s="185" t="inlineStr">
        <is>
          <t>SC</t>
        </is>
      </c>
      <c r="D19" s="185" t="inlineStr">
        <is>
          <t>180</t>
        </is>
      </c>
      <c r="E19" s="154" t="inlineStr">
        <is>
          <t>MARKET hogs</t>
        </is>
      </c>
      <c r="F19" s="154" t="inlineStr">
        <is>
          <t>19-192/wk (FSIS cat 2)</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3</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row>
    <row r="20" ht="45.2" customHeight="1" s="59">
      <c r="A20" s="153" t="inlineStr">
        <is>
          <t>SCR International
Fairmont, NC</t>
        </is>
      </c>
      <c r="B20" s="154" t="inlineStr">
        <is>
          <t>USDA ✓ M9199 (T-A)</t>
        </is>
      </c>
      <c r="C20" s="185" t="inlineStr">
        <is>
          <t>NC-East</t>
        </is>
      </c>
      <c r="D20" s="185" t="inlineStr">
        <is>
          <t>114</t>
        </is>
      </c>
      <c r="E20" s="154" t="inlineStr">
        <is>
          <t>Roasters 10-110 lb
(lechon/ethnic trade)</t>
        </is>
      </c>
      <c r="F20" s="154" t="inlineStr">
        <is>
          <t>19-192/wk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4</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row>
  </sheetData>
  <autoFilter ref="A5:V20"/>
  <mergeCells count="2">
    <mergeCell ref="A2:V2"/>
    <mergeCell ref="A1:V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55A11"/>
    <outlinePr summaryBelow="1" summaryRight="1"/>
    <pageSetUpPr fitToPage="1"/>
  </sheetPr>
  <dimension ref="A1:K12"/>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style="59" min="1" max="1"/>
    <col width="27" customWidth="1" style="59" min="2" max="2"/>
    <col width="15" customWidth="1" style="59" min="3" max="3"/>
    <col width="14" customWidth="1" style="59" min="4" max="4"/>
    <col width="16" customWidth="1" style="59" min="5" max="5"/>
    <col width="44" customWidth="1" style="59" min="6" max="6"/>
    <col width="34" customWidth="1" style="59" min="7" max="7"/>
    <col width="40" customWidth="1" style="59" min="8" max="8"/>
    <col width="15" customWidth="1" style="59" min="9" max="9"/>
    <col width="15" customWidth="1" style="59" min="10" max="10"/>
    <col width="30" customWidth="1" style="59" min="11" max="11"/>
  </cols>
  <sheetData>
    <row r="1" ht="19.7" customHeight="1" s="59">
      <c r="A1" s="150" t="inlineStr">
        <is>
          <t>PLAN OF ACTION — working sheet for the purchasing-manager session (call → questionnaire → visit)</t>
        </is>
      </c>
      <c r="B1" s="171" t="n"/>
      <c r="C1" s="171" t="n"/>
      <c r="D1" s="171" t="n"/>
      <c r="E1" s="171" t="n"/>
      <c r="F1" s="171" t="n"/>
      <c r="G1" s="171" t="n"/>
      <c r="H1" s="171" t="n"/>
      <c r="I1" s="171" t="n"/>
      <c r="J1" s="171" t="n"/>
      <c r="K1" s="172" t="n"/>
    </row>
    <row r="2" ht="18.4" customHeight="1" s="59">
      <c r="A2" s="180" t="inlineStr">
        <is>
          <t>YELLOW cells are yours to fill in during the session (owner, dates, outcomes, decision). The grey italic line is an EXAMPLE of a filled row — it is not a real call. Sequence: work tier-1 top-down; a candidate advances to VISIT only if its decisive questions pass on the call.</t>
        </is>
      </c>
      <c r="B2" s="171" t="n"/>
      <c r="C2" s="171" t="n"/>
      <c r="D2" s="171" t="n"/>
      <c r="E2" s="171" t="n"/>
      <c r="F2" s="171" t="n"/>
      <c r="G2" s="171" t="n"/>
      <c r="H2" s="171" t="n"/>
      <c r="I2" s="171" t="n"/>
      <c r="J2" s="171" t="n"/>
      <c r="K2" s="172" t="n"/>
    </row>
    <row r="3" ht="31.8" customHeight="1" s="59">
      <c r="A3" s="152" t="inlineStr">
        <is>
          <t>Pri</t>
        </is>
      </c>
      <c r="B3" s="152" t="inlineStr">
        <is>
          <t>Candidate</t>
        </is>
      </c>
      <c r="C3" s="152" t="inlineStr">
        <is>
          <t>Model to propose</t>
        </is>
      </c>
      <c r="D3" s="152" t="inlineStr">
        <is>
          <t>Owner</t>
        </is>
      </c>
      <c r="E3" s="152" t="inlineStr">
        <is>
          <t>Call target date</t>
        </is>
      </c>
      <c r="F3" s="152" t="inlineStr">
        <is>
          <t>DECISIVE questions for the call (from the Questionnaire tab)</t>
        </is>
      </c>
      <c r="G3" s="152" t="inlineStr">
        <is>
          <t>Go / No-Go gate after the call</t>
        </is>
      </c>
      <c r="H3" s="152" t="inlineStr">
        <is>
          <t>Visit: what to verify on-site</t>
        </is>
      </c>
      <c r="I3" s="152" t="inlineStr">
        <is>
          <t>Call outcome</t>
        </is>
      </c>
      <c r="J3" s="152" t="inlineStr">
        <is>
          <t>Decision</t>
        </is>
      </c>
      <c r="K3" s="152" t="inlineStr">
        <is>
          <t>Notes</t>
        </is>
      </c>
    </row>
    <row r="4" ht="31.8" customHeight="1" s="59">
      <c r="A4" s="190" t="inlineStr">
        <is>
          <t>–</t>
        </is>
      </c>
      <c r="B4" s="190" t="inlineStr">
        <is>
          <t>EXAMPLE — Plant X (P-000)</t>
        </is>
      </c>
      <c r="C4" s="190" t="inlineStr">
        <is>
          <t>A (our techs)</t>
        </is>
      </c>
      <c r="D4" s="190" t="inlineStr">
        <is>
          <t>J. Smith</t>
        </is>
      </c>
      <c r="E4" s="190" t="inlineStr">
        <is>
          <t>2026-09-12</t>
        </is>
      </c>
      <c r="F4" s="190" t="inlineStr">
        <is>
          <t>D1 host our techs? · A2 hogs/week? · C3 time-to-chill?</t>
        </is>
      </c>
      <c r="G4" s="190" t="inlineStr">
        <is>
          <t>Hosts crews AND kills ≥2 days/wk → visit</t>
        </is>
      </c>
      <c r="H4" s="190" t="inlineStr">
        <is>
          <t>Floor space &amp; bench spot · stunning method · chill room · welfare culture</t>
        </is>
      </c>
      <c r="I4" s="190" t="inlineStr">
        <is>
          <t>PASSED 9/12</t>
        </is>
      </c>
      <c r="J4" s="190" t="inlineStr">
        <is>
          <t>VISIT 9/25</t>
        </is>
      </c>
      <c r="K4" s="190" t="inlineStr">
        <is>
          <t>friendly; owner answers directly</t>
        </is>
      </c>
    </row>
    <row r="5" ht="58.6" customHeight="1" s="59">
      <c r="A5" s="186" t="inlineStr">
        <is>
          <t>1a</t>
        </is>
      </c>
      <c r="B5" s="153" t="inlineStr">
        <is>
          <t>Larry's Sausage (M8305)</t>
        </is>
      </c>
      <c r="C5" s="154" t="inlineStr">
        <is>
          <t>Either — open with A</t>
        </is>
      </c>
      <c r="D5" s="191" t="inlineStr"/>
      <c r="E5" s="191" t="inlineStr"/>
      <c r="F5" s="154" t="inlineStr">
        <is>
          <t>A1 which classes/sow condition · A2 head/wk · C1 viscera today · D1 host our techs? · D2 their crew w/ training?</t>
        </is>
      </c>
      <c r="G5" s="154" t="inlineStr">
        <is>
          <t>INTERNAL FIRST: does sow anatomy pass the spec for pelvic/bariatric blocks? Then: kills ≥2 days/wk AND says yes to either model → visit.</t>
        </is>
      </c>
      <c r="H5" s="154" t="inlineStr">
        <is>
          <t>Sow condition/parity on the rail · evisceration station · chill time · which Godwin-family member decides</t>
        </is>
      </c>
      <c r="I5" s="191" t="inlineStr"/>
      <c r="J5" s="191" t="inlineStr"/>
      <c r="K5" s="192" t="inlineStr">
        <is>
          <t>Call Tue 9-3 (their office hours)</t>
        </is>
      </c>
    </row>
    <row r="6" ht="45.2" customHeight="1" s="59">
      <c r="A6" s="186" t="inlineStr">
        <is>
          <t>1b</t>
        </is>
      </c>
      <c r="B6" s="153" t="inlineStr">
        <is>
          <t>McLamb's Abattoir (P-247) + Gale McLamb (P-221)</t>
        </is>
      </c>
      <c r="C6" s="154" t="inlineStr">
        <is>
          <t>A (our techs)</t>
        </is>
      </c>
      <c r="D6" s="191" t="inlineStr"/>
      <c r="E6" s="191" t="inlineStr"/>
      <c r="F6" s="154" t="inlineStr">
        <is>
          <t>A2 hogs/wk + hog share · A3 kill days · C2 blocks intact? · D1 host our techs?</t>
        </is>
      </c>
      <c r="G6" s="154" t="inlineStr">
        <is>
          <t>Either plant kills hogs ≥1 fixed day/wk and will host → visit both on one I-95 trip.</t>
        </is>
      </c>
      <c r="H6" s="154" t="inlineStr">
        <is>
          <t>Floor + bench space · stunning method · chill capacity · meet Shane Lee / the McLambs</t>
        </is>
      </c>
      <c r="I6" s="191" t="inlineStr"/>
      <c r="J6" s="191" t="inlineStr"/>
      <c r="K6" s="192" t="inlineStr">
        <is>
          <t>One trip, two plants, 37-44 mi</t>
        </is>
      </c>
    </row>
    <row r="7" ht="72" customHeight="1" s="59">
      <c r="A7" s="186" t="inlineStr">
        <is>
          <t>1c</t>
        </is>
      </c>
      <c r="B7" s="153" t="inlineStr">
        <is>
          <t>Piedmont Custom Meats (M7975)</t>
        </is>
      </c>
      <c r="C7" s="154" t="inlineStr">
        <is>
          <t>Either — strongest B-T candidate</t>
        </is>
      </c>
      <c r="D7" s="191" t="inlineStr"/>
      <c r="E7" s="191" t="inlineStr"/>
      <c r="F7" s="154" t="inlineStr">
        <is>
          <t>A2 hog head/wk within the all-species cat-2 · C1 offal today (they charge disposal!) · D1 host on appointment days · D2 crew harvest to spec? · ⚠ stunning protocol: can our designated hogs skip the second (cardiac) stun?</t>
        </is>
      </c>
      <c r="G7" s="154" t="inlineStr">
        <is>
          <t>Hog share ≥1 day/wk equivalent AND either model yes → visit; also probe EU-facing welfare documentation (AWA cert scope).</t>
        </is>
      </c>
      <c r="H7" s="154" t="inlineStr">
        <is>
          <t>Gibsonville kill floor (not Asheboro) · appointment mechanics · AWA paperwork · who runs the floor</t>
        </is>
      </c>
      <c r="I7" s="191" t="inlineStr"/>
      <c r="J7" s="191" t="inlineStr"/>
      <c r="K7" s="192" t="inlineStr">
        <is>
          <t>Scheduling line (336) 628-4949; 116 mi = same-day but long</t>
        </is>
      </c>
    </row>
    <row r="8" ht="31.8" customHeight="1" s="59">
      <c r="A8" s="187" t="inlineStr">
        <is>
          <t>2a</t>
        </is>
      </c>
      <c r="B8" s="153" t="inlineStr">
        <is>
          <t>Flowers Slaughter House (M21747)</t>
        </is>
      </c>
      <c r="C8" s="154" t="inlineStr">
        <is>
          <t>A (cluster with CQP)</t>
        </is>
      </c>
      <c r="D8" s="191" t="inlineStr"/>
      <c r="E8" s="191" t="inlineStr"/>
      <c r="F8" s="154" t="inlineStr">
        <is>
          <t>A2 hogs/wk · A3 days vs CQP's days · C2 blocks intact · D1 host?</t>
        </is>
      </c>
      <c r="G8" s="154" t="inlineStr">
        <is>
          <t>Kill days complement CQP → fold into the Sims cluster crew plan.</t>
        </is>
      </c>
      <c r="H8" s="154" t="inlineStr">
        <is>
          <t>Walk it the same day as a CQP harvest day — 3 miles apart</t>
        </is>
      </c>
      <c r="I8" s="191" t="inlineStr"/>
      <c r="J8" s="191" t="inlineStr"/>
      <c r="K8" s="192" t="inlineStr">
        <is>
          <t>Boar/stag access is the unique add</t>
        </is>
      </c>
    </row>
    <row r="9" ht="31.8" customHeight="1" s="59">
      <c r="A9" s="187" t="inlineStr">
        <is>
          <t>2b</t>
        </is>
      </c>
      <c r="B9" s="153" t="inlineStr">
        <is>
          <t>Acre Station (M19904)</t>
        </is>
      </c>
      <c r="C9" s="154" t="inlineStr">
        <is>
          <t>B-T preferred (distance)</t>
        </is>
      </c>
      <c r="D9" s="191" t="inlineStr"/>
      <c r="E9" s="191" t="inlineStr"/>
      <c r="F9" s="154" t="inlineStr">
        <is>
          <t>A2 hog days/wk among the multi-species week · C1 offal on whole-hog orders · D2 crew to our spec?</t>
        </is>
      </c>
      <c r="G9" s="154" t="inlineStr">
        <is>
          <t>≥1 dedicated hog day AND crew willing → visit.</t>
        </is>
      </c>
      <c r="H9" s="154" t="inlineStr">
        <is>
          <t>Line speed · crew tenure · chill room · family decision-maker</t>
        </is>
      </c>
      <c r="I9" s="191" t="inlineStr"/>
      <c r="J9" s="191" t="inlineStr"/>
      <c r="K9" s="192" t="inlineStr">
        <is>
          <t>~2 hr out — B-T fits better than weekly Model A</t>
        </is>
      </c>
    </row>
    <row r="10" ht="45.2" customHeight="1" s="59">
      <c r="A10" s="187" t="inlineStr">
        <is>
          <t>2c</t>
        </is>
      </c>
      <c r="B10" s="153" t="inlineStr">
        <is>
          <t>Bass Farms (M3521)</t>
        </is>
      </c>
      <c r="C10" s="154" t="inlineStr">
        <is>
          <t>B-T micro-pilot</t>
        </is>
      </c>
      <c r="D10" s="191" t="inlineStr"/>
      <c r="E10" s="191" t="inlineStr"/>
      <c r="F10" s="154" t="inlineStr">
        <is>
          <t>A2 sows/wk now + growth plan · C1 what happens to organs · D2 would their crew save organ sets to our spec?</t>
        </is>
      </c>
      <c r="G10" s="154" t="inlineStr">
        <is>
          <t>Willing to pilot a few organ sets/wk → small B-T pilot, no visit needed first.</t>
        </is>
      </c>
      <c r="H10" s="154" t="inlineStr">
        <is>
          <t>(pilot first; visit when volume grows)</t>
        </is>
      </c>
      <c r="I10" s="191" t="inlineStr"/>
      <c r="J10" s="191" t="inlineStr"/>
      <c r="K10" s="192" t="inlineStr">
        <is>
          <t>Kenneth Edwards; FSIS volume category rose cat 1→2 between Aug 17 and Sep 3 — growth mode confirmed</t>
        </is>
      </c>
    </row>
    <row r="11" ht="45.2" customHeight="1" s="59">
      <c r="A11" s="187" t="inlineStr">
        <is>
          <t>2d</t>
        </is>
      </c>
      <c r="B11" s="153" t="inlineStr">
        <is>
          <t>Williamsburg Packing (M4005) — SC</t>
        </is>
      </c>
      <c r="C11" s="154" t="inlineStr">
        <is>
          <t>B-T (distance)</t>
        </is>
      </c>
      <c r="D11" s="191" t="inlineStr"/>
      <c r="E11" s="191" t="inlineStr"/>
      <c r="F11" s="154" t="inlineStr">
        <is>
          <t>A2 HOGS specifically per week (their cat-3 band is all-species — get the hog number) · A1 classes · C1 viscera today · D2 crew to our spec?</t>
        </is>
      </c>
      <c r="G11" s="154" t="inlineStr">
        <is>
          <t>Hog share ≥300/wk AND open to supervised harvest → SC trip (pair with Hemingway Locker, 30 min away).</t>
        </is>
      </c>
      <c r="H11" s="154" t="inlineStr">
        <is>
          <t>Hog line share observed · crew skill · chill chain · V4005 paperwork (research-tissue mechanism)</t>
        </is>
      </c>
      <c r="I11" s="191" t="inlineStr"/>
      <c r="J11" s="191" t="inlineStr"/>
      <c r="K11" s="192" t="inlineStr">
        <is>
          <t>Do NOT lead with welfare (their cert claims were refuted). (843) 355-6447</t>
        </is>
      </c>
    </row>
    <row r="12" ht="45.2" customHeight="1" s="59">
      <c r="A12" s="188" t="inlineStr">
        <is>
          <t>3</t>
        </is>
      </c>
      <c r="B12" s="153" t="inlineStr">
        <is>
          <t>Contentnea · Select Meats · Wilkes/Apple Brandy · western trio · Key Packing</t>
        </is>
      </c>
      <c r="C12" s="154" t="inlineStr">
        <is>
          <t>Park</t>
        </is>
      </c>
      <c r="D12" s="191" t="inlineStr"/>
      <c r="E12" s="191" t="inlineStr"/>
      <c r="F12" s="154" t="inlineStr">
        <is>
          <t>(one exploratory call each, when capacity is needed)</t>
        </is>
      </c>
      <c r="G12" s="154" t="inlineStr">
        <is>
          <t>Only if tier-1/2 outcomes leave a gap.</t>
        </is>
      </c>
      <c r="H12" s="154" t="inlineStr">
        <is>
          <t>—</t>
        </is>
      </c>
      <c r="I12" s="191" t="inlineStr"/>
      <c r="J12" s="191" t="inlineStr"/>
      <c r="K12" s="192" t="inlineStr">
        <is>
          <t>See Rated Candidates for each plant's specifics</t>
        </is>
      </c>
    </row>
  </sheetData>
  <mergeCells count="2">
    <mergeCell ref="A2:K2"/>
    <mergeCell ref="A1:K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548235"/>
    <outlinePr summaryBelow="1" summaryRight="1"/>
    <pageSetUpPr fitToPage="1"/>
  </sheetPr>
  <dimension ref="A1:C36"/>
  <sheetViews>
    <sheetView showGridLines="0" workbookViewId="0">
      <pane ySplit="1" topLeftCell="A2"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(phone). Answer cells are yellow; the visit checklist at the bottom is stage 2.</t>
        </is>
      </c>
      <c r="B1" s="171" t="n"/>
      <c r="C1" s="172" t="n"/>
    </row>
    <row r="2" ht="18.4" customHeight="1" s="59">
      <c r="A2" s="152" t="inlineStr">
        <is>
          <t>HEADER — fill before dialing</t>
        </is>
      </c>
      <c r="B2" s="171" t="n"/>
      <c r="C2" s="172" t="n"/>
    </row>
    <row r="3" ht="18.4" customHeight="1" s="59">
      <c r="A3" s="193" t="inlineStr">
        <is>
          <t>1</t>
        </is>
      </c>
      <c r="B3" s="154" t="inlineStr">
        <is>
          <t>Plant / est. no. / caller / date</t>
        </is>
      </c>
      <c r="C3" s="191" t="inlineStr"/>
    </row>
    <row r="4" ht="18.4" customHeight="1" s="59">
      <c r="A4" s="193" t="inlineStr">
        <is>
          <t>2</t>
        </is>
      </c>
      <c r="B4" s="154" t="inlineStr">
        <is>
          <t>Phone + who answered (name, role)</t>
        </is>
      </c>
      <c r="C4" s="191" t="inlineStr"/>
    </row>
    <row r="5" ht="18.4" customHeight="1" s="59">
      <c r="A5" s="152" t="inlineStr">
        <is>
          <t>A · THE BASICS (gate in 3 minutes)</t>
        </is>
      </c>
      <c r="B5" s="171" t="n"/>
      <c r="C5" s="172" t="n"/>
    </row>
    <row r="6" ht="18.4" customHeight="1" s="59">
      <c r="A6" s="193" t="inlineStr">
        <is>
          <t>1</t>
        </is>
      </c>
      <c r="B6" s="154" t="inlineStr">
        <is>
          <t>Do you slaughter HOGS? Which classes — market weight, sows, roasters, boars?</t>
        </is>
      </c>
      <c r="C6" s="191" t="inlineStr"/>
    </row>
    <row r="7" ht="18.4" customHeight="1" s="59">
      <c r="A7" s="193" t="inlineStr">
        <is>
          <t>2</t>
        </is>
      </c>
      <c r="B7" s="154" t="inlineStr">
        <is>
          <t>How many hogs per WEEK, across the year? (head/day × kill days; steady or seasonal?)</t>
        </is>
      </c>
      <c r="C7" s="191" t="inlineStr"/>
    </row>
    <row r="8" ht="18.4" customHeight="1" s="59">
      <c r="A8" s="193" t="inlineStr">
        <is>
          <t>3</t>
        </is>
      </c>
      <c r="B8" s="154" t="inlineStr">
        <is>
          <t>Which DAYS do you kill? Could a recurring day be reserved or planned around?</t>
        </is>
      </c>
      <c r="C8" s="191" t="inlineStr"/>
    </row>
    <row r="9" ht="18.4" customHeight="1" s="59">
      <c r="A9" s="152" t="inlineStr">
        <is>
          <t>B · INSPECTION (gate)</t>
        </is>
      </c>
      <c r="B9" s="171" t="n"/>
      <c r="C9" s="172" t="n"/>
    </row>
    <row r="10" ht="31.8" customHeight="1" s="59">
      <c r="A10" s="193" t="inlineStr">
        <is>
          <t>1</t>
        </is>
      </c>
      <c r="B10" s="154" t="inlineStr">
        <is>
          <t>USDA federal grant or NC STATE grant? Establishment number? (Outside NC: state programme = domestic-only for us.)</t>
        </is>
      </c>
      <c r="C10" s="191" t="inlineStr"/>
    </row>
    <row r="11" ht="18.4" customHeight="1" s="59">
      <c r="A11" s="193" t="inlineStr">
        <is>
          <t>2</t>
        </is>
      </c>
      <c r="B11" s="154" t="inlineStr">
        <is>
          <t>Any recent humane-handling actions, NRs or recalls we should hear from you first?</t>
        </is>
      </c>
      <c r="C11" s="191" t="inlineStr"/>
    </row>
    <row r="12" ht="18.4" customHeight="1" s="59">
      <c r="A12" s="152" t="inlineStr">
        <is>
          <t>C · THE TISSUE (why we're calling)</t>
        </is>
      </c>
      <c r="B12" s="171" t="n"/>
      <c r="C12" s="172" t="n"/>
    </row>
    <row r="13" ht="18.4" customHeight="1" s="59">
      <c r="A13" s="193" t="inlineStr">
        <is>
          <t>1</t>
        </is>
      </c>
      <c r="B13" s="154" t="inlineStr">
        <is>
          <t>When you kill a hog, what happens to the viscera today — rendered, returned to the customer, sold?</t>
        </is>
      </c>
      <c r="C13" s="191" t="inlineStr"/>
    </row>
    <row r="14" ht="18.4" customHeight="1" s="59">
      <c r="A14" s="193" t="inlineStr">
        <is>
          <t>2</t>
        </is>
      </c>
      <c r="B14" s="154" t="inlineStr">
        <is>
          <t>Could pelvic / abdominal / thoracic blocks and organs come off INTACT at evisceration?</t>
        </is>
      </c>
      <c r="C14" s="191" t="inlineStr"/>
    </row>
    <row r="15" ht="18.4" customHeight="1" s="59">
      <c r="A15" s="193" t="inlineStr">
        <is>
          <t>3</t>
        </is>
      </c>
      <c r="B15" s="154" t="inlineStr">
        <is>
          <t>Cooler / hanging space, and typical time-to-chill after the kill? (our freshness window)</t>
        </is>
      </c>
      <c r="C15" s="191" t="inlineStr"/>
    </row>
    <row r="16" ht="31.8" customHeight="1" s="59">
      <c r="A16" s="193" t="inlineStr">
        <is>
          <t>4</t>
        </is>
      </c>
      <c r="B16" s="154" t="inlineStr">
        <is>
          <t>What stunning method do you use — and could OUR designated hogs skip any second/cardiac stun (protects thoracic organs)?</t>
        </is>
      </c>
      <c r="C16" s="191" t="inlineStr"/>
    </row>
    <row r="17" ht="18.4" customHeight="1" s="59">
      <c r="A17" s="193" t="inlineStr">
        <is>
          <t>5</t>
        </is>
      </c>
      <c r="B17" s="154" t="inlineStr">
        <is>
          <t>Does anyone else already collect tissue or organs on your floor? Who?</t>
        </is>
      </c>
      <c r="C17" s="191" t="inlineStr"/>
    </row>
    <row r="18" ht="18.4" customHeight="1" s="59">
      <c r="A18" s="152" t="inlineStr">
        <is>
          <t>D · THE MODEL (the decisive section)</t>
        </is>
      </c>
      <c r="B18" s="171" t="n"/>
      <c r="C18" s="172" t="n"/>
    </row>
    <row r="19" ht="31.8" customHeight="1" s="59">
      <c r="A19" s="193" t="inlineStr">
        <is>
          <t>1</t>
        </is>
      </c>
      <c r="B19" s="154" t="inlineStr">
        <is>
          <t>MODEL A: would you HOST our trained harvest techs on your floor on kill days — bench space, cooler access, scheduled around your line? Rent by visit or by piece?</t>
        </is>
      </c>
      <c r="C19" s="191" t="inlineStr"/>
    </row>
    <row r="20" ht="31.8" customHeight="1" s="59">
      <c r="A20" s="193" t="inlineStr">
        <is>
          <t>2</t>
        </is>
      </c>
      <c r="B20" s="154" t="inlineStr">
        <is>
          <t>MODEL B-T: would YOUR crew harvest to our written spec if we train them and supervise periodically — the way one of our current partners works today? Per-piece fee?</t>
        </is>
      </c>
      <c r="C20" s="191" t="inlineStr"/>
    </row>
    <row r="21" ht="18.4" customHeight="1" s="59">
      <c r="A21" s="193" t="inlineStr">
        <is>
          <t>3</t>
        </is>
      </c>
      <c r="B21" s="154" t="inlineStr">
        <is>
          <t>Either way: space, PPE, biosecurity and scheduling constraints we should plan around?</t>
        </is>
      </c>
      <c r="C21" s="191" t="inlineStr"/>
    </row>
    <row r="22" ht="18.4" customHeight="1" s="59">
      <c r="A22" s="152" t="inlineStr">
        <is>
          <t>E · CULTURE &amp; PEOPLE</t>
        </is>
      </c>
      <c r="B22" s="171" t="n"/>
      <c r="C22" s="172" t="n"/>
    </row>
    <row r="23" ht="18.4" customHeight="1" s="59">
      <c r="A23" s="193" t="inlineStr">
        <is>
          <t>1</t>
        </is>
      </c>
      <c r="B23" s="154" t="inlineStr">
        <is>
          <t>Who owns and runs the plant day to day? Who would our person coordinate with?</t>
        </is>
      </c>
      <c r="C23" s="191" t="inlineStr"/>
    </row>
    <row r="24" ht="18.4" customHeight="1" s="59">
      <c r="A24" s="193" t="inlineStr">
        <is>
          <t>2</t>
        </is>
      </c>
      <c r="B24" s="154" t="inlineStr">
        <is>
          <t>How long has your kill-floor crew been with you?</t>
        </is>
      </c>
      <c r="C24" s="191" t="inlineStr"/>
    </row>
    <row r="25" ht="18.4" customHeight="1" s="59">
      <c r="A25" s="193" t="inlineStr">
        <is>
          <t>3</t>
        </is>
      </c>
      <c r="B25" s="154" t="inlineStr">
        <is>
          <t>How do you handle humane handling — and how would you want a quality issue raised and resolved?</t>
        </is>
      </c>
      <c r="C25" s="191" t="inlineStr"/>
    </row>
    <row r="26" ht="18.4" customHeight="1" s="59">
      <c r="A26" s="152" t="inlineStr">
        <is>
          <t>F · COMMERCIAL</t>
        </is>
      </c>
      <c r="B26" s="171" t="n"/>
      <c r="C26" s="172" t="n"/>
    </row>
    <row r="27" ht="18.4" customHeight="1" s="59">
      <c r="A27" s="193" t="inlineStr">
        <is>
          <t>1</t>
        </is>
      </c>
      <c r="B27" s="154" t="inlineStr">
        <is>
          <t>Ballpark pricing — per-visit access / per-piece harvest fee? Minimums, lead time?</t>
        </is>
      </c>
      <c r="C27" s="191" t="inlineStr"/>
    </row>
    <row r="28" ht="18.4" customHeight="1" s="59">
      <c r="A28" s="193" t="inlineStr">
        <is>
          <t>2</t>
        </is>
      </c>
      <c r="B28" s="154" t="inlineStr">
        <is>
          <t>NDA needed before we share the harvesting protocol?</t>
        </is>
      </c>
      <c r="C28" s="191" t="inlineStr"/>
    </row>
    <row r="29" ht="18.4" customHeight="1" s="59">
      <c r="A29" s="193" t="inlineStr">
        <is>
          <t>3</t>
        </is>
      </c>
      <c r="B29" s="154" t="inlineStr">
        <is>
          <t>Best contact for the written follow-up?</t>
        </is>
      </c>
      <c r="C29" s="191" t="inlineStr"/>
    </row>
    <row r="30" ht="18.4" customHeight="1" s="59">
      <c r="A30" s="152" t="inlineStr">
        <is>
          <t>VISIT CHECKLIST — stage 2 (only after the call passes the gate)</t>
        </is>
      </c>
      <c r="B30" s="171" t="n"/>
      <c r="C30" s="172" t="n"/>
    </row>
    <row r="31" ht="31.8" customHeight="1" s="59">
      <c r="A31" s="193" t="inlineStr">
        <is>
          <t>1</t>
        </is>
      </c>
      <c r="B31" s="154" t="inlineStr">
        <is>
          <t>Walk the kill floor at working speed: line layout, evisceration station, where our bench/totes would sit</t>
        </is>
      </c>
      <c r="C31" s="191" t="inlineStr"/>
    </row>
    <row r="32" ht="18.4" customHeight="1" s="59">
      <c r="A32" s="193" t="inlineStr">
        <is>
          <t>2</t>
        </is>
      </c>
      <c r="B32" s="154" t="inlineStr">
        <is>
          <t>Stunning method and placement observed (protects thoracic organs / aortas?)</t>
        </is>
      </c>
      <c r="C32" s="191" t="inlineStr"/>
    </row>
    <row r="33" ht="18.4" customHeight="1" s="59">
      <c r="A33" s="193" t="inlineStr">
        <is>
          <t>3</t>
        </is>
      </c>
      <c r="B33" s="154" t="inlineStr">
        <is>
          <t>Chill room capacity + actual time-to-chill measured, not quoted</t>
        </is>
      </c>
      <c r="C33" s="191" t="inlineStr"/>
    </row>
    <row r="34" ht="18.4" customHeight="1" s="59">
      <c r="A34" s="193" t="inlineStr">
        <is>
          <t>4</t>
        </is>
      </c>
      <c r="B34" s="154" t="inlineStr">
        <is>
          <t>Welfare culture observed live (a SITE-VISIT finding — records alone do not clear a plant)</t>
        </is>
      </c>
      <c r="C34" s="191" t="inlineStr"/>
    </row>
    <row r="35" ht="18.4" customHeight="1" s="59">
      <c r="A35" s="193" t="inlineStr">
        <is>
          <t>5</t>
        </is>
      </c>
      <c r="B35" s="154" t="inlineStr">
        <is>
          <t>Meet the crew who would harvest (Model B-T) or host (Model A); gauge tenure and receptiveness</t>
        </is>
      </c>
      <c r="C35" s="191" t="inlineStr"/>
    </row>
    <row r="36" ht="18.4" customHeight="1" s="59">
      <c r="A36" s="193" t="inlineStr">
        <is>
          <t>6</t>
        </is>
      </c>
      <c r="B36" s="154" t="inlineStr">
        <is>
          <t>Agree pilot shape: day, head count, tissue list, price, who supervises</t>
        </is>
      </c>
      <c r="C36" s="191" t="inlineStr"/>
    </row>
  </sheetData>
  <mergeCells count="9">
    <mergeCell ref="A1:C1"/>
    <mergeCell ref="A5:C5"/>
    <mergeCell ref="A22:C22"/>
    <mergeCell ref="A9:C9"/>
    <mergeCell ref="A18:C18"/>
    <mergeCell ref="A30:C30"/>
    <mergeCell ref="A12:C12"/>
    <mergeCell ref="A26:C26"/>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47"/>
  <sheetViews>
    <sheetView showGridLines="0" topLeftCell="A33" workbookViewId="0">
      <selection activeCell="A13" sqref="A13"/>
    </sheetView>
  </sheetViews>
  <sheetFormatPr baseColWidth="8" defaultRowHeight="14.4"/>
  <cols>
    <col width="34" customWidth="1" style="59" min="1" max="1"/>
    <col width="88" customWidth="1" style="59" min="2" max="2"/>
    <col width="28" customWidth="1" style="59" min="3" max="3"/>
    <col width="18" customWidth="1" style="59" min="4" max="4"/>
    <col width="12" customWidth="1" style="59" min="5" max="6"/>
    <col width="12" customWidth="1" style="59" min="6" max="6"/>
  </cols>
  <sheetData>
    <row r="1" ht="25.1" customHeight="1" s="59">
      <c r="A1" s="117" t="inlineStr">
        <is>
          <t>Action Items — next steps to pick the slaughterhouse</t>
        </is>
      </c>
    </row>
    <row r="2" ht="18.4"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45.2"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9"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165.8"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8.6"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8.6"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58.6"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12.2"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45.2"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CONTACTS — MOVED</t>
        </is>
      </c>
    </row>
    <row r="16" ht="31.8" customHeight="1" s="59">
      <c r="A16" s="4" t="inlineStr">
        <is>
          <t>The ranked contact list now lives on the 'Plan of Action' tab (call → questionnaire → visit, with owners and dates to fill in) and the scoring behind it on 'Rated Candidates'. This tab keeps the meeting sequence above and the RFQ/P templates below. Consolidated 2026-09-03.</t>
        </is>
      </c>
      <c r="B16" s="64" t="n"/>
      <c r="C16" s="64" t="n"/>
      <c r="D16" s="64" t="n"/>
      <c r="E16" s="64" t="n"/>
      <c r="F16" s="65" t="n"/>
    </row>
    <row r="17" ht="15" customHeight="1" s="59"/>
    <row r="18" ht="19.7" customHeight="1" s="59">
      <c r="A18" s="118" t="inlineStr">
        <is>
          <t>RFQ/P — EMAIL TEMPLATE  (copy-paste for email contacts; fill the [brackets])</t>
        </is>
      </c>
    </row>
    <row r="19" ht="18.4" customHeight="1" s="59">
      <c r="A19" s="63" t="inlineStr">
        <is>
          <t>Subject:  Request for Quote / Proposal — Recurring Porcine Tissue Harvesting Partnership</t>
        </is>
      </c>
      <c r="B19" s="64" t="n"/>
      <c r="C19" s="64" t="n"/>
      <c r="D19" s="64" t="n"/>
      <c r="E19" s="64" t="n"/>
      <c r="F19" s="65" t="n"/>
    </row>
    <row r="20" ht="18.4" customHeight="1" s="59">
      <c r="A20" s="58" t="inlineStr">
        <is>
          <t>Hello [Name],</t>
        </is>
      </c>
    </row>
    <row r="21" ht="31.8" customHeight="1" s="59">
      <c r="A21"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22" ht="18.4" customHeight="1" s="59">
      <c r="A22" s="58" t="inlineStr">
        <is>
          <t>We can structure the arrangement either way and would welcome your input:</t>
        </is>
      </c>
    </row>
    <row r="23" ht="18.4" customHeight="1" s="59">
      <c r="A23" s="58" t="inlineStr">
        <is>
          <t xml:space="preserve">   • Model A — our trained technicians harvest on-site; we rent line/cooler access (by visit or by piece).</t>
        </is>
      </c>
    </row>
    <row r="24" ht="18.4" customHeight="1" s="59">
      <c r="A24" s="58" t="inlineStr">
        <is>
          <t xml:space="preserve">   • Model B — your team harvests to our written protocol; we send trainers/inspectors to qualify and audit.</t>
        </is>
      </c>
    </row>
    <row r="25" ht="18.4" customHeight="1" s="59">
      <c r="A25" s="58" t="inlineStr">
        <is>
          <t>Could you please share:</t>
        </is>
      </c>
    </row>
    <row r="26" ht="18.4" customHeight="1" s="59">
      <c r="A26" s="58" t="inlineStr">
        <is>
          <t xml:space="preserve">   1. Approximate hogs slaughtered per week, and whether you can add head for us.</t>
        </is>
      </c>
    </row>
    <row r="27" ht="18.4" customHeight="1" s="59">
      <c r="A27" s="58" t="inlineStr">
        <is>
          <t xml:space="preserve">   2. USDA/FSIS inspection status (establishment #) and any APHIS export listing (we may export finished models to the EU).</t>
        </is>
      </c>
    </row>
    <row r="28" ht="18.4" customHeight="1" s="59">
      <c r="A28" s="58" t="inlineStr">
        <is>
          <t xml:space="preserve">   3. Which organs/tissues you currently harvest vs. send to rendering, and whether we can collect pelvic/abdominal/thoracic blocks at the kill.</t>
        </is>
      </c>
    </row>
    <row r="29" ht="18.4" customHeight="1" s="59">
      <c r="A29" s="58" t="inlineStr">
        <is>
          <t xml:space="preserve">   4. Pricing — Model A: per-visit access/rental or per-piece; Model B: per-piece harvest fee.</t>
        </is>
      </c>
    </row>
    <row r="30" ht="18.4" customHeight="1" s="59">
      <c r="A30" s="58" t="inlineStr">
        <is>
          <t xml:space="preserve">   5. Cooler/hanging space and typical time-to-chill after slaughter (freshness window).</t>
        </is>
      </c>
    </row>
    <row r="31" ht="18.4" customHeight="1" s="59">
      <c r="A31" s="58" t="inlineStr">
        <is>
          <t xml:space="preserve">   6. Your humane-handling program, and any recent USDA humane-handling actions.</t>
        </is>
      </c>
    </row>
    <row r="32" ht="18.4" customHeight="1" s="59">
      <c r="A32" s="58" t="inlineStr">
        <is>
          <t xml:space="preserve">   7. Lead time, minimum commitment, scheduling, and whether an NDA is needed before we share our protocol.</t>
        </is>
      </c>
    </row>
    <row r="33" ht="18.4" customHeight="1" s="59">
      <c r="A33" s="58" t="inlineStr">
        <is>
          <t>We are glad to sign an NDA and to set up a call or a site visit. Thank you — we look forward to your proposal.</t>
        </is>
      </c>
    </row>
    <row r="34" ht="18.4" customHeight="1" s="59">
      <c r="A34" s="58" t="inlineStr">
        <is>
          <t>Best regards,</t>
        </is>
      </c>
    </row>
    <row r="35" ht="18.4" customHeight="1" s="59">
      <c r="A35" s="58" t="inlineStr">
        <is>
          <t>[Your name] · [Title] · [Company] · [Phone] · [Email]</t>
        </is>
      </c>
    </row>
    <row r="36" ht="15" customHeight="1" s="59"/>
    <row r="37" ht="19.7" customHeight="1" s="59">
      <c r="A37" s="118" t="inlineStr">
        <is>
          <t>RFQ/P — SHORT SITE / CALL VERSION  (for phone or website inquiry forms)</t>
        </is>
      </c>
    </row>
    <row r="38" ht="18.4" customHeight="1" s="59">
      <c r="A38" s="58" t="inlineStr">
        <is>
          <t>•  Who we are: biomedical porcine-tissue harvester setting up a recurring program.</t>
        </is>
      </c>
    </row>
    <row r="39" ht="18.4" customHeight="1" s="59">
      <c r="A39" s="58" t="inlineStr">
        <is>
          <t>•  Hogs per week? Can you add head for us? Steady year-round?</t>
        </is>
      </c>
    </row>
    <row r="40" ht="18.4" customHeight="1" s="59">
      <c r="A40" s="58" t="inlineStr">
        <is>
          <t>•  USDA/FSIS establishment #? APHIS export listing (we may export to the EU)?</t>
        </is>
      </c>
    </row>
    <row r="41" ht="18.4" customHeight="1" s="59">
      <c r="A41" s="58" t="inlineStr">
        <is>
          <t>•  Which organs are saved vs. rendered? Can we collect pelvic / abdominal / thoracic blocks at the kill?</t>
        </is>
      </c>
    </row>
    <row r="42" ht="18.4" customHeight="1" s="59">
      <c r="A42" s="58" t="inlineStr">
        <is>
          <t>•  Would you HOST our harvesters (Model A — rent by visit or by piece) OR harvest to our spec (Model B)?</t>
        </is>
      </c>
    </row>
    <row r="43" ht="18.4" customHeight="1" s="59">
      <c r="A43" s="58" t="inlineStr">
        <is>
          <t>•  Ballpark pricing (per-visit rental or per-piece)?</t>
        </is>
      </c>
    </row>
    <row r="44" ht="18.4" customHeight="1" s="59">
      <c r="A44" s="58" t="inlineStr">
        <is>
          <t>•  Cooler space + time-to-chill after slaughter (freshness window)?</t>
        </is>
      </c>
    </row>
    <row r="45" ht="18.4" customHeight="1" s="59">
      <c r="A45" s="58" t="inlineStr">
        <is>
          <t>•  Lead time, minimum commitment, NDA needed?</t>
        </is>
      </c>
    </row>
    <row r="46" ht="18.4" customHeight="1" s="59">
      <c r="A46" s="58" t="inlineStr">
        <is>
          <t>•  Best contact name + email to send a written RFQ/P.</t>
        </is>
      </c>
    </row>
    <row r="47" ht="17.1" customHeight="1" s="59">
      <c r="A47" s="66" t="inlineStr">
        <is>
          <t>Once a plant responds, use the 'Call Question Sheet' tab to fully qualify them, and log key data back to the 'Supplier Roster'.</t>
        </is>
      </c>
    </row>
    <row r="48" ht="18.4" customHeight="1" s="59"/>
    <row r="49" ht="18.4" customHeight="1" s="59"/>
    <row r="50" ht="18.4" customHeight="1" s="59"/>
    <row r="51" ht="15" customHeight="1" s="59"/>
    <row r="52" ht="19.7" customHeight="1" s="59"/>
    <row r="53" ht="18.4" customHeight="1" s="59"/>
    <row r="54" ht="18.4" customHeight="1" s="59"/>
    <row r="55" ht="18.4" customHeight="1" s="59"/>
    <row r="56" ht="18.4" customHeight="1" s="59"/>
    <row r="57" ht="18.4" customHeight="1" s="59"/>
    <row r="58" ht="18.4" customHeight="1" s="59"/>
    <row r="59" ht="18.4" customHeight="1" s="59"/>
    <row r="60" ht="18.4" customHeight="1" s="59"/>
    <row r="61" ht="18.4" customHeight="1" s="59"/>
    <row r="62" ht="17.1" customHeight="1" s="59"/>
  </sheetData>
  <mergeCells count="34">
    <mergeCell ref="A41:F41"/>
    <mergeCell ref="A16:F16"/>
    <mergeCell ref="A46:F46"/>
    <mergeCell ref="A37:F37"/>
    <mergeCell ref="A27:F27"/>
    <mergeCell ref="A18:F18"/>
    <mergeCell ref="A26:F26"/>
    <mergeCell ref="A21:F21"/>
    <mergeCell ref="A33:F33"/>
    <mergeCell ref="A2:F2"/>
    <mergeCell ref="A47:F47"/>
    <mergeCell ref="A42:F42"/>
    <mergeCell ref="A23:F23"/>
    <mergeCell ref="A32:F32"/>
    <mergeCell ref="A22:F22"/>
    <mergeCell ref="A35:F35"/>
    <mergeCell ref="A4:F4"/>
    <mergeCell ref="A20:F20"/>
    <mergeCell ref="A29:F29"/>
    <mergeCell ref="A43:F43"/>
    <mergeCell ref="A38:F38"/>
    <mergeCell ref="A28:F28"/>
    <mergeCell ref="A19:F19"/>
    <mergeCell ref="A44:F44"/>
    <mergeCell ref="A31:F31"/>
    <mergeCell ref="A40:F40"/>
    <mergeCell ref="A34:F34"/>
    <mergeCell ref="A30:F30"/>
    <mergeCell ref="A39:F39"/>
    <mergeCell ref="A15:F15"/>
    <mergeCell ref="A24:F24"/>
    <mergeCell ref="A1:F1"/>
    <mergeCell ref="A45:F45"/>
    <mergeCell ref="A25:F25"/>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10.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B63"/>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45.2" customHeight="1" s="59">
      <c r="A35" s="170" t="inlineStr">
        <is>
          <t>★ CURRENT SUPPLIER</t>
        </is>
      </c>
      <c r="B35" s="130" t="inlineStr">
        <is>
          <t>Added 2026-08-17. One of the five plants the client works with today: Nahunta, Martin's, Custom Quality Packers (client harvesters on site at all three), Parks (low-quantity roaster work) and Villari (leaf fat only). Ground truth from the client, 2026-08-17; blue fill in the Fit column.</t>
        </is>
      </c>
    </row>
    <row r="36" ht="45.2" customHeight="1" s="59">
      <c r="A36" s="170" t="inlineStr">
        <is>
          <t>WATCH</t>
        </is>
      </c>
      <c r="B36" s="130" t="inlineStr">
        <is>
          <t>Added 2026-08-17. Not usable today but worth tracking — e.g. Bass Farms (brand-new sow-only grant, organs going to waste, micro volume) and Caudle Meat (NCAMPI grantee with no inspection grant yet — possible new Greene Co. capacity).</t>
        </is>
      </c>
    </row>
    <row r="37" ht="31.8" customHeight="1" s="59">
      <c r="A37" s="90" t="inlineStr">
        <is>
          <t>❌ DOMESTIC ONLY
(WITHDRAWN)</t>
        </is>
      </c>
      <c r="B37" s="130" t="inlineStr">
        <is>
          <t>NO LONGER IN USE. This marker was applied to Nahunta and state-inspected plants before APHIS confirmed that NC state inspection counts as equivalent. Nahunta output can go international. Disregard any domestic-only marking.</t>
        </is>
      </c>
    </row>
    <row r="38" ht="15" customHeight="1" s="59"/>
    <row r="39" ht="19.7" customHeight="1" s="59">
      <c r="A39" s="87" t="inlineStr">
        <is>
          <t>UPDATED AFTER THE MEETING (2026-08)</t>
        </is>
      </c>
    </row>
    <row r="40" ht="31.8" customHeight="1" s="59">
      <c r="A40" s="88" t="inlineStr">
        <is>
          <t>✅ Path 1 — WE HARVEST</t>
        </is>
      </c>
      <c r="B40" s="56" t="inlineStr">
        <is>
          <t>Slaughterhouse we harvest at. Needs USDA/FSIS inspection only; APHIS NOT required of the plant. Model assembled at ATM carries the export.</t>
        </is>
      </c>
    </row>
    <row r="41" ht="31.8" customHeight="1" s="59">
      <c r="A41" s="89" t="inlineStr">
        <is>
          <t>⛔ Path 2 — DIRECT SUPPLY</t>
        </is>
      </c>
      <c r="B41" s="56" t="inlineStr">
        <is>
          <t>Supplier ships us finished tissue blocks. APHIS certification IS REQUIRED — a gating requirement for every direct tissue supplier.</t>
        </is>
      </c>
    </row>
    <row r="42" ht="15" customHeight="1" s="59">
      <c r="A42" s="131" t="n"/>
      <c r="B42" s="56" t="n"/>
    </row>
    <row r="43" ht="15" customHeight="1" s="59"/>
    <row r="44" ht="19.7" customHeight="1" s="59">
      <c r="A44" s="100" t="inlineStr">
        <is>
          <t>MODEL A PROXIMITY &amp; STATE-INSPECTION SCOPE</t>
        </is>
      </c>
    </row>
    <row r="45" ht="31.8" customHeight="1" s="59">
      <c r="A45" s="88" t="inlineStr">
        <is>
          <t>YES (est.)</t>
        </is>
      </c>
      <c r="B45" s="56" t="inlineStr">
        <is>
          <t>Within ~120 miles — PREFERRED for Model A. Same-day round trip, and can share one crew with other plants in the radius.</t>
        </is>
      </c>
    </row>
    <row r="46" ht="18.4" customHeight="1" s="59">
      <c r="A46" s="89" t="inlineStr">
        <is>
          <t>NO / NO (est.)</t>
        </is>
      </c>
      <c r="B46" s="56" t="inlineStr">
        <is>
          <t>Outside ~120 miles. Model A becomes costly; treat Model B (they harvest to our spec) as the default for these.</t>
        </is>
      </c>
    </row>
    <row r="47" ht="31.8" customHeight="1" s="59">
      <c r="A47" s="113" t="inlineStr">
        <is>
          <t>mixed / confirm</t>
        </is>
      </c>
      <c r="B47" s="56" t="inlineStr">
        <is>
          <t>A roll-up spanning several locations, or a plant whose distance has not been measured. Resolve on the qualifying call.</t>
        </is>
      </c>
    </row>
    <row r="48" ht="31.8" customHeight="1" s="59">
      <c r="A48" s="88" t="inlineStr">
        <is>
          <t>NC state = equivalent</t>
        </is>
      </c>
      <c r="B48" s="56" t="inlineStr">
        <is>
          <t>APHIS accepts NC state inspection as equivalent to federal. ONLY NC — state inspection in any other state is NOT accepted.</t>
        </is>
      </c>
    </row>
    <row r="49" ht="15" customHeight="1" s="59"/>
    <row r="50" ht="19.7" customHeight="1" s="59">
      <c r="A50" s="118" t="inlineStr">
        <is>
          <t>ANIMAL CLASS (FSIS FLAGS) — read this column before anything else</t>
        </is>
      </c>
    </row>
    <row r="51" ht="58.6" customHeight="1" s="59">
      <c r="A51" s="144" t="inlineStr">
        <is>
          <t>Why it matters</t>
        </is>
      </c>
      <c r="B51"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2" ht="31.8" customHeight="1" s="59">
      <c r="A52" s="144" t="inlineStr">
        <is>
          <t>MARKET</t>
        </is>
      </c>
      <c r="B52" s="11" t="inlineStr">
        <is>
          <t>market_swine_slaughter = Yes. Standard market-weight butcher hogs, roughly 230-290 lb live. This is the class most pelvic / bariatric / thoracic block work assumes. If you only read one flag, read this one.</t>
        </is>
      </c>
    </row>
    <row r="53" ht="45.2" customHeight="1" s="59">
      <c r="A53" s="144" t="inlineStr">
        <is>
          <t>SOW</t>
        </is>
      </c>
      <c r="B53"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4" ht="31.8" customHeight="1" s="59">
      <c r="A54" s="144" t="inlineStr">
        <is>
          <t>ROASTER</t>
        </is>
      </c>
      <c r="B54" s="11" t="inlineStr">
        <is>
          <t>roaster_swine_slaughter = Yes. Juvenile/suckling hogs. Small anatomy; usually only useful for specific paediatric or small-scale training models.</t>
        </is>
      </c>
    </row>
    <row r="55" ht="31.8" customHeight="1" s="59">
      <c r="A55" s="144" t="inlineStr">
        <is>
          <t>boar/stag</t>
        </is>
      </c>
      <c r="B55" s="11" t="inlineStr">
        <is>
          <t>boar_stag_swine_slaughter = Yes. Intact or castrated males, usually a small side-line of a market-hog plant. Rarely the reason to pick a plant, but it tells you the floor can handle heavy carcasses.</t>
        </is>
      </c>
    </row>
    <row r="56" ht="45.2" customHeight="1" s="59">
      <c r="A56" s="144" t="inlineStr">
        <is>
          <t>NO SWINE FLAGS</t>
        </is>
      </c>
      <c r="B56"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7" ht="19.7" customHeight="1" s="59">
      <c r="A57" s="118" t="inlineStr">
        <is>
          <t>VOLUME — HOW THE WEEKLY CEILINGS WERE DERIVED</t>
        </is>
      </c>
    </row>
    <row r="58" ht="45.2" customHeight="1" s="59">
      <c r="A58" s="144" t="inlineStr">
        <is>
          <t>The mapping</t>
        </is>
      </c>
      <c r="B58"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9" ht="72" customHeight="1" s="59">
      <c r="A59" s="144" t="inlineStr">
        <is>
          <t>How to use it</t>
        </is>
      </c>
      <c r="B59"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60" ht="19.7" customHeight="1" s="59">
      <c r="A60" s="118" t="inlineStr">
        <is>
          <t>OTHER CODES ADDED IN THE 2026-08-06 VERIFICATION PASS</t>
        </is>
      </c>
    </row>
    <row r="61" ht="45.2" customHeight="1" s="59">
      <c r="A61" s="144" t="inlineStr">
        <is>
          <t>DUPLICATE</t>
        </is>
      </c>
      <c r="B61"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2" ht="45.2" customHeight="1" s="59">
      <c r="A62" s="144" t="inlineStr">
        <is>
          <t>YES / NO · ~nn mi</t>
        </is>
      </c>
      <c r="B62"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3" ht="45.2" customHeight="1" s="59">
      <c r="A63" s="144" t="inlineStr">
        <is>
          <t>⚠ Mnnnnn NOT FOUND</t>
        </is>
      </c>
      <c r="B63"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25:B25"/>
    <mergeCell ref="A60:B60"/>
    <mergeCell ref="A57:B57"/>
    <mergeCell ref="A33:B33"/>
    <mergeCell ref="A10:B10"/>
    <mergeCell ref="A44:B44"/>
    <mergeCell ref="A1:B1"/>
    <mergeCell ref="A18:B18"/>
    <mergeCell ref="A3:B3"/>
    <mergeCell ref="A39:B39"/>
    <mergeCell ref="A50:B50"/>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12.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3.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4.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6.xml><?xml version="1.0" encoding="utf-8"?>
<worksheet xmlns="http://schemas.openxmlformats.org/spreadsheetml/2006/main">
  <sheetPr>
    <tabColor rgb="00808080"/>
    <outlinePr summaryBelow="1" summaryRight="1"/>
    <pageSetUpPr fitToPage="1"/>
  </sheetPr>
  <dimension ref="A1:D42"/>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lives on the 'NC Comparison 2026-08-17' tab.</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58.6" customHeight="1" s="59">
      <c r="A39" s="138" t="inlineStr">
        <is>
          <t>Verification discipline</t>
        </is>
      </c>
      <c r="B39" s="68" t="inlineStr">
        <is>
          <t>(Supplier Outreach Plan method rows, merged 2026-09-03)</t>
        </is>
      </c>
      <c r="C39" s="46" t="inlineStr">
        <is>
          <t>High</t>
        </is>
      </c>
      <c r="D39" s="68" t="inlineStr">
        <is>
          <t>FSIS volume categories are ceilings (cat 1 &lt;19/wk · 2 19-192 · 3 192-1,917 · 4 ≥1,917, ALL species). 'None found' on enforcement is a narrow negative, never a clean bill — state-inspected plants sit outside FSIS reporting entirely, so their welfare is a SITE-VISIT finding. Distances are OSRM road miles from the Pikeville anchor.</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2026-09-03T13:55:44Z</dcterms:modified>
  <cp:lastModifiedBy>Oscar Penny</cp:lastModifiedBy>
</cp:coreProperties>
</file>