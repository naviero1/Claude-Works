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Current Base (benchmarks)" sheetId="2" state="visible" r:id="rId2"/>
    <sheet xmlns:r="http://schemas.openxmlformats.org/officeDocument/2006/relationships" name="Supplier Roster" sheetId="3" state="visible" r:id="rId3"/>
    <sheet xmlns:r="http://schemas.openxmlformats.org/officeDocument/2006/relationships" name="Rated Candidates" sheetId="4" state="visible" r:id="rId4"/>
    <sheet xmlns:r="http://schemas.openxmlformats.org/officeDocument/2006/relationships" name="Call Questionnaire" sheetId="5" state="visible" r:id="rId5"/>
    <sheet xmlns:r="http://schemas.openxmlformats.org/officeDocument/2006/relationships" name="Visit Agenda" sheetId="6" state="visible" r:id="rId6"/>
    <sheet xmlns:r="http://schemas.openxmlformats.org/officeDocument/2006/relationships" name="Anatomical Spec" sheetId="7" state="visible" r:id="rId7"/>
    <sheet xmlns:r="http://schemas.openxmlformats.org/officeDocument/2006/relationships" name="TCO Calculator" sheetId="8" state="visible" r:id="rId8"/>
    <sheet xmlns:r="http://schemas.openxmlformats.org/officeDocument/2006/relationships" name="Models &amp; Make-vs-Buy" sheetId="9" state="visible" r:id="rId9"/>
    <sheet xmlns:r="http://schemas.openxmlformats.org/officeDocument/2006/relationships" name="National Direct Suppliers" sheetId="10" state="visible" r:id="rId10"/>
    <sheet xmlns:r="http://schemas.openxmlformats.org/officeDocument/2006/relationships" name="Sources &amp; Confidence" sheetId="11" state="visible" r:id="rId11"/>
  </sheets>
  <definedNames>
    <definedName name="_xlnm._FilterDatabase" localSheetId="2" hidden="1">'Supplier Roster'!$A$4:$V$133</definedName>
    <definedName name="_xlnm.Print_Titles" localSheetId="2">'Supplier Roster'!$1:$4</definedName>
    <definedName name="_xlnm._FilterDatabase" localSheetId="3" hidden="1">'Rated Candidates'!$A$5:$W$29</definedName>
    <definedName name="_xlnm._FilterDatabase" localSheetId="9" hidden="1">'National Direct Suppliers'!$A$4:$I$31</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xf numFmtId="0" fontId="28" fillId="24" borderId="6" applyAlignment="1" pivotButton="0" quotePrefix="0" xfId="0">
      <alignment vertical="top" wrapText="1"/>
    </xf>
    <xf numFmtId="0" fontId="34" fillId="0" borderId="6" applyAlignment="1" pivotButton="0" quotePrefix="0" xfId="0">
      <alignment vertical="top" wrapText="1"/>
    </xf>
    <xf numFmtId="0" fontId="35" fillId="0" borderId="6" applyAlignment="1" pivotButton="0" quotePrefix="0" xfId="0">
      <alignment vertical="top" wrapText="1"/>
    </xf>
    <xf numFmtId="0" fontId="28" fillId="28" borderId="6" applyAlignment="1" pivotButton="0" quotePrefix="0" xfId="0">
      <alignment vertical="center" wrapText="1"/>
    </xf>
    <xf numFmtId="0" fontId="34" fillId="33" borderId="1" applyAlignment="1" pivotButton="0" quotePrefix="0" xfId="0">
      <alignment horizontal="center" vertical="top"/>
    </xf>
    <xf numFmtId="0" fontId="34" fillId="27" borderId="1" applyAlignment="1" pivotButton="0" quotePrefix="0" xfId="0">
      <alignment horizontal="center" vertical="top"/>
    </xf>
    <xf numFmtId="0" fontId="35" fillId="38" borderId="6" applyAlignment="1" pivotButton="0" quotePrefix="0" xfId="0">
      <alignment vertical="top" wrapText="1"/>
    </xf>
    <xf numFmtId="0" fontId="44" fillId="34" borderId="1" applyAlignment="1" pivotButton="0" quotePrefix="0" xfId="0">
      <alignment horizontal="center" vertical="top" wrapText="1"/>
    </xf>
    <xf numFmtId="0" fontId="34" fillId="33" borderId="1" applyAlignment="1" pivotButton="0" quotePrefix="0" xfId="0">
      <alignment horizontal="center" vertical="top" wrapText="1"/>
    </xf>
    <xf numFmtId="0" fontId="34" fillId="27" borderId="1"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7"/>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58.6"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 Reviewers: section 10 is the dated change log (2026-09-30 b records the restructure); Sources &amp; Confidence holds provenance for every pass.</t>
        </is>
      </c>
    </row>
    <row r="6" ht="112.2" customHeight="1" s="59">
      <c r="A6" s="160" t="inlineStr">
        <is>
          <t>Tab map</t>
        </is>
      </c>
      <c r="B6" s="154" t="inlineStr">
        <is>
          <t>SUPPLIER ROSTER — the complete list in six priority sections: A in-radius candidates (tier → fit → distance) · B eligible but farther out (SC/TN/VA and NC beyond the radius; Model B-T only) · C current suppliers · D referral contacts · E national &amp; Midwest (anywhere) · F excluded / duplicate / history; column U gives each row a Priority ID · RATED CANDIDATES — A/B fit scores + tiers (pick your 3 here) · CALL QUESTIONNAIRE — stage 1 script + log · VISIT AGENDA — stage 2, run on site · CURRENT BASE — the five suppliers we work with today · ANATOMICAL SPEC — the per-block spec (weight target, sow decision, aorta) · TCO CALCULATOR / MODELS &amp; MAKE-VS-BUY — economics (incl. cost per ACCEPTED block) · NATIONAL DIRECT SUPPLIERS — buy-direct reference (anywhere) · SOURCES &amp; CONFIDENCE — provenance. Retired 2026-09-30 on the owner's direction: Overview &amp; Method, Meeting Notes 2026-08 (their decisions live in §3 and §6), APHIS &amp; EU Export (essentials in §6); all three survive in git history.</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85.40000000000001"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OWNER DECISION 2026-09-30: ROAD miles ONLY. The 'radius' (straight-line) reading of the brief is not used and radial figures are not carried; road miles from the Durham origin are the Model A screen because the crew drives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12.2" customHeight="1" s="59">
      <c r="A35" s="160" t="inlineStr">
        <is>
          <t>Export essentials (folded from the retired APHIS &amp; EU Export tab)</t>
        </is>
      </c>
      <c r="B35" s="154" t="inlineStr">
        <is>
          <t>EU material must qualify as ANIMAL BY-PRODUCT CATEGORY 3 (Reg. EC 1069/2009 / 142/2011): slaughtered under ante- and post-mortem inspection — a USDA/FSIS grant or the NC state programme satisfies this on Path 1; custom-exempt never does. APHIS Veterinary Services endorses the export health certificate PER SHIPMENT for the specific product, site and destination — there is no general 'APHIS-approved plant' list to check; ask APHIS VS for the destination's requirements. An APHIS Animal Welfare Act licence is NOT an export credential. A vendor's export statement (e.g. TissueSource, LAMPIRE) is a COMPANY CLAIM until documented for our product. Medical-device angle: EU MDR 2017/745 + ISO 22442 govern animal-tissue devices — traceability to the inspected establishment is what the file must show. How to check a plant yourself: FSIS MPI Directory (grant + activities), FSIS Establishment Demographic Data (species flags, bands), NCDA&amp;CS directories (state grants).</t>
        </is>
      </c>
    </row>
    <row r="36" ht="19.7" customHeight="1" s="59">
      <c r="A36" s="176" t="inlineStr">
        <is>
          <t>7 · ACRONYM GLOSSARY</t>
        </is>
      </c>
      <c r="B36" s="172" t="n"/>
    </row>
    <row r="37" ht="98.8" customHeight="1" s="59">
      <c r="A37" s="160" t="inlineStr">
        <is>
          <t>Inspection &amp; agencies</t>
        </is>
      </c>
      <c r="B37"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8" ht="85.40000000000001" customHeight="1" s="59">
      <c r="A38" s="160" t="inlineStr">
        <is>
          <t>Enforcement &amp; records</t>
        </is>
      </c>
      <c r="B38"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9" ht="58.6" customHeight="1" s="59">
      <c r="A39" s="160" t="inlineStr">
        <is>
          <t>Volume &amp; data</t>
        </is>
      </c>
      <c r="B39"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40" ht="58.6" customHeight="1" s="59">
      <c r="A40" s="160" t="inlineStr">
        <is>
          <t>Export &amp; quality</t>
        </is>
      </c>
      <c r="B40"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1" ht="152.4" customHeight="1" s="59">
      <c r="A41" s="160" t="inlineStr">
        <is>
          <t>Commercial &amp; internal</t>
        </is>
      </c>
      <c r="B41"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2" ht="19.7" customHeight="1" s="59">
      <c r="A42" s="176" t="inlineStr">
        <is>
          <t>8 · SOURCES POLICY</t>
        </is>
      </c>
      <c r="B42" s="172" t="n"/>
    </row>
    <row r="43" ht="152.4" customHeight="1" s="59">
      <c r="A43" s="160" t="inlineStr">
        <is>
          <t>Order of trust</t>
        </is>
      </c>
      <c r="B43"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 7) OTHER OPERATIONAL SOURCES used on 2026-09-30 and accepted for the same purposes as Facebook/Yelp: Google/aggregator review counts (Butcher Bud, Birdeye, Chamber), Instagram, Nextdoor, BBB profiles (officer names, founding dates), Indeed employee reviews (culture), OpenCorporates / NC Secretary of State (corporate status, officers), and the NCDA&amp;CS COUNTY directories (a named contact person, slaughter species, where product may be sold — undated files, so verify the name on the call). None of these establish volume or inspection status.</t>
        </is>
      </c>
    </row>
    <row r="44" ht="19.7" customHeight="1" s="59">
      <c r="A44" s="176" t="inlineStr">
        <is>
          <t>9 · WHO EDITS WHAT</t>
        </is>
      </c>
      <c r="B44" s="172" t="n"/>
    </row>
    <row r="45" ht="45.2" customHeight="1" s="59">
      <c r="A45" s="160" t="inlineStr">
        <is>
          <t>The team (by role)</t>
        </is>
      </c>
      <c r="B45"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6" ht="18.4" customHeight="1" s="59">
      <c r="A46" s="160" t="inlineStr">
        <is>
          <t>Research (dated)</t>
        </is>
      </c>
      <c r="B46" s="154" t="inlineStr">
        <is>
          <t>Everything else. Correct a fact by editing the cell and noting the date — the same convention every prior pass used.</t>
        </is>
      </c>
    </row>
    <row r="47" ht="15" customHeight="1" s="59"/>
    <row r="48" ht="19.7" customHeight="1" s="59">
      <c r="A48" s="203" t="inlineStr">
        <is>
          <t>10 · CHANGE LOG  (what moved and why — for reviewers)</t>
        </is>
      </c>
      <c r="B48" s="172" t="n"/>
    </row>
    <row r="49" ht="45.2" customHeight="1" s="59">
      <c r="A49" s="204" t="inlineStr">
        <is>
          <t>2026-09-03</t>
        </is>
      </c>
      <c r="B49" s="205" t="inlineStr">
        <is>
          <t>Artifacts reconciled into one workbook; fresh FSIS pull (Q3 FY2026 QER clean for the whole shortlist; Bass Farms band 1 → 2); SC finds (Williamsburg, Hemingway); client corrections (Villari tissue gate hard; Parks = Model B-T); client volume brackets and Instructions tab adopted.</t>
        </is>
      </c>
    </row>
    <row r="50" ht="31.8" customHeight="1" s="59">
      <c r="A50" s="204" t="inlineStr">
        <is>
          <t>2026-09-04</t>
        </is>
      </c>
      <c r="B50" s="205" t="inlineStr">
        <is>
          <t>Call and visit agendas split into two tabs; roles only (Supplier Engineer / Purchasing Manager); five-step process; Plan of Action and Action Items retired.</t>
        </is>
      </c>
    </row>
    <row r="51" ht="45.2" customHeight="1" s="59">
      <c r="A51" s="204" t="inlineStr">
        <is>
          <t>2026-09-28 a</t>
        </is>
      </c>
      <c r="B51" s="205" t="inlineStr">
        <is>
          <t>Beebop (ChatGPT) snapshot folded in as collaborator DATA: distances re-anchored to the client's Durham origin (Pikeville kept in parentheses); 140-220 lb live-weight target applied (sow-only plants ANAT 1); referral lane added; Neese found FSIS-inactive; Cool Springs and Quaqua promoted from roll-ups; EcoFriendly entered the radius.</t>
        </is>
      </c>
    </row>
    <row r="52" ht="31.8" customHeight="1" s="59">
      <c r="A52" s="204" t="inlineStr">
        <is>
          <t>2026-09-28 b</t>
        </is>
      </c>
      <c r="B52" s="205" t="inlineStr">
        <is>
          <t>Beebop round 2 verified: band arithmetic ×7/360 (194 / 1,944); exact-address boundary distances; Farmington + three VA plants added (all cat 1); Godwin/Piedmont/Nahunta over-claims softened; Neese kept OUT with a Q4 recheck.</t>
        </is>
      </c>
    </row>
    <row r="53" ht="31.8" customHeight="1" s="59">
      <c r="A53" s="204" t="inlineStr">
        <is>
          <t>2026-09-28 c</t>
        </is>
      </c>
      <c r="B53" s="205" t="inlineStr">
        <is>
          <t>Volume inference ladder added; NASS 2025 state totals used as caps (VA 7,841 / SC 14,070 federal hogs per year) — EcoFriendly and Williamsburg cat-3 bands shown to be all-species; HACCP size shown on federal rows; NC state rows classed by business type.</t>
        </is>
      </c>
    </row>
    <row r="54" ht="45.2" customHeight="1" s="59">
      <c r="A54" s="204" t="inlineStr">
        <is>
          <t>2026-09-28 d</t>
        </is>
      </c>
      <c r="B54" s="205" t="inlineStr">
        <is>
          <t>Beebop v2.1 converged with this tab's order; EcoFriendly briefly Tier 2 as a B-T call. Then the client's BOAR/STAG rule (gate G4): flagged plants capped at ANAT 2 — Piedmont 1 → 2, Flowers 2, EcoFriendly 3; Select Meats (market-only flags) 2 → 1; state plants 'ask'.</t>
        </is>
      </c>
    </row>
    <row r="55" ht="58.6" customHeight="1" s="59">
      <c r="A55" s="204" t="inlineStr">
        <is>
          <t>2026-09-30</t>
        </is>
      </c>
      <c r="B55" s="205" t="inlineStr">
        <is>
          <t>Social &amp; other-sources pass: contact names from the NCDA county directories; McLamb's under Lee-family ownership since ~2018 (RELN 5); McLaughlin's 2026 leadership change (downgraded to an unverified signal in 9-30 b); Cool Springs since 1971 (corrected to 1976 in 9-30 b); EcoFriendly 'CLOSED' listing; Acre Station buys its own hogs; Caldwell's review caution; stale Pikeville-era phrases and 'FSIS unreachable' welfare cells corrected; Current Base distances updated to Durham.</t>
        </is>
      </c>
    </row>
    <row r="56" ht="98.8" customHeight="1" s="59">
      <c r="A56" s="204" t="inlineStr">
        <is>
          <t>2026-09-30 b</t>
        </is>
      </c>
      <c r="B56" s="205" t="inlineStr">
        <is>
          <t>Owner direction + Beebop instruction 23: three context tabs retired (export essentials folded into §6); change-register Part A facts applied (Gilbert Key d. 2026-04-06; Piedmont cut sheet disproves the 'viscera discarded' inference and J9 now cites M7975; TissueSource/LAMPIRE export statements recorded as company claims; Cool Springs 1976; McLaughlin's note repaired and its leadership-change signal downgraded to unverified; McLamb's ownership labelled as an interview claim; EcoFriendly status DISPUTED) and Part B repairs (TCO prose-as-formula cells, 'n/a' at zero production, cost-per-ACCEPTED-block block; full filters; western trio split; Anatomical Spec weight/sow/aorta fields, B28 and B31 wording; stunning ask removed). The roster was rebuilt into six priority sections with Priority IDs; duplicate rows marked. Part C and Part D were put to the owner (see 2026-09-30 c).</t>
        </is>
      </c>
    </row>
    <row r="57" ht="85.40000000000001" customHeight="1" s="59">
      <c r="A57" s="204" t="inlineStr">
        <is>
          <t>2026-09-30 c</t>
        </is>
      </c>
      <c r="B57" s="205" t="inlineStr">
        <is>
          <t>OWNER DECISIONS on the change register: (1) Scoring stays as built — Beebop's Part C caps (WELF 5 only with positive evidence, ACCESS ≤4 before a visit, RELN trims) are DECLINED; the sub-scores keep their 'bounded' wording where evidence is thin. (2) Distance: ROAD miles only from the Durham origin; the radial reading is dropped and radial figures removed from the distance column (§ distance legend updated). (3) EcoFriendly Foods stays on the list with its disputed-status note; the call settles it. Still open for the owner: boar/stag gate hard vs soft (currently soft, clearable on the call), sow acceptability and the aorta under the 140–220 lb target (Anatomical Spec B12/B14/D7).</t>
        </is>
      </c>
    </row>
  </sheetData>
  <mergeCells count="12">
    <mergeCell ref="A4:B4"/>
    <mergeCell ref="A48:B48"/>
    <mergeCell ref="A2:B2"/>
    <mergeCell ref="A7:B7"/>
    <mergeCell ref="A42:B42"/>
    <mergeCell ref="A36:B36"/>
    <mergeCell ref="A14:B14"/>
    <mergeCell ref="A44:B44"/>
    <mergeCell ref="A1:B1"/>
    <mergeCell ref="A18:B18"/>
    <mergeCell ref="A27:B27"/>
    <mergeCell ref="A22:B2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72" customHeight="1" s="59">
      <c r="A3" s="153" t="inlineStr">
        <is>
          <t>NAHUNTA
Pikeville · NC state P-80A · ~72 mi from Durham (0 from the old Pikeville anchor)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72" customHeight="1" s="59">
      <c r="A4" s="153" t="inlineStr">
        <is>
          <t>MARTIN'S PORK PRODUCTS
Falcon · M6720 (T-A) · ~74 mi from Durham (45 from Pikeville)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85.40000000000001" customHeight="1" s="59">
      <c r="A5" s="153" t="inlineStr">
        <is>
          <t>CUSTOM QUALITY PACKERS
Sims · M20129 (T-A) · ~60 mi from Durham (45 from Pikeville) · contact Barrett Twitty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72" customHeight="1" s="59">
      <c r="A6" s="153" t="inlineStr">
        <is>
          <t>PARKS FAMILY MEATS
Warsaw · M18296A (T-A) · ~97 mi from Durham (45 from Pikeville)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~96 mi from Durham (45 from Pikeville)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375623"/>
    <outlinePr summaryBelow="1" summaryRight="1"/>
    <pageSetUpPr fitToPage="1"/>
  </sheetPr>
  <dimension ref="A1:V133"/>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 width="11" customWidth="1" style="59" min="21" max="21"/>
    <col width="16" customWidth="1" style="59" min="22" max="22"/>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c r="U4" s="3" t="inlineStr">
        <is>
          <t>Priority ID</t>
        </is>
      </c>
      <c r="V4" s="3" t="inlineStr">
        <is>
          <t>Rated tier
A-FIT / B-FIT
(9-30 snapshot)</t>
        </is>
      </c>
    </row>
    <row r="5" ht="19.7" customHeight="1" s="59">
      <c r="A5" s="206" t="inlineStr">
        <is>
          <t>A · PRIORITY CANDIDATES — inside ~130 road miles of Durham, eligible on the gates (Model A or B-T); sorted by rated tier, then best fit score, then distance (column V)</t>
        </is>
      </c>
      <c r="B5" s="171" t="n"/>
      <c r="C5" s="171" t="n"/>
      <c r="D5" s="171" t="n"/>
      <c r="E5" s="171" t="n"/>
      <c r="F5" s="171" t="n"/>
      <c r="G5" s="171" t="n"/>
      <c r="H5" s="171" t="n"/>
      <c r="I5" s="171" t="n"/>
      <c r="J5" s="171" t="n"/>
      <c r="K5" s="171" t="n"/>
      <c r="L5" s="171" t="n"/>
      <c r="M5" s="171" t="n"/>
      <c r="N5" s="171" t="n"/>
      <c r="O5" s="171" t="n"/>
      <c r="P5" s="171" t="n"/>
      <c r="Q5" s="171" t="n"/>
      <c r="R5" s="171" t="n"/>
      <c r="S5" s="171" t="n"/>
      <c r="T5" s="171" t="n"/>
      <c r="U5" s="171" t="n"/>
      <c r="V5" s="172" t="n"/>
    </row>
    <row r="6" ht="179.2" customHeight="1" s="59">
      <c r="A6" s="146" t="inlineStr">
        <is>
          <t>McLamb's Abattoir and Meats, Inc.</t>
        </is>
      </c>
      <c r="B6" s="83" t="inlineStr">
        <is>
          <t>Benson, NC (Johnston)</t>
        </is>
      </c>
      <c r="C6" s="83" t="inlineStr">
        <is>
          <t>NC STATE-inspected slaughter + processing</t>
        </is>
      </c>
      <c r="D6" s="83" t="inlineStr">
        <is>
          <t>unknown — NO public figure exists for NC state plants (NASS withholds NC hog totals; NCDA publishes none)
· inference by business type: multi-species custom / retail plant — typically 10-100 hogs/wk; call question 2 decides</t>
        </is>
      </c>
      <c r="E6" s="88" t="inlineStr">
        <is>
          <t>YES · ~58 mi
(Pikeville: ~37 mi)</t>
        </is>
      </c>
      <c r="F6" s="143" t="inlineStr">
        <is>
          <t>confirm
(state — no volume published)</t>
        </is>
      </c>
      <c r="G6" s="134" t="inlineStr">
        <is>
          <t>Multi-species incl. HOGS
(state species A,B,C,D,E)
(boar/stag: ask — the NCDA species code does not distinguish boars)</t>
        </is>
      </c>
      <c r="H6" s="83" t="inlineStr">
        <is>
          <t>STATE ✓ P-247
(NC state — APHIS-equivalent
for our harvest path)</t>
        </is>
      </c>
      <c r="I6" s="83" t="inlineStr">
        <is>
          <t>None found (state plants sit outside FSIS reporting — site-visit finding)</t>
        </is>
      </c>
      <c r="J6" s="83" t="inlineStr">
        <is>
          <t>NC state inspection = APHIS-accepted equivalent when WE harvest; export-eligible via ATM assembly</t>
        </is>
      </c>
      <c r="K6" s="83" t="inlineStr">
        <is>
          <t>INTERVIEW CLAIM (podcast, May 2024): the Lee family (Eddie, Shane, Kylie Lee) bought the 1978 abattoir 'seven or eight years ago' and opened Lee's Fresh Market in 2022. Contracting entity per the NCDA county directory: McLamb's Abattoir and Meats, Inc. (contact Shane Lee); BBB retains the older McLamb officer record. Confirm entity and present manager on the call; nothing adverse published.</t>
        </is>
      </c>
      <c r="L6" s="83" t="inlineStr">
        <is>
          <t>Plausible-untested — custom-oriented family floor; offal return is the norm in this class</t>
        </is>
      </c>
      <c r="M6" s="83" t="inlineStr">
        <is>
          <t>Nahunta playbook: relationship-first, our crew on site</t>
        </is>
      </c>
      <c r="N6" s="83" t="inlineStr">
        <is>
          <t>Plausible</t>
        </is>
      </c>
      <c r="O6" s="83" t="inlineStr">
        <is>
          <t>CONTACT: Shane Lee (NCDA county directory) — Lee family: Eddie (grandfather), Shane, Kylie Lee; BBB lists Danny Lee McLamb as president
(919) 894-2587
Operator: Shane Lee
623 Benson-Hardee Rd, Benson</t>
        </is>
      </c>
      <c r="P6" s="140" t="inlineStr">
        <is>
          <t>POSSIBLE</t>
        </is>
      </c>
      <c r="Q6" s="178" t="inlineStr">
        <is>
          <t>★ TIER 1 — closest unworked state-inspected floor on I-95 (58 road mi from Durham; 37 from Pikeville); the Nahunta playbook; one call closes the volume unknown.</t>
        </is>
      </c>
      <c r="R6" s="179" t="inlineStr">
        <is>
          <t>no website — phone (919) 894-2587
facebook.com/leesfreshmarket (Lee's Fresh Market) · Yelp lists the old 'Jerald McLamb's Abattoir' as CLOSED · Nextdoor · BBB profile · podcast interview with Kylie Lee (Best of Johnston County) (verified 2026-09-30)</t>
        </is>
      </c>
      <c r="S6" s="83" t="inlineStr">
        <is>
          <t>Med
(FSIS+NCDA 8-17)</t>
        </is>
      </c>
      <c r="T6"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
SOCIAL/OTHER 9-30: NEW OWNERSHIP: the Lee family bought the 1978 abattoir ~2018, kept the McLamb name, opened Lee's Fresh Market in 2022 (retail front, same address/phone). County directory: slaughter calves, cattle, goats, hogs, lambs, sheep; hours 7-5; phones 919-894-2587 / 919-894-8553. A young, growing family business — the podcast is a free read on culture before the call.</t>
        </is>
      </c>
      <c r="U6" s="211" t="inlineStr">
        <is>
          <t>A-01</t>
        </is>
      </c>
      <c r="V6" s="142" t="inlineStr">
        <is>
          <t>Tier 1
A 3.7 / B 3.5</t>
        </is>
      </c>
    </row>
    <row r="7" ht="139" customHeight="1" s="59">
      <c r="A7" s="146" t="inlineStr">
        <is>
          <t>Select Meats, Inc.</t>
        </is>
      </c>
      <c r="B7" s="83" t="inlineStr">
        <is>
          <t>Kannapolis, NC (Rowan)</t>
        </is>
      </c>
      <c r="C7" s="83" t="inlineStr">
        <is>
          <t>USDA federal (T-A) SLAUGHTER-ONLY plant</t>
        </is>
      </c>
      <c r="D7" s="83" t="inlineStr">
        <is>
          <t>~19-194/wk all species
(FSIS cat 2)
· HACCP Very Small (&lt;10 employees or &lt;$2.5M sales)</t>
        </is>
      </c>
      <c r="E7" s="88" t="inlineStr">
        <is>
          <t>YES · ~114 mi (borderline)
(Pikeville: ~190 mi)</t>
        </is>
      </c>
      <c r="F7" s="139" t="inlineStr">
        <is>
          <t>0-300/wk
(cat-2 ≤194, all species)</t>
        </is>
      </c>
      <c r="G7" s="134" t="inlineStr">
        <is>
          <t>MARKET only
(cattle + hogs; mgr Gerald Wood)</t>
        </is>
      </c>
      <c r="H7" s="83" t="inlineStr">
        <is>
          <t>USDA ✓ M10757
(TA-10757 in the state TA directory)</t>
        </is>
      </c>
      <c r="I7" s="83" t="inlineStr">
        <is>
          <t>None found</t>
        </is>
      </c>
      <c r="J7" s="83" t="inlineStr">
        <is>
          <t>Federal grant → harvest-path eligible</t>
        </is>
      </c>
      <c r="K7" s="83" t="inlineStr">
        <is>
          <t>None found in the FSIS QERs through Q3 FY2026 (narrow negative — routine NRs are not published); an animal-protection directory lists it with no footage or allegations.</t>
        </is>
      </c>
      <c r="L7" s="83" t="inlineStr">
        <is>
          <t>Plausible-unknown — slaughter-only custom plant, organ return typical but undocumented</t>
        </is>
      </c>
      <c r="M7" s="83" t="inlineStr">
        <is>
          <t>Could be a CQP-style Model A host IF the building supports it — near-zero public footprint</t>
        </is>
      </c>
      <c r="N7" s="83" t="inlineStr">
        <is>
          <t>Plausible</t>
        </is>
      </c>
      <c r="O7" s="83" t="inlineStr">
        <is>
          <t>CONTACT: Gerald Wood (NCDA county directory); BBB lists Herman Wood as president
(704) 202-9340 (FSIS)
alt (704) 933-7550 (NCDA&amp;CS)
Mgr: Gerald Wood</t>
        </is>
      </c>
      <c r="P7" s="140" t="inlineStr">
        <is>
          <t>POSSIBLE</t>
        </is>
      </c>
      <c r="Q7" s="178" t="inlineStr">
        <is>
          <t>TIER 3 — western sleeper: slaughter-only market-hog floor, but 115 road mi from Durham (190 from Pikeville), ~4 employees and a near-zero public footprint; one call resolves it.</t>
        </is>
      </c>
      <c r="R7" s="179" t="inlineStr">
        <is>
          <t>no website — phone (704) 202-9340
Yelp · BBB (no rating) · Chamber 5.0 (1 review) · Manta/D&amp;B: est. 1987, ~4 employees, ~$0.8M revenue · Farm Transparency Project: directory entry only, 'open and operating', no footage or allegations (verified 2026-09-30)</t>
        </is>
      </c>
      <c r="S7" s="83" t="inlineStr">
        <is>
          <t>Low-Med
(FSIS+NCDA 8-17)</t>
        </is>
      </c>
      <c r="T7"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
SOCIAL/OTHER 9-30: Products: fresh turkeys, pork cracklins, lamb chops. ~4 employees is a volume signal — tens of hogs a week, not hundreds. County directory: slaughter cattle + hogs; sells inside AND outside NC (TA). Almost no online footprint — the call is the only way in.</t>
        </is>
      </c>
      <c r="U7" s="211" t="inlineStr">
        <is>
          <t>A-02</t>
        </is>
      </c>
      <c r="V7" s="142" t="inlineStr">
        <is>
          <t>Tier 1
A 3.7 / B 3.3</t>
        </is>
      </c>
    </row>
    <row r="8" ht="139" customHeight="1" s="59">
      <c r="A8" s="146" t="inlineStr">
        <is>
          <t>Gale McLamb Meats</t>
        </is>
      </c>
      <c r="B8" s="83" t="inlineStr">
        <is>
          <t>Dunn, NC (Harnett)</t>
        </is>
      </c>
      <c r="C8" s="83" t="inlineStr">
        <is>
          <t>NC STATE-inspected slaughter + processing</t>
        </is>
      </c>
      <c r="D8" s="83" t="inlineStr">
        <is>
          <t>unknown — NO public figure exists for NC state plants (NASS withholds NC hog totals; NCDA publishes none)
· inference by business type: multi-species custom / retail plant — typically 10-100 hogs/wk; call question 2 decides</t>
        </is>
      </c>
      <c r="E8" s="88" t="inlineStr">
        <is>
          <t>YES · ~60 mi
(Pikeville: ~44 mi)</t>
        </is>
      </c>
      <c r="F8" s="143" t="inlineStr">
        <is>
          <t>confirm
(state — no volume published)</t>
        </is>
      </c>
      <c r="G8" s="134" t="inlineStr">
        <is>
          <t>Cattle + HOGS
(state species A,B,C)
(boar/stag: ask — the NCDA species code does not distinguish boars)</t>
        </is>
      </c>
      <c r="H8" s="83" t="inlineStr">
        <is>
          <t>STATE ✓ P-221
(NC state — APHIS-equivalent
for our harvest path)</t>
        </is>
      </c>
      <c r="I8" s="83" t="inlineStr">
        <is>
          <t>None found (state plants sit outside FSIS reporting)</t>
        </is>
      </c>
      <c r="J8" s="83" t="inlineStr">
        <is>
          <t>NC state inspection = APHIS-accepted equivalent when WE harvest</t>
        </is>
      </c>
      <c r="K8" s="83" t="inlineStr">
        <is>
          <t>Family plant since 1980 (Gale &amp; Linda McLamb + two sons). Nothing published either way. Facebook 92% recommend (17 reviews).</t>
        </is>
      </c>
      <c r="L8" s="83" t="inlineStr">
        <is>
          <t>Plausible-untested</t>
        </is>
      </c>
      <c r="M8" s="83" t="inlineStr">
        <is>
          <t>Nahunta playbook; Martin's-adjacent fallback</t>
        </is>
      </c>
      <c r="N8" s="83" t="inlineStr">
        <is>
          <t>Plausible</t>
        </is>
      </c>
      <c r="O8" s="83" t="inlineStr">
        <is>
          <t>CONTACT: Gale McLamb (NCDA county directory)
(910) 892-7279
4216 US 301 N, Dunn</t>
        </is>
      </c>
      <c r="P8" s="140" t="inlineStr">
        <is>
          <t>POSSIBLE</t>
        </is>
      </c>
      <c r="Q8" s="178" t="inlineStr">
        <is>
          <t>★ TIER 1 — pairs with McLamb's Benson as one I-95 trip (60 road mi from Durham; 44 from Pikeville); state-inspected, cattle+hogs since 1980.</t>
        </is>
      </c>
      <c r="R8" s="179" t="inlineStr">
        <is>
          <t>no website — phone (910) 892-7279
facebook.com/p/McLamb-Gale-Meats-Butchering (17 reviews, 92% recommend) · Yelp (1) · Tripadvisor · YellowPages (verified 2026-09-30)</t>
        </is>
      </c>
      <c r="S8" s="83" t="inlineStr">
        <is>
          <t>Med
(FSIS+NCDA 8-17)</t>
        </is>
      </c>
      <c r="T8"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
SOCIAL/OTHER 9-30: Hours 8-5. Reviews: 'fresh meat cut fast, great prices', friendly; one missed-order complaint. Retail-butcher scale (quarters of beef, chickens). County directory: slaughter cattle + hogs; sells inside NC only.</t>
        </is>
      </c>
      <c r="U8" s="211" t="inlineStr">
        <is>
          <t>A-03</t>
        </is>
      </c>
      <c r="V8" s="142" t="inlineStr">
        <is>
          <t>Tier 1
A 3.6 / B 3.4</t>
        </is>
      </c>
    </row>
    <row r="9" ht="246.2"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 (Gibsonville — the slaughter establishment; M7975A Asheboro is processing-only, no swine flags); not on public export lists — verify</t>
        </is>
      </c>
      <c r="K9" s="68" t="inlineStr">
        <is>
          <t>Strong — AWA-approved, written humane-handling policy, Temple-Grandin-influenced design Employee reviews (Indeed 4.5/5): a former kill-floor worker's 'demand higher pay' and supply shortages at the Asheboro site — a culture question for the visit, not a gate.</t>
        </is>
      </c>
      <c r="L9" s="68" t="inlineStr">
        <is>
          <t>$85 hog kill + $5.06/head DISPOSAL FEE on their own price sheet — suggests viscera are normally discarded — confirm which organs, and whose (service kills are the farmer's animal), i.e. organs exist and are being thrown away; recovery is a negotiation, not a rebuild. 150-lb pig minimum (their customer manual).
CUT SHEET (v. 1/2024): liver, heart, kidneys, tongue, leaf fat and 'organ/bones' are offered to the customer — the disposal fee applies to what the customer does not take. Availability, ownership (service kills are the customer's animal), competing commitments and collection authorization must be confirmed.</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CONTACT: (no county-directory entry — federal M7975; call the scheduling line)
(336) 628-4949
piedmontcustommeats.com</t>
        </is>
      </c>
      <c r="P9" s="23" t="inlineStr">
        <is>
          <t>CAUTION
(boar/stag)</t>
        </is>
      </c>
      <c r="Q9" s="178" t="inlineStr">
        <is>
          <t>BOAR/STAG RULE 9-28: FSIS flags boar/stag slaughter at this plant — AVOID unless the call confirms boars/stags are never run with our hogs (gate G4). ★ TIER 1 — best host structure + best welfare story (AWA / Temple Grandin), all four hog classes, 48 road mi from Durham (116 from the old Pikeville anchor). Their disposal fee suggests viscera are discarded today — confirm which organs, and who owns them. Cat-2 ceiling.</t>
        </is>
      </c>
      <c r="R9" s="179" t="inlineStr">
        <is>
          <t>piedmontcustommeats.com
Yelp (positive) · Butcher Bud 3.3/5 from 38 reviews · Yahoo Local (prompt, humane, courteous) · Indeed employee reviews 4.5/5 · LocalHarvest (verified 2026-09-30)</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
SOCIAL/OTHER 9-30: In business since 1956; hours 7-3:30. Employee reviews: a former KILL-FLOOR worker advises 'demand higher pay'; Asheboro-site complaints about cold, heavy lifting and short supplies (reusing gloves). Customer rating middling (3.3/5 on 38). Nothing disqualifying; a culture question for the visit.</t>
        </is>
      </c>
      <c r="U9" s="211" t="inlineStr">
        <is>
          <t>A-04</t>
        </is>
      </c>
      <c r="V9" s="140" t="inlineStr">
        <is>
          <t>Tier 2
A 4.2 / B 3.8</t>
        </is>
      </c>
    </row>
    <row r="10" ht="206" customHeight="1" s="59">
      <c r="A10" s="138" t="inlineStr">
        <is>
          <t>Larry's Sausage Co., Inc.</t>
        </is>
      </c>
      <c r="B10" s="68" t="inlineStr">
        <is>
          <t>Fayetteville, NC (Cumberland)</t>
        </is>
      </c>
      <c r="C10" s="68" t="inlineStr">
        <is>
          <t>USDA FEDERAL slaughter + sausage processing
(NOT Talmadge-Aiken)</t>
        </is>
      </c>
      <c r="D10" s="68" t="inlineStr">
        <is>
          <t>~19-194/wk ceiling
(FSIS slaughter cat 2 = 1,000-9,999 hd / 360 d).
Earlier '200-800/wk' REFUTED
· HACCP Small (10-499 employees)</t>
        </is>
      </c>
      <c r="E10" s="88" t="inlineStr">
        <is>
          <t>YES · ~87 mi
(Pikeville: ~65 mi)</t>
        </is>
      </c>
      <c r="F10" s="139" t="inlineStr">
        <is>
          <t>0-300/wk
(cat-2 ceiling ~194 sows)</t>
        </is>
      </c>
      <c r="G10" s="68" t="inlineStr">
        <is>
          <t>SOW ONLY
sow_slaughter=Yes; market_swine=No,
roaster=No, boar/stag=No</t>
        </is>
      </c>
      <c r="H10" s="68" t="inlineStr">
        <is>
          <t>USDA ✓ M8305
(federal grant active, 20 Jul 2021)</t>
        </is>
      </c>
      <c r="I10" s="68" t="inlineStr">
        <is>
          <t>None found in 10 FSIS Quarterly Enforcement Reports (FY2024 Q1 – FY2026 Q2). NOT a clean bill — QERs list suspensions / NOIEs / withholding actions only, not every noncompliance record.</t>
        </is>
      </c>
      <c r="J10" s="68" t="inlineStr">
        <is>
          <t>Federal grant → slaughter under federal ante-/post-mortem inspection, so material is EU Cat 3-eligible. NOT on any APHIS VS export listing — which under our two-path rule is fine for Model A (we harvest; the model is assembled at ATM).</t>
        </is>
      </c>
      <c r="K10" s="68" t="inlineStr">
        <is>
          <t>No enforcement found; nothing published either way. Family-owned since 1952, three generations — verify culture on site, do not assume it.</t>
        </is>
      </c>
      <c r="L10" s="68" t="inlineStr">
        <is>
          <t>★ STRONG ON PAPER: sows are killed for sausage MEAT, so viscera / organs / aortas are NOT their product and could come off intact. Sow organ scale is closest to adult human. Willingness untested — never contacted. Office hours Tue 9-3; larryssausage.com live.</t>
        </is>
      </c>
      <c r="M10" s="68" t="inlineStr">
        <is>
          <t>Structurally plausible (small, one decision-maker) BUT sow anatomy and a ~194/wk hard ceiling</t>
        </is>
      </c>
      <c r="N10" s="68" t="inlineStr">
        <is>
          <t>Weak — no volume to anchor a lane</t>
        </is>
      </c>
      <c r="O10" s="68" t="inlineStr">
        <is>
          <t>CONTACT: (family firm since 1952 — ask for the owner)
(910) 483-5148
1624 Middle River Loop,
Fayetteville NC 28312</t>
        </is>
      </c>
      <c r="P10" s="140" t="inlineStr">
        <is>
          <t>POSSIBLE
★ organ lane</t>
        </is>
      </c>
      <c r="Q10" s="178" t="inlineStr">
        <is>
          <t>★ TIER 1 — best structural organ add in the east: sow-class organs at volume, viscera not their product, decade-tenured crew, flexible minimums. Gate: the sow-anatomy spec decision.</t>
        </is>
      </c>
      <c r="R10" s="179" t="inlineStr">
        <is>
          <t>larryssausage.com
facebook.com/p/Larrys-Sausage-Co (12 reviews, 100% recommend) · Yelp · Tripadvisor (verified 2026-09-30)</t>
        </is>
      </c>
      <c r="S10" s="68" t="inlineStr">
        <is>
          <t>High
(FSIS+NCDA 8-17)</t>
        </is>
      </c>
      <c r="T10"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
SOCIAL/OTHER 9-30: Whole-hog sausage since 1952; delivery and take-out. Nothing new on the sow-only class.</t>
        </is>
      </c>
      <c r="U10" s="211" t="inlineStr">
        <is>
          <t>A-05</t>
        </is>
      </c>
      <c r="V10" s="140" t="inlineStr">
        <is>
          <t>Tier 2
A 3.3 / B 3.7</t>
        </is>
      </c>
    </row>
    <row r="11" ht="152.4" customHeight="1" s="59">
      <c r="A11" s="4" t="inlineStr">
        <is>
          <t>Flowers Slaughter House (George Flowers)</t>
        </is>
      </c>
      <c r="B11" s="68" t="inlineStr">
        <is>
          <t>Sims, NC (Wilson)</t>
        </is>
      </c>
      <c r="C11" s="68" t="inlineStr">
        <is>
          <t>USDA FEDERAL (not TA) — 'Very Small'</t>
        </is>
      </c>
      <c r="D11" s="68" t="inlineStr">
        <is>
          <t>~19-194/wk
(FSIS cat 2 ceiling)
· HACCP Very Small (&lt;10 employees or &lt;$2.5M sales)</t>
        </is>
      </c>
      <c r="E11" s="88" t="inlineStr">
        <is>
          <t>YES · ~63 mi
(Pikeville: ~45 mi)</t>
        </is>
      </c>
      <c r="F11" s="139" t="inlineStr">
        <is>
          <t>0-300/wk (cat-2 ≤194)</t>
        </is>
      </c>
      <c r="G11" s="68" t="inlineStr">
        <is>
          <t>⚠ BOAR/STAG flagged (FSIS)
MARKET + boar/stag
(sow: No, roaster: No)</t>
        </is>
      </c>
      <c r="H11" s="68" t="inlineStr">
        <is>
          <t>USDA ✓ M21747 + P21747
(grant 2022)</t>
        </is>
      </c>
      <c r="I11" s="68" t="inlineStr">
        <is>
          <t>None found in the FSIS QERs through Q3 FY2026 (narrow negative — routine NRs are not published)</t>
        </is>
      </c>
      <c r="J11" s="68" t="inlineStr">
        <is>
          <t>Federal (M21747). Not on public export lists</t>
        </is>
      </c>
      <c r="K11" s="68" t="inlineStr">
        <is>
          <t>None found in the FSIS QERs through Q3 FY2026 (narrow negative — routine NRs are not published)</t>
        </is>
      </c>
      <c r="L11" s="68" t="inlineStr">
        <is>
          <t>Small custom-oriented family floor — offal return on request is the norm in this class (inference). BOAR/STAG flag = the largest male anatomy in the region.</t>
        </is>
      </c>
      <c r="M11" s="68" t="inlineStr">
        <is>
          <t>Plausible</t>
        </is>
      </c>
      <c r="N11" s="68" t="inlineStr">
        <is>
          <t>Plausible</t>
        </is>
      </c>
      <c r="O11" s="68" t="inlineStr">
        <is>
          <t>CONTACT: Alan Sharp / Tim Boswell (NCDA county directory); legal entity Flowers Beef Slaughter LLC (BBB)
(252) 237-2982
Contacts: Alan Sharp / Tim Boswell
5154-A St. Rose Church Rd, Sims
Hours M-F 7-5, Sat 7-10am</t>
        </is>
      </c>
      <c r="P11" s="23" t="inlineStr">
        <is>
          <t>CAUTION
(boar/stag)</t>
        </is>
      </c>
      <c r="Q11"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11" s="179" t="inlineStr">
        <is>
          <t>no website — Facebook page; phone (252) 237-2982
facebook.com/p/Flowers-Slaughterhouse-Page (6,582 likes, 32 check-ins) · Yelp · BBB · Yahoo Local (verified 2026-09-30)</t>
        </is>
      </c>
      <c r="S11" s="68" t="inlineStr">
        <is>
          <t>High
(FSIS+NCDA 8-17)</t>
        </is>
      </c>
      <c r="T11"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
SOCIAL/OTHER 9-30: Reviews: reasonable prices, knowledgeable staff, fast turnaround. Custom processing for swine and beef 'for sale and not for sale' (inspected + custom work), plus wild game/lambs not for sale. County directory: slaughter HOGS only; sells inside NC. Use the LLC name on the NDA.</t>
        </is>
      </c>
      <c r="U11" s="211" t="inlineStr">
        <is>
          <t>A-06</t>
        </is>
      </c>
      <c r="V11" s="140" t="inlineStr">
        <is>
          <t>Tier 2
A 3.6 / B 3.3</t>
        </is>
      </c>
    </row>
    <row r="12" ht="112.2" customHeight="1" s="59">
      <c r="A12" s="138" t="inlineStr">
        <is>
          <t>Cool Springs Farm and Meat, LLC
(CSMP Farm Store)</t>
        </is>
      </c>
      <c r="B12" s="68" t="inlineStr">
        <is>
          <t>Yadkinville, NC (Yadkin Co.)</t>
        </is>
      </c>
      <c r="C12" s="68" t="inlineStr">
        <is>
          <t>USDA-inspected (also does custom-exempt work)</t>
        </is>
      </c>
      <c r="D12" s="68" t="inlineStr">
        <is>
          <t>&lt;19/wk (FSIS cat 1)
· HACCP Very Small (&lt;10 employees or &lt;$2.5M sales)</t>
        </is>
      </c>
      <c r="E12" s="88" t="inlineStr">
        <is>
          <t>YES · ~107 mi
(Pikeville: n/m)</t>
        </is>
      </c>
      <c r="F12" s="139" t="inlineStr">
        <is>
          <t>0-300/wk (&lt;19)</t>
        </is>
      </c>
      <c r="G12" s="68" t="inlineStr">
        <is>
          <t>MARKET swine flag (FSIS) + cattle, sheep
(NCDA species A-E)</t>
        </is>
      </c>
      <c r="H12" s="68" t="inlineStr">
        <is>
          <t>USDA ✓ M1041 (NCDA lists TA-1041)
grant 10/28/2024</t>
        </is>
      </c>
      <c r="I12" s="25" t="inlineStr">
        <is>
          <t>None found (grant under 2 years old)</t>
        </is>
      </c>
      <c r="J12" s="68" t="inlineStr">
        <is>
          <t>Eligible (federal)</t>
        </is>
      </c>
      <c r="K12" s="68" t="inlineStr">
        <is>
          <t>No record; family business since 1976 (company site) (the federal grant dates from Oct-2024); visit finding.</t>
        </is>
      </c>
      <c r="L12" s="68" t="inlineStr">
        <is>
          <t>unknown</t>
        </is>
      </c>
      <c r="M12" s="68" t="inlineStr">
        <is>
          <t>pilot-scale only — cat-1 ceiling &lt;19 animals/wk, ALL species</t>
        </is>
      </c>
      <c r="N12" s="68" t="inlineStr">
        <is>
          <t>unlikely — too small to justify training</t>
        </is>
      </c>
      <c r="O12" s="68" t="inlineStr">
        <is>
          <t>CONTACT: Justin Atkinson (NCDA county directory, 336-463-5548) · csmp@coolspringsmeats.com
336-835-5377 · 1041 Disher Road, Yadkinville, NC 27055</t>
        </is>
      </c>
      <c r="P12" s="140" t="inlineStr">
        <is>
          <t>WATCH</t>
        </is>
      </c>
      <c r="Q12" s="178" t="inlineStr">
        <is>
          <t>In business since 1976 (company site) with a live retail store; its Oct-2024 federal grant is the newest western swine grant — but a cat-1 floor (&lt;19 animals/week, all species) is pilot scale, 107 road miles from Durham. A scale check only if a western lane opens. Promoted from the western micro-plant roll-up (row 85); Beebop ranks it #8.</t>
        </is>
      </c>
      <c r="R12" s="179" t="inlineStr">
        <is>
          <t>csmpfarmstore.com (verified live 2026-09-28)
facebook.com/coolspringsmeatprocessing (13 reviews, 100% recommend) · instagram.com/csmpnc · Nextdoor · Yelp · csmpfarmstore.com (verified 2026-09-30)</t>
        </is>
      </c>
      <c r="S12" s="68" t="inlineStr">
        <is>
          <t>High (FSIS 9-03 + NCDA 9-18)</t>
        </is>
      </c>
      <c r="T1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
SOCIAL/OTHER 9-30: IN BUSINESS SINCE 1976 (company site; a directory snippet said 1971 — corrected 9-30 b) — the Oct-2024 date is the federal grant, not the business (correcting the 'family business since 1976 (company site) (federal grant 2024)' note). Hours M-F 6-5, Sat 8-12; new retail store; half/whole hogs, orders ready in 2-4 weeks. County directory: slaughter calves, cattle, goats, hogs, lambs, sheep.</t>
        </is>
      </c>
      <c r="U12" s="211" t="inlineStr">
        <is>
          <t>A-07</t>
        </is>
      </c>
      <c r="V12" s="143" t="inlineStr">
        <is>
          <t>Tier 3
A 3.4 / B 2.9</t>
        </is>
      </c>
    </row>
    <row r="13" ht="206" customHeight="1" s="59">
      <c r="A13" s="4" t="inlineStr">
        <is>
          <t>McLaughlin's</t>
        </is>
      </c>
      <c r="B13" s="68" t="inlineStr">
        <is>
          <t>Mooresville, NC (Rowan)</t>
        </is>
      </c>
      <c r="C13" s="68" t="inlineStr">
        <is>
          <t>NC STATE-inspected slaughter + processing</t>
        </is>
      </c>
      <c r="D13" s="68" t="inlineStr">
        <is>
          <t>unknown — NO public figure exists for NC state plants (NASS withholds NC hog totals; NCDA publishes none)
· inference by business type: hog-only packer / sausage maker — plausibly 100-300/wk (Nahunta-type); ask</t>
        </is>
      </c>
      <c r="E13" s="88" t="inlineStr">
        <is>
          <t>YES · ~119 mi (borderline)
(Pikeville: ~201 mi)</t>
        </is>
      </c>
      <c r="F13" s="143" t="inlineStr">
        <is>
          <t>confirm
(state — no volume published)</t>
        </is>
      </c>
      <c r="G13" s="68" t="inlineStr">
        <is>
          <t>Yes — SWINE-ONLY
(boar/stag: ask — the NCDA species code does not distinguish boars)</t>
        </is>
      </c>
      <c r="H13" s="68" t="inlineStr">
        <is>
          <t>STATE only P-85
(NOT USDA — intrastate)</t>
        </is>
      </c>
      <c r="I13" s="68" t="inlineStr">
        <is>
          <t>State-inspected — not in FSIS data by construction</t>
        </is>
      </c>
      <c r="J13" s="68" t="inlineStr">
        <is>
          <t>State-inspected — intrastate NC only</t>
        </is>
      </c>
      <c r="K13" s="68" t="inlineStr">
        <is>
          <t>None found (state plant — not in FSIS data) Unverified signal (indexed Facebook posts, undated) of a 2026 leadership change — ask who runs the plant now; the state filing still names the McLaughlin family.</t>
        </is>
      </c>
      <c r="L13" s="68" t="inlineStr">
        <is>
          <t>MIXED: livermush CONSUMES THE LIVERS (~3,000 lb/wk in season) and sausage uses trim — livers and some viscera are their RAW MATERIAL. But pelvic / bariatric / thoracic blocks, aortas and leaf fat may still be waste streams — negotiable.</t>
        </is>
      </c>
      <c r="M13" s="68" t="inlineStr">
        <is>
          <t>Plausible</t>
        </is>
      </c>
      <c r="N13" s="68" t="inlineStr">
        <is>
          <t>Implausible</t>
        </is>
      </c>
      <c r="O13" s="68" t="inlineStr">
        <is>
          <t>CONTACT: Tom McLaughlin (NCDA county directory, 704-663-2038); OpenCorporates officers William H. McLaughlin Jr. (pres.) and Thomas B. McLaughlin (VP)
(704) 235-8003</t>
        </is>
      </c>
      <c r="P13" s="23" t="inlineStr">
        <is>
          <t>POSSIBLE</t>
        </is>
      </c>
      <c r="Q13" s="178" t="inlineStr">
        <is>
          <t>TIER 3 — self-supplied hog-only product plant (livermush consumes the livers; our blocks/aortas don't compete); western-crew play.</t>
        </is>
      </c>
      <c r="R13" s="179" t="inlineStr">
        <is>
          <t>mclaughlinsausage.com
New Facebook page (2026) · Yelp · OpenCorporates 0092835 (Current Active; ADM reinstated Apr-2023; annual report Apr-2026) (verified 2026-09-30)</t>
        </is>
      </c>
      <c r="S13" s="68" t="inlineStr">
        <is>
          <t>Med-High
(FSIS+NCDA 8-17)</t>
        </is>
      </c>
      <c r="T13"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
SOCIAL/OTHER 9-30: UNVERIFIED SIGNAL of a 2026 leadership change: two indexed Facebook posts (Josh's Farmers Market; a McLaughlin's page created 2026) refer to 'the new Captain' — undated, not directly accessible. The state filing (annual report 2026-04-01) still lists William H. McLaughlin Jr. and Thomas B. McLaughlin; the county directory names Tom McLaughlin. Founded 1962 (company site). County directory confirms HOG-ONLY slaughter, retail inside NC. A new operator can mean new openness — ask who runs it now.</t>
        </is>
      </c>
      <c r="U13" s="211" t="inlineStr">
        <is>
          <t>A-08</t>
        </is>
      </c>
      <c r="V13" s="143" t="inlineStr">
        <is>
          <t>Tier 3
A 3.4 / B 3.3</t>
        </is>
      </c>
    </row>
    <row r="14" ht="179.2" customHeight="1" s="59">
      <c r="A14" s="4" t="inlineStr">
        <is>
          <t>Key Packing Company, Inc.</t>
        </is>
      </c>
      <c r="B14" s="68" t="inlineStr">
        <is>
          <t>Robbins, NC</t>
        </is>
      </c>
      <c r="C14" s="68" t="inlineStr">
        <is>
          <t>NCDA state-inspected</t>
        </is>
      </c>
      <c r="D14" s="68" t="inlineStr">
        <is>
          <t>unknown (small)</t>
        </is>
      </c>
      <c r="E14" s="88" t="inlineStr">
        <is>
          <t>YES · ~70 mi
(Pikeville: ~116 mi)</t>
        </is>
      </c>
      <c r="F14" s="143" t="inlineStr">
        <is>
          <t>confirm
(state — no volume published)</t>
        </is>
      </c>
      <c r="G14" s="68" t="inlineStr">
        <is>
          <t>Yes</t>
        </is>
      </c>
      <c r="H14" s="68" t="inlineStr">
        <is>
          <t>STATE only
(NOT USDA — no FSIS record)</t>
        </is>
      </c>
      <c r="I14" s="68" t="inlineStr">
        <is>
          <t>None found (state-inspected; federal FSIS enforcement n/a)</t>
        </is>
      </c>
      <c r="J14" s="68" t="inlineStr">
        <is>
          <t>State-inspected; not on public export lists — verify</t>
        </is>
      </c>
      <c r="K14" s="68" t="inlineStr">
        <is>
          <t>Family-owned (Key family); custom slaughter for independent farmers</t>
        </is>
      </c>
      <c r="L14" s="68" t="inlineStr">
        <is>
          <t>Plausible</t>
        </is>
      </c>
      <c r="M14" s="68" t="inlineStr">
        <is>
          <t>Plausible</t>
        </is>
      </c>
      <c r="N14" s="68" t="inlineStr">
        <is>
          <t>Plausible</t>
        </is>
      </c>
      <c r="O14" s="68" t="inlineStr">
        <is>
          <t>CONTACT: Elizabeth Key (co-founder) — current manager / partnership decision-maker to be CONFIRMED on the call. Gilbert Key, co-founder, died 2026-04-06 (obituary, Pines Funerals); the notice says the business continues in the family (Robin Key Rexroad, Scott Key, Mitchell Key).
(910) 464-3507
keypackingcompany.com</t>
        </is>
      </c>
      <c r="P14" s="23" t="inlineStr">
        <is>
          <t>POSSIBLE</t>
        </is>
      </c>
      <c r="Q14" s="178" t="inlineStr">
        <is>
          <t>TIER 3 — state-inspected multi-species backup at the 120-mi edge; behind the I-95 pair on every axis.</t>
        </is>
      </c>
      <c r="R14" s="179" t="inlineStr">
        <is>
          <t>no website (keypackingcompany.com is parked) — phone (910) 464-3507
facebook.com/keypackingcompany (24 reviews, 100% recommend) · 4.8/5 from 84 reviewers (aggregator) · Yelp · Nextdoor · Tripadvisor (verified 2026-09-30)</t>
        </is>
      </c>
      <c r="S14" s="68" t="inlineStr">
        <is>
          <t>High
(FSIS+MPI 8-06)</t>
        </is>
      </c>
      <c r="T14"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
SOCIAL/OTHER 9-30: Retail store + packing plant working with independent farmers. Reviews consistently praise quality (sausage) and friendly, professional staff. County directory: slaughter buffalo, calves, cattle, hogs. Active and well-regarded.</t>
        </is>
      </c>
      <c r="U14" s="211" t="inlineStr">
        <is>
          <t>A-09</t>
        </is>
      </c>
      <c r="V14" s="143" t="inlineStr">
        <is>
          <t>Tier 3
A 3.3 / B 3.2</t>
        </is>
      </c>
    </row>
    <row r="15" ht="206" customHeight="1" s="59">
      <c r="A15" s="4" t="inlineStr">
        <is>
          <t>EcoFriendly Foods, LLC</t>
        </is>
      </c>
      <c r="B15" s="68" t="inlineStr">
        <is>
          <t>Moneta, VA</t>
        </is>
      </c>
      <c r="C15" s="68" t="inlineStr">
        <is>
          <t>USDA + Certified Humane multi-species harvest — OPERATING STATUS DISPUTED</t>
        </is>
      </c>
      <c r="D15"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15" s="88" t="inlineStr">
        <is>
          <t>NO (boundary) · ~120 mi
(120.4 exact road; Pikeville: ~198 mi)</t>
        </is>
      </c>
      <c r="F15" s="143" t="inlineStr">
        <is>
          <t>confirm (band ≤1,944)</t>
        </is>
      </c>
      <c r="G15" s="68" t="inlineStr">
        <is>
          <t>⚠ BOAR/STAG flagged (FSIS)
MARKET + SOW + ROASTER + boar/stag
(all four classes)</t>
        </is>
      </c>
      <c r="H15" s="68" t="inlineStr">
        <is>
          <t>USDA ✓ M21938 + P21938</t>
        </is>
      </c>
      <c r="I15" s="68" t="inlineStr">
        <is>
          <t>None found in FSIS/recall/AWI — BUT reportedly CEASED operations / bankruptcy ~2020. Verify still operating!</t>
        </is>
      </c>
      <c r="J15" s="68" t="inlineStr">
        <is>
          <t>Not on public export lists — verify (and confirm still operating)</t>
        </is>
      </c>
      <c r="K15" s="68" t="inlineStr">
        <is>
          <t>CERTIFIED HUMANE — strongest welfare match in the study OPERATING STATUS DISPUTED: YellowPages listing 13561509 flags 'This business has CLOSED' (undated; carries (540) 297-9582); the company site and a 2025 price sheet are live; Beebop's contact is 540-525-0352. Direct confirmation required.</t>
        </is>
      </c>
      <c r="L15" s="68" t="inlineStr">
        <is>
          <t>Custom multi-species harvest for outside producers</t>
        </is>
      </c>
      <c r="M15" s="68" t="inlineStr">
        <is>
          <t>Worth asking (A)</t>
        </is>
      </c>
      <c r="N15" s="68" t="inlineStr">
        <is>
          <t>Excellent B (already does custom harvest)</t>
        </is>
      </c>
      <c r="O15" s="68" t="inlineStr">
        <is>
          <t>CONTACT: (owner name not retrieved)
540-525-0352
ecofriendly.com</t>
        </is>
      </c>
      <c r="P15" s="23" t="inlineStr">
        <is>
          <t>CAUTION
(boar/stag)</t>
        </is>
      </c>
      <c r="Q15" s="178" t="inlineStr">
        <is>
          <t>KEPT (owner decision 9-30) with the status note: confirm it is slaughtering before anything else. BOAR/STAG RULE 9-28: FSIS flags boar/stag slaughter at this plant — AVOID unless the call confirms boars/stags are never run with our hogs (gate G4). TIER-2-ADJACENT (VA) — all four hog classes at cat-3 volume, the strongest VA option and welfare-branded; 120 road mi from Durham (198 from Pikeville) → Model B-T only. Site live 2026-09-03 (contradicts the old 'ceased ~2020' rumor again).</t>
        </is>
      </c>
      <c r="R15" s="179" t="inlineStr">
        <is>
          <t>ecofriendly.com
facebook.com/EcofriendlyFoods (3,153 likes) · Yelp (1 review, Feb-2026 listing) · Birdeye 6 reviews · YELLOWPAGES LISTS IT AS CLOSED · phone conflict: (540) 297-9582 (listings) vs 540-525-0352 (Beebop) (verified 2026-09-30)</t>
        </is>
      </c>
      <c r="S15" s="68" t="inlineStr">
        <is>
          <t>High
(FSIS+MPI 8-06)</t>
        </is>
      </c>
      <c r="T15"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
SOCIAL/OTHER 9-30: Operating status is genuinely uncertain: a live website and 2025 price sheet on one side, a 'CLOSED' directory listing and 'website no longer active' note on the other. Farmers-market model (never-frozen meat). The first call question is simply: are you slaughtering this month?</t>
        </is>
      </c>
      <c r="U15" s="211" t="inlineStr">
        <is>
          <t>A-10</t>
        </is>
      </c>
      <c r="V15" s="143" t="inlineStr">
        <is>
          <t>Tier 3
A 3.3 / B 3.2</t>
        </is>
      </c>
    </row>
    <row r="16" ht="139" customHeight="1" s="59">
      <c r="A16" s="138" t="inlineStr">
        <is>
          <t>Quaqua Creek Farm, LLC</t>
        </is>
      </c>
      <c r="B16" s="68" t="inlineStr">
        <is>
          <t>Ruffin, NC (Rockingham Co.)</t>
        </is>
      </c>
      <c r="C16" s="68" t="inlineStr">
        <is>
          <t>NC state-inspected slaughter + processing</t>
        </is>
      </c>
      <c r="D16" s="68" t="inlineStr">
        <is>
          <t>unknown — NO public figure exists for NC state plants (NASS withholds NC hog totals; NCDA publishes none)
· inference by business type: multi-species custom / retail plant — typically 10-100 hogs/wk; call question 2 decides</t>
        </is>
      </c>
      <c r="E16" s="88" t="inlineStr">
        <is>
          <t>YES · ~67 mi
(Pikeville: n/m)</t>
        </is>
      </c>
      <c r="F16" s="143" t="inlineStr">
        <is>
          <t>confirm
(state plant — no band)</t>
        </is>
      </c>
      <c r="G16" s="68" t="inlineStr">
        <is>
          <t>Calves, cattle, SWINE, sheep, goats
(NCDA species A,B,C,D,E)
(boar/stag: ask — the NCDA species code does not distinguish boars)</t>
        </is>
      </c>
      <c r="H16" s="68" t="inlineStr">
        <is>
          <t>STATE ✓ P-375
(NCDA&amp;CS directory 2026-09-18)</t>
        </is>
      </c>
      <c r="I16" s="25" t="inlineStr">
        <is>
          <t>n/a — state plant sits outside FSIS reporting (welfare = site-visit finding)</t>
        </is>
      </c>
      <c r="J16" s="68" t="inlineStr">
        <is>
          <t>Eligible — NC state inspection is the APHIS-accepted equivalent for our harvest path</t>
        </is>
      </c>
      <c r="K16" s="68" t="inlineStr">
        <is>
          <t>No record either way; small farm-plant; visit finding</t>
        </is>
      </c>
      <c r="L16" s="68" t="inlineStr">
        <is>
          <t>unknown — call question 3</t>
        </is>
      </c>
      <c r="M16" s="68" t="inlineStr">
        <is>
          <t>possible — small floor, ~67 road mi from Durham</t>
        </is>
      </c>
      <c r="N16" s="68" t="inlineStr">
        <is>
          <t>possible only if the crew is stable — unknown</t>
        </is>
      </c>
      <c r="O16" s="68" t="inlineStr">
        <is>
          <t>CONTACT: (contact name not in any directory retrieved — ask)
336-939-2656 · 429 Estes Road, Ruffin, NC 27326</t>
        </is>
      </c>
      <c r="P16" s="23" t="inlineStr">
        <is>
          <t>POSSIBLE</t>
        </is>
      </c>
      <c r="Q16"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6" s="179" t="inlineStr">
        <is>
          <t>Not confirmed (Beebop 9-28: no company site found)
A Feb-2025 post on 'The Messenger of Madison-Mayodan' (local news page) about 'QuaQua Creek Custom Processing' — text not retrievable · Bizapedia LLC entry (CAPTCHA-blocked) (verified 2026-09-30)</t>
        </is>
      </c>
      <c r="S16" s="68" t="inlineStr">
        <is>
          <t>Medium (NCDA 9-18 + Beebop)</t>
        </is>
      </c>
      <c r="T16"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
SOCIAL/OTHER 9-30: No company website, no reviews found; the Rockingham county directory (undated) does not list it — the P-375 grant is newer than that file. Corporate status unverified. Everything rests on the call.</t>
        </is>
      </c>
      <c r="U16" s="211" t="inlineStr">
        <is>
          <t>A-11</t>
        </is>
      </c>
      <c r="V16" s="143" t="inlineStr">
        <is>
          <t>Tier 3
A 3.2 / B 3.0</t>
        </is>
      </c>
    </row>
    <row r="17" ht="139" customHeight="1" s="59">
      <c r="A17" s="138" t="inlineStr">
        <is>
          <t>Farmington Meat Processing, LLC</t>
        </is>
      </c>
      <c r="B17" s="68" t="inlineStr">
        <is>
          <t>Mocksville, NC (Davie Co.)</t>
        </is>
      </c>
      <c r="C17" s="68" t="inlineStr">
        <is>
          <t>NC state-inspected slaughter + processing</t>
        </is>
      </c>
      <c r="D17" s="68" t="inlineStr">
        <is>
          <t>unknown — NO public figure exists for NC state plants (NASS withholds NC hog totals; NCDA publishes none)
· inference by business type: multi-species custom / retail plant — typically 10-100 hogs/wk; call question 2 decides</t>
        </is>
      </c>
      <c r="E17" s="88" t="inlineStr">
        <is>
          <t>YES · ~103 mi
(Pikeville: n/m)</t>
        </is>
      </c>
      <c r="F17" s="143" t="inlineStr">
        <is>
          <t>confirm
(state plant — no band)</t>
        </is>
      </c>
      <c r="G17" s="68" t="inlineStr">
        <is>
          <t>Calves, cattle, SWINE, sheep, goats
(NCDA species A,B,C,D,E)
(boar/stag: ask — the NCDA species code does not distinguish boars)</t>
        </is>
      </c>
      <c r="H17" s="68" t="inlineStr">
        <is>
          <t>STATE ✓ P-381
(NCDA&amp;CS directory 2026-09-18)</t>
        </is>
      </c>
      <c r="I17" s="25" t="inlineStr">
        <is>
          <t>n/a — state plant sits outside FSIS reporting (welfare = site-visit finding)</t>
        </is>
      </c>
      <c r="J17" s="68" t="inlineStr">
        <is>
          <t>Eligible — NC state inspection is the APHIS-accepted equivalent for our harvest path</t>
        </is>
      </c>
      <c r="K17" s="68" t="inlineStr">
        <is>
          <t>No record either way; small custom-model business; visit finding 5.0/5 on 20 reviews; 9,100 Facebook followers.</t>
        </is>
      </c>
      <c r="L17" s="68" t="inlineStr">
        <is>
          <t>unknown — call question 3</t>
        </is>
      </c>
      <c r="M17" s="68" t="inlineStr">
        <is>
          <t>possible — small floor, ~103 road mi from Durham (western lane)</t>
        </is>
      </c>
      <c r="N17" s="68" t="inlineStr">
        <is>
          <t>unknown</t>
        </is>
      </c>
      <c r="O17" s="68" t="inlineStr">
        <is>
          <t>CONTACT: (Davie county directory not retrievable — ask)
(336) 998-7092 · 135 Nikkis Way, Mocksville, NC 27028</t>
        </is>
      </c>
      <c r="P17" s="23" t="inlineStr">
        <is>
          <t>POSSIBLE</t>
        </is>
      </c>
      <c r="Q17"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7" s="179" t="inlineStr">
        <is>
          <t>facebook.com/FarmingtonMeat · instagram.com/farmington_meat_processing (Beebop r2)
facebook.com/FarmingtonMeat (9,125 likes) · instagram.com/farmington_meat_processing (1,207 followers) · Yelp · Nextdoor · 5.0/5 from 20 reviews (Chamber) (verified 2026-09-30)</t>
        </is>
      </c>
      <c r="S17" s="68" t="inlineStr">
        <is>
          <t>Medium (NCDA 9-18 + Beebop r2)</t>
        </is>
      </c>
      <c r="T17" s="68" t="inlineStr">
        <is>
          <t>Do not confuse with FSIS 'Farmington Meat Co. Inc.' M1993 — a processing-only entity. Added 2026-09-28 from the Beebop round-2 cross-check.
SOCIAL/OTHER 9-30: Retail store Wed-Fri 9-6, Sat 9-2 (kill days likely early week). Processes deer, cows, goats, pigs — DEER SEASON is a seasonal load. Active, well-liked business.</t>
        </is>
      </c>
      <c r="U17" s="211" t="inlineStr">
        <is>
          <t>A-12</t>
        </is>
      </c>
      <c r="V17" s="143" t="inlineStr">
        <is>
          <t>Tier 3
A 3.2 / B 3.0</t>
        </is>
      </c>
    </row>
    <row r="18" ht="152.4" customHeight="1" s="59">
      <c r="A18" s="138" t="inlineStr">
        <is>
          <t>The Butcher's Block</t>
        </is>
      </c>
      <c r="B18" s="68" t="inlineStr">
        <is>
          <t>Dry Fork, VA (Pittsylvania Co.)</t>
        </is>
      </c>
      <c r="C18" s="68" t="inlineStr">
        <is>
          <t>USDA-inspected (Virginia) — also custom-exempt work</t>
        </is>
      </c>
      <c r="D18" s="68" t="inlineStr">
        <is>
          <t>&lt;19/wk (FSIS cat 1)
· HACCP Very Small (&lt;10 employees or &lt;$2.5M sales)
· hog kill CAPPED by NASS 2025: Virginia's 16 federal plants killed 7,841 hogs in the WHOLE year (≈150/wk statewide) — the FSIS band counts ALL species</t>
        </is>
      </c>
      <c r="E18" s="88" t="inlineStr">
        <is>
          <t>YES · ~74 mi
(Pikeville: n/m)</t>
        </is>
      </c>
      <c r="F18" s="139" t="inlineStr">
        <is>
          <t>0-300/wk (&lt;19)</t>
        </is>
      </c>
      <c r="G18" s="68" t="inlineStr">
        <is>
          <t>⚠ BOAR/STAG flagged (FSIS)
MARKET + SOW + ROASTER + boar/stag (all four FSIS classes); custom-exempt also = Yes</t>
        </is>
      </c>
      <c r="H18" s="68" t="inlineStr">
        <is>
          <t>USDA ✓ M763
grant 2/13/2024</t>
        </is>
      </c>
      <c r="I18" s="25" t="inlineStr">
        <is>
          <t>None found (grant under 2 years old)</t>
        </is>
      </c>
      <c r="J18" s="68" t="inlineStr">
        <is>
          <t>Eligible (federal grant)</t>
        </is>
      </c>
      <c r="K18" s="68" t="inlineStr">
        <is>
          <t>No record; visit finding</t>
        </is>
      </c>
      <c r="L18" s="68" t="inlineStr">
        <is>
          <t>unknown</t>
        </is>
      </c>
      <c r="M18" s="68" t="inlineStr">
        <is>
          <t>pilot-scale only — cat 1</t>
        </is>
      </c>
      <c r="N18" s="68" t="inlineStr">
        <is>
          <t>unlikely — too small</t>
        </is>
      </c>
      <c r="O18" s="68" t="inlineStr">
        <is>
          <t>CONTACT: Andy and Samantha Thomas (owners) · 434-432-2345
434-432-2345 · 4655 Dry Fork Road, Dry Fork, VA 24549</t>
        </is>
      </c>
      <c r="P18" s="140" t="inlineStr">
        <is>
          <t>WATCH</t>
        </is>
      </c>
      <c r="Q18"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18" s="179" t="inlineStr">
        <is>
          <t>facebook.com/p/The-Butchers-Block-100057234168268 (Beebop r2)
facebook.com/p/The-Butchers-Block (3,282 followers) · 4.7/5 from 26 reviews · BBB · butchersblockva.com · Farmshare processor listing (verified 2026-09-30)</t>
        </is>
      </c>
      <c r="S18" s="68" t="inlineStr">
        <is>
          <t>High (FSIS 9-03 + MPI)</t>
        </is>
      </c>
      <c r="T18" s="68" t="inlineStr">
        <is>
          <t>Added 2026-09-28 from the Beebop round-2 cross-check; FSIS MPI grant date 2/13/2024.
SOCIAL/OTHER 9-30: Family-owned; 'extremely nice and friendly', 'second to none' service; a Facebook post marks the USDA-inspection milestone ('a process in the making').</t>
        </is>
      </c>
      <c r="U18" s="211" t="inlineStr">
        <is>
          <t>A-13</t>
        </is>
      </c>
      <c r="V18" s="143" t="inlineStr">
        <is>
          <t>Tier 3
A 3.1 / B 2.9</t>
        </is>
      </c>
    </row>
    <row r="19" ht="152.4" customHeight="1" s="59">
      <c r="A19" s="138" t="inlineStr">
        <is>
          <t>Easternview Farms LLC</t>
        </is>
      </c>
      <c r="B19" s="68" t="inlineStr">
        <is>
          <t>Drakes Branch, VA (Charlotte Co.)</t>
        </is>
      </c>
      <c r="C19" s="68" t="inlineStr">
        <is>
          <t>USDA-inspected (Virginia) — also custom + voluntary grants</t>
        </is>
      </c>
      <c r="D19" s="68" t="inlineStr">
        <is>
          <t>&lt;19/wk (FSIS cat 1)
· HACCP Very Small (&lt;10 employees or &lt;$2.5M sales)
· hog kill CAPPED by NASS 2025: Virginia's 16 federal plants killed 7,841 hogs in the WHOLE year (≈150/wk statewide) — the FSIS band counts ALL species</t>
        </is>
      </c>
      <c r="E19" s="88" t="inlineStr">
        <is>
          <t>YES · ~76 mi
(Pikeville: n/m)</t>
        </is>
      </c>
      <c r="F19" s="139" t="inlineStr">
        <is>
          <t>0-300/wk (&lt;19)</t>
        </is>
      </c>
      <c r="G19" s="68" t="inlineStr">
        <is>
          <t>⚠ BOAR/STAG flagged (FSIS)
MARKET + SOW + boar/stag (FSIS flags); custom-exempt slaughter also = Yes</t>
        </is>
      </c>
      <c r="H19" s="68" t="inlineStr">
        <is>
          <t>USDA ✓ M1908 + V1908
grant 5/14/2024</t>
        </is>
      </c>
      <c r="I19" s="25" t="inlineStr">
        <is>
          <t>None found (grant under 2 years old)</t>
        </is>
      </c>
      <c r="J19" s="68" t="inlineStr">
        <is>
          <t>Eligible (federal grant — a VA STATE grant would not be)</t>
        </is>
      </c>
      <c r="K19" s="68" t="inlineStr">
        <is>
          <t>No record; farm-based operator; visit finding</t>
        </is>
      </c>
      <c r="L19" s="68" t="inlineStr">
        <is>
          <t>unknown — site advertises pork processing and animal sourcing</t>
        </is>
      </c>
      <c r="M19" s="68" t="inlineStr">
        <is>
          <t>pilot-scale only — cat-1 ceiling &lt;19 animals/wk, ALL species</t>
        </is>
      </c>
      <c r="N19" s="68" t="inlineStr">
        <is>
          <t>unlikely — too small to justify training</t>
        </is>
      </c>
      <c r="O19" s="68" t="inlineStr">
        <is>
          <t>CONTACT: (owners unnamed on site) · 434-208-8602
434-208-8602 · 1040 Deuprees Store Road, Drakes Branch, VA 23937</t>
        </is>
      </c>
      <c r="P19" s="140" t="inlineStr">
        <is>
          <t>WATCH</t>
        </is>
      </c>
      <c r="Q19"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9" s="179" t="inlineStr">
        <is>
          <t>easternviewfarmsllc.com (Beebop r2)
facebook.com/easternviewfarmsmeatprocessing (1,837 likes) · easternviewfarmsllc.com · Tripadvisor · Creatures directory (verified 2026-09-30)</t>
        </is>
      </c>
      <c r="S19" s="68" t="inlineStr">
        <is>
          <t>High (FSIS 9-03 + MPI)</t>
        </is>
      </c>
      <c r="T19" s="68" t="inlineStr">
        <is>
          <t>Not individually listed before — the southern-VA census (9-03) treated the cat-1 plants as a group. Added 2026-09-28.
SOCIAL/OTHER 9-30: Site: USDA grant Feb-2024 (FSIS shows 5/14/2024); processes beef, pork, deer, goat, sheep 'USDA or custom'; reviews positive on cuts, packaging, service.</t>
        </is>
      </c>
      <c r="U19" s="211" t="inlineStr">
        <is>
          <t>A-14</t>
        </is>
      </c>
      <c r="V19" s="143" t="inlineStr">
        <is>
          <t>Tier 3
A 3.1 / B 2.9</t>
        </is>
      </c>
    </row>
    <row r="20" ht="206" customHeight="1" s="59">
      <c r="A20" s="138" t="inlineStr">
        <is>
          <t>Bass Farms, Inc.
(DBA Bass Farm Sausage)</t>
        </is>
      </c>
      <c r="B20" s="68" t="inlineStr">
        <is>
          <t>Spring Hope, NC (Nash)</t>
        </is>
      </c>
      <c r="C20" s="68" t="inlineStr">
        <is>
          <t>Sausage PROCESSOR with a small attached kill floor
— NOT 'slaughter only'</t>
        </is>
      </c>
      <c r="D20" s="68" t="inlineStr">
        <is>
          <t>~19-194/wk
(FSIS cat 2 in the 2026-09-03 pull — was cat 1 in Aug; grant 2/17/2026)
· HACCP Small (10-499 employees)</t>
        </is>
      </c>
      <c r="E20" s="88" t="inlineStr">
        <is>
          <t>YES · ~61 mi
(Pikeville: ~40 mi)</t>
        </is>
      </c>
      <c r="F20" s="139" t="inlineStr">
        <is>
          <t>0-300/wk
(cat 2 — growing)</t>
        </is>
      </c>
      <c r="G20" s="68" t="inlineStr">
        <is>
          <t>SOW ONLY
sow_slaughter=Yes; market_swine=No,
roaster=No, boar/stag=No</t>
        </is>
      </c>
      <c r="H20" s="68" t="inlineStr">
        <is>
          <t>USDA ✓ M3521 — NEWEST swine-slaughter
grant in NC (2/17/2026), sow-only;
TA-3521 in the NCDA&amp;CS TA directory</t>
        </is>
      </c>
      <c r="I20" s="68" t="inlineStr">
        <is>
          <t>None found in 10 FSIS Quarterly Enforcement Reports (FY2024 Q1 – FY2026 Q2). NOT a clean bill — QERs cover suspensions / NOIEs / withholding actions only.</t>
        </is>
      </c>
      <c r="J20" s="68" t="inlineStr">
        <is>
          <t>Federal grant → EU Cat 3-eligible in principle. No APHIS VS export listing. Volume makes the question moot.</t>
        </is>
      </c>
      <c r="K20" s="68" t="inlineStr">
        <is>
          <t>Nothing published either way.</t>
        </is>
      </c>
      <c r="L20" s="68" t="inlineStr">
        <is>
          <t>Whole-hog sausage uses carcass meat, not viscera — sow organs / aortas are currently WASTE (inference, labeled). Sows = MATURE anatomy: large hearts, aortas, bladders, uteri.</t>
        </is>
      </c>
      <c r="M20" s="68" t="inlineStr">
        <is>
          <t>Micro-scale only — but brand-new floor, growth mode, never hosted harvesters; scheduling likely negotiable</t>
        </is>
      </c>
      <c r="N20" s="68" t="inlineStr">
        <is>
          <t>Plausible at micro volume</t>
        </is>
      </c>
      <c r="O20" s="68" t="inlineStr">
        <is>
          <t>CONTACT: John Bass (owner per NC Field &amp; Family; founder Ralph Bass)
(252) 478-4147
President: Kenneth Edwards
6685 Hwy 64 Alt, Spring Hope</t>
        </is>
      </c>
      <c r="P20" s="140" t="inlineStr">
        <is>
          <t>WATCH
(new sow floor)</t>
        </is>
      </c>
      <c r="Q20" s="178" t="inlineStr">
        <is>
          <t>TIER 2 — newest swine grant in NC, sow organs going to waste 40 min from Sims, and GROWING (FSIS cat 1→2 between Aug and Sep 2026). Micro-pilot only.</t>
        </is>
      </c>
      <c r="R20" s="179" t="inlineStr">
        <is>
          <t>bassfarmsausage.com
bassfarmsausage.com · BBB profile · YellowPages (verified 2026-09-30)</t>
        </is>
      </c>
      <c r="S20" s="68" t="inlineStr">
        <is>
          <t>High
(FSIS+NCDA 8-17)</t>
        </is>
      </c>
      <c r="T20"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
SOCIAL/OTHER 9-30: Family sausage business since the 1950s; sources hogs from NC farmers; blends in 100-lb batches. Nothing new on the sow-only class.</t>
        </is>
      </c>
      <c r="U20" s="211" t="inlineStr">
        <is>
          <t>A-15</t>
        </is>
      </c>
      <c r="V20" s="143" t="inlineStr">
        <is>
          <t>Tier 3
A 2.8 / B 3.0</t>
        </is>
      </c>
    </row>
    <row r="21" ht="179.2" customHeight="1" s="59">
      <c r="A21" s="4" t="inlineStr">
        <is>
          <t>Contentnea Farms, LLC</t>
        </is>
      </c>
      <c r="B21" s="68" t="inlineStr">
        <is>
          <t>Walstonburg, NC (Greene)</t>
        </is>
      </c>
      <c r="C21" s="68" t="inlineStr">
        <is>
          <t>Talmadge-Aiken multi-species slaughter</t>
        </is>
      </c>
      <c r="D21" s="68" t="inlineStr">
        <is>
          <t>&lt;19/wk
(FSIS cat 1)
· HACCP Very Small (&lt;10 employees or &lt;$2.5M sales)</t>
        </is>
      </c>
      <c r="E21" s="88" t="inlineStr">
        <is>
          <t>YES · ~90 mi
(Pikeville: ~35 mi)</t>
        </is>
      </c>
      <c r="F21" s="139" t="inlineStr">
        <is>
          <t>0-300/wk (&lt;19)</t>
        </is>
      </c>
      <c r="G21" s="68" t="inlineStr">
        <is>
          <t>⚠ BOAR/STAG flagged (FSIS)
MARKET + SOW + boar/stag</t>
        </is>
      </c>
      <c r="H21" s="68" t="inlineStr">
        <is>
          <t>USDA ✓ M2583 — grant 10/29/2025
(2nd-newest swine grant in NC;
TA-2583 in the state TA directory)</t>
        </is>
      </c>
      <c r="I21" s="68" t="inlineStr">
        <is>
          <t>None found in the FSIS QERs through Q3 FY2026 (narrow negative — routine NRs are not published)</t>
        </is>
      </c>
      <c r="J21" s="68" t="inlineStr">
        <is>
          <t>Talmadge-Aiken — interstate/export eligible. APHIS listing unverified</t>
        </is>
      </c>
      <c r="K21" s="68" t="inlineStr">
        <is>
          <t>None found in the FSIS QERs through Q3 FY2026 (narrow negative — routine NRs are not published)</t>
        </is>
      </c>
      <c r="L21" s="68" t="inlineStr">
        <is>
          <t>unknown</t>
        </is>
      </c>
      <c r="M21" s="68" t="inlineStr">
        <is>
          <t>Plausible</t>
        </is>
      </c>
      <c r="N21" s="68" t="inlineStr">
        <is>
          <t>Plausible</t>
        </is>
      </c>
      <c r="O21" s="68" t="inlineStr">
        <is>
          <t>CONTACT: (Greene county directory not retrievable — ask)
(252) 717-9229</t>
        </is>
      </c>
      <c r="P21" s="23" t="inlineStr">
        <is>
          <t>CAUTION
(boar/stag)</t>
        </is>
      </c>
      <c r="Q21" s="178" t="inlineStr">
        <is>
          <t>BOAR/STAG RULE 9-28: FSIS flags boar/stag slaughter at this plant — AVOID unless the call confirms boars/stags are never run with our hogs (gate G4). TIER 3 — 35 mi from Pikeville but 90 road mi from Durham but &lt;19/wk; overflow/pilot for odd-lot sow or boar needs.</t>
        </is>
      </c>
      <c r="R21" s="179" t="inlineStr">
        <is>
          <t>contentneafarms.com
facebook.com/ContentneaFarms (9,918 likes; 1,371 'talking about') · instagram.com/contentnea_farms (357) · Birdeye 5.0/5 from 49 reviews · Wayne County Chamber (verified 2026-09-30)</t>
        </is>
      </c>
      <c r="S21" s="68" t="inlineStr">
        <is>
          <t>High
(FSIS+NCDA 8-17)</t>
        </is>
      </c>
      <c r="T21"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
SOCIAL/OTHER 9-30: Very active retail brand with a Goldsboro location; processes beef, pork, goats, sheep, DEER and BEARS (seasonal load); delivers up to 60 mi. Reviews uniformly positive.</t>
        </is>
      </c>
      <c r="U21" s="211" t="inlineStr">
        <is>
          <t>A-16</t>
        </is>
      </c>
      <c r="V21" s="143" t="inlineStr">
        <is>
          <t>Tier 3
A 2.8 / B 2.9</t>
        </is>
      </c>
    </row>
    <row r="22" ht="192.6" customHeight="1" s="59">
      <c r="A22" s="138" t="inlineStr">
        <is>
          <t>M.L. Mitchell &amp; Son
(FSIS lists Mitchell's Meat Processing, LLC)</t>
        </is>
      </c>
      <c r="B22" s="68" t="inlineStr">
        <is>
          <t>Walnut Cove, NC</t>
        </is>
      </c>
      <c r="C22" s="68" t="inlineStr">
        <is>
          <t>USDA-inspected</t>
        </is>
      </c>
      <c r="D22" s="68" t="inlineStr">
        <is>
          <t>&lt;19/wk
(FSIS cat 1)
· HACCP Very Small (&lt;10 employees or &lt;$2.5M sales)</t>
        </is>
      </c>
      <c r="E22" s="88" t="inlineStr">
        <is>
          <t>YES · ~85 mi ≈
(Pikeville: ~160 mi)</t>
        </is>
      </c>
      <c r="F22" s="139" t="inlineStr">
        <is>
          <t>0-300/wk (&lt;19)</t>
        </is>
      </c>
      <c r="G22" s="68" t="inlineStr">
        <is>
          <t>⚠ BOAR/STAG flagged (FSIS)
MARKET + SOW + boar/stag</t>
        </is>
      </c>
      <c r="H22" s="68" t="inlineStr">
        <is>
          <t>USDA ✓ M46822 + P46822
(listed as Mitchell's Meat Processing)</t>
        </is>
      </c>
      <c r="I22" s="25" t="inlineStr">
        <is>
          <t>⚠ Slaughter suspension Aug 2021 — egregious (failed goat stun, conscious throat-cut). PETA→DA.</t>
        </is>
      </c>
      <c r="J22" s="68" t="inlineStr">
        <is>
          <t>Not on public export lists — verify</t>
        </is>
      </c>
      <c r="K22" s="68" t="inlineStr">
        <is>
          <t>Family business (culture signal) Facebook 78% recommend (14 reviews) — lowest in the set; see the enforcement column.
BBB: A+ rated (profile checked 2026-09-30).</t>
        </is>
      </c>
      <c r="L22" s="68" t="inlineStr">
        <is>
          <t>Plausible</t>
        </is>
      </c>
      <c r="M22" s="68" t="inlineStr">
        <is>
          <t>Plausible</t>
        </is>
      </c>
      <c r="N22" s="68" t="inlineStr">
        <is>
          <t>Plausible</t>
        </is>
      </c>
      <c r="O22" s="68" t="inlineStr">
        <is>
          <t>CONTACT: Kristine Mitchell (NCDA county directory)
(336) 591-7420</t>
        </is>
      </c>
      <c r="P22" s="23" t="inlineStr">
        <is>
          <t>CAUTION</t>
        </is>
      </c>
      <c r="Q22" s="178" t="inlineStr">
        <is>
          <t>BOAR/STAG RULE 9-28: FSIS flags boar/stag slaughter at this plant — AVOID unless the call confirms boars/stags are never run with our hogs (gate G4). Back-pool — passes no current tier; see Fit and notes for what a call would need to change.</t>
        </is>
      </c>
      <c r="R22" s="179" t="inlineStr">
        <is>
          <t>—
facebook.com/MitchellsMeatNC (14 reviews, 78% recommend — lowest in this set) + facebook.com/MitchellsButcheryNC · Butcher Bud 4.0/5 from 45 · BBB · Yelp · Instagram text line 336-310-9538 (verified 2026-09-30)</t>
        </is>
      </c>
      <c r="S22" s="68" t="inlineStr">
        <is>
          <t>High
(FSIS+NCDA 8-17)</t>
        </is>
      </c>
      <c r="T22"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
SOCIAL/OTHER 9-30: Hours M-Th 6-5, F 8-4, Sat 8-12. Aggregator copy calls it 'spotless and well-organized'; the 78% Facebook score and the enforcement record on this row say get it in person.</t>
        </is>
      </c>
      <c r="U22" s="211" t="inlineStr">
        <is>
          <t>A-17</t>
        </is>
      </c>
      <c r="V22" s="143" t="inlineStr">
        <is>
          <t>Tier 3
A 2.8 / B 2.4</t>
        </is>
      </c>
    </row>
    <row r="23" ht="98.8" customHeight="1" s="59">
      <c r="A23" s="138" t="inlineStr">
        <is>
          <t>Smithfield Fresh Meats Corp. — Clinton plant</t>
        </is>
      </c>
      <c r="B23" s="68" t="inlineStr">
        <is>
          <t>Clinton, NC (Sampson Co.)</t>
        </is>
      </c>
      <c r="C23" s="68" t="inlineStr">
        <is>
          <t>USDA federal — industrial pork plant</t>
        </is>
      </c>
      <c r="D23" s="68" t="inlineStr">
        <is>
          <t>&gt;5,000/wk (FSIS cat 4; plant scale far above the band floor)
· HACCP Large (500+ employees)</t>
        </is>
      </c>
      <c r="E23" s="88" t="inlineStr">
        <is>
          <t>YES · ~89 mi
(Pikeville: n/m)</t>
        </is>
      </c>
      <c r="F23" s="195" t="inlineStr">
        <is>
          <t>5,000+ /wk</t>
        </is>
      </c>
      <c r="G23" s="68" t="inlineStr">
        <is>
          <t>market hogs (industrial line)</t>
        </is>
      </c>
      <c r="H23" s="68" t="inlineStr">
        <is>
          <t>USDA ✓ M413</t>
        </is>
      </c>
      <c r="I23" s="25" t="inlineStr">
        <is>
          <t>Not checked this pass (corporate plant; audited systems)</t>
        </is>
      </c>
      <c r="J23" s="68" t="inlineStr">
        <is>
          <t>Federal — eligible in principle; the corporate by-products channel decides</t>
        </is>
      </c>
      <c r="K23" s="68" t="inlineStr">
        <is>
          <t>Corporate plant; audited welfare systems</t>
        </is>
      </c>
      <c r="L23" s="68" t="inlineStr">
        <is>
          <t>corporate by-products / biologics channel (Smithfield BioScience) — not a floor we could host on</t>
        </is>
      </c>
      <c r="M23" s="68" t="inlineStr">
        <is>
          <t>NO — industrial line, no hosting</t>
        </is>
      </c>
      <c r="N23" s="68" t="inlineStr">
        <is>
          <t>only via a biomedical by-products agreement</t>
        </is>
      </c>
      <c r="O23" s="68" t="inlineStr">
        <is>
          <t>910-592-2104 (plant) — route via Smithfield BioScience (National Direct tab)</t>
        </is>
      </c>
      <c r="P23" s="23" t="inlineStr">
        <is>
          <t>CAUTION</t>
        </is>
      </c>
      <c r="Q2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23" s="179" t="inlineStr">
        <is>
          <t>smithfieldfoods.com (corporate)</t>
        </is>
      </c>
      <c r="S23" s="68" t="inlineStr">
        <is>
          <t>High (FSIS 9-03)</t>
        </is>
      </c>
      <c r="T23" s="68" t="inlineStr">
        <is>
          <t>Added 2026-09-28 from the Beebop plan. Sister rows: Smithfield Tar Heel (row 25) and Smithfield BioScience (row 49).</t>
        </is>
      </c>
      <c r="U23" s="211" t="inlineStr">
        <is>
          <t>A-18</t>
        </is>
      </c>
      <c r="V23" s="210" t="inlineStr">
        <is>
          <t>—</t>
        </is>
      </c>
    </row>
    <row r="24" ht="85.40000000000001" customHeight="1" s="59">
      <c r="A24" s="146" t="inlineStr">
        <is>
          <t>Caudle Meat (Greene Co.) — WATCH</t>
        </is>
      </c>
      <c r="B24" s="83" t="inlineStr">
        <is>
          <t>Greene County, NC (site unlocated)</t>
        </is>
      </c>
      <c r="C24" s="83" t="inlineStr">
        <is>
          <t>NCAMPI grantee — NO inspection grant yet</t>
        </is>
      </c>
      <c r="D24" s="83" t="inlineStr">
        <is>
          <t>n/a — not yet operating
(no directory record)</t>
        </is>
      </c>
      <c r="E24" s="88" t="inlineStr">
        <is>
          <t>YES · ~95 mi ≈</t>
        </is>
      </c>
      <c r="F24" s="143" t="inlineStr">
        <is>
          <t>confirm (pre-grant)</t>
        </is>
      </c>
      <c r="G24" s="134" t="inlineStr">
        <is>
          <t>unknown</t>
        </is>
      </c>
      <c r="H24" s="83" t="inlineStr">
        <is>
          <t>NOT in any 2026-08-10 directory
(state, TA, or custom)</t>
        </is>
      </c>
      <c r="I24" s="83" t="inlineStr">
        <is>
          <t>n/a</t>
        </is>
      </c>
      <c r="J24" s="83" t="inlineStr">
        <is>
          <t>n/a</t>
        </is>
      </c>
      <c r="K24" s="83" t="inlineStr">
        <is>
          <t>unknown</t>
        </is>
      </c>
      <c r="L24" s="83" t="inlineStr">
        <is>
          <t>unknown</t>
        </is>
      </c>
      <c r="M24" s="83" t="inlineStr">
        <is>
          <t>unknown</t>
        </is>
      </c>
      <c r="N24" s="83" t="inlineStr">
        <is>
          <t>unknown</t>
        </is>
      </c>
      <c r="O24" s="83" t="inlineStr">
        <is>
          <t>— (a 'Caudle's Meat Processing, LLC'
is registered in Cary NC — link unconfirmed)</t>
        </is>
      </c>
      <c r="P24" s="140" t="inlineStr">
        <is>
          <t>WATCH</t>
        </is>
      </c>
      <c r="Q24" s="178" t="inlineStr">
        <is>
          <t>Watch item — not usable yet; track for a grant or status change (see notes).</t>
        </is>
      </c>
      <c r="R24" s="179" t="inlineStr">
        <is>
          <t>—</t>
        </is>
      </c>
      <c r="S24" s="83" t="inlineStr">
        <is>
          <t>Low-Med
(FSIS+NCDA 8-17)</t>
        </is>
      </c>
      <c r="T24"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c r="U24" s="211" t="inlineStr">
        <is>
          <t>A-19</t>
        </is>
      </c>
      <c r="V24" s="210" t="inlineStr">
        <is>
          <t>—</t>
        </is>
      </c>
    </row>
    <row r="25" ht="152.4" customHeight="1" s="59">
      <c r="A25" s="138" t="inlineStr">
        <is>
          <t>Schrock's Slaughter House</t>
        </is>
      </c>
      <c r="B25" s="68" t="inlineStr">
        <is>
          <t>Gladys, VA (Campbell Co.)</t>
        </is>
      </c>
      <c r="C25" s="68" t="inlineStr">
        <is>
          <t>USDA-inspected (Virginia)</t>
        </is>
      </c>
      <c r="D25" s="68" t="inlineStr">
        <is>
          <t>&lt;19/wk (FSIS cat 1)
· HACCP Very Small (&lt;10 employees or &lt;$2.5M sales)
· hog kill CAPPED by NASS 2025: Virginia's 16 federal plants killed 7,841 hogs in the WHOLE year (≈150/wk statewide) — the FSIS band counts ALL species</t>
        </is>
      </c>
      <c r="E25" s="88" t="inlineStr">
        <is>
          <t>YES · ~95 mi
(Pikeville: n/m)</t>
        </is>
      </c>
      <c r="F25" s="139" t="inlineStr">
        <is>
          <t>0-300/wk (&lt;19)</t>
        </is>
      </c>
      <c r="G25" s="68" t="inlineStr">
        <is>
          <t>swine flagged; website is beef-first</t>
        </is>
      </c>
      <c r="H25" s="68" t="inlineStr">
        <is>
          <t>USDA ✓ M44217
grant 8/21/2015</t>
        </is>
      </c>
      <c r="I25" s="25" t="inlineStr">
        <is>
          <t>None found (not in the QER shortlist search)</t>
        </is>
      </c>
      <c r="J25" s="68" t="inlineStr">
        <is>
          <t>Eligible (federal grant — a VA STATE grant would not be)</t>
        </is>
      </c>
      <c r="K25" s="68" t="inlineStr">
        <is>
          <t>No record; visit finding</t>
        </is>
      </c>
      <c r="L25" s="68" t="inlineStr">
        <is>
          <t>unknown</t>
        </is>
      </c>
      <c r="M25" s="68" t="inlineStr">
        <is>
          <t>pilot-scale only</t>
        </is>
      </c>
      <c r="N25" s="68" t="inlineStr">
        <is>
          <t>no</t>
        </is>
      </c>
      <c r="O25" s="68" t="inlineStr">
        <is>
          <t>434-283-5400 · 4141 Pigeon Run Road, Gladys, VA 24554</t>
        </is>
      </c>
      <c r="P25" s="140" t="inlineStr">
        <is>
          <t>WATCH</t>
        </is>
      </c>
      <c r="Q25" s="178" t="inlineStr">
        <is>
          <t>Beebop's #10 and the only Virginia plant inside 120 road miles of Durham — but cat 1 (&lt;19 animals/week) and a beef-first website. A one-question call (do you still kill hogs, how many) is all it merits.</t>
        </is>
      </c>
      <c r="R25" s="179" t="inlineStr">
        <is>
          <t>schrockssh.com (verified live 2026-09-28)</t>
        </is>
      </c>
      <c r="S25" s="68" t="inlineStr">
        <is>
          <t>High (FSIS 9-03)</t>
        </is>
      </c>
      <c r="T25" s="68" t="inlineStr">
        <is>
          <t>The southern-VA census (2026-09-03) found only cat-1 plants; this is one of them.</t>
        </is>
      </c>
      <c r="U25" s="211" t="inlineStr">
        <is>
          <t>A-20</t>
        </is>
      </c>
      <c r="V25" s="210" t="inlineStr">
        <is>
          <t>—</t>
        </is>
      </c>
    </row>
    <row r="26" ht="58.6" customHeight="1" s="59">
      <c r="A26" s="4" t="inlineStr">
        <is>
          <t>Smithfield Foods — Tar Heel</t>
        </is>
      </c>
      <c r="B26" s="68" t="inlineStr">
        <is>
          <t>Bladen County, NC</t>
        </is>
      </c>
      <c r="C26" s="68" t="inlineStr">
        <is>
          <t>Industrial packer</t>
        </is>
      </c>
      <c r="D26" s="68" t="inlineStr">
        <is>
          <t>~28,000-32,000 / DAY</t>
        </is>
      </c>
      <c r="E26" s="88" t="inlineStr">
        <is>
          <t>YES · ~110 mi ≈ (borderline)
(Pikeville: ~89 mi)</t>
        </is>
      </c>
      <c r="F26" s="195" t="inlineStr">
        <is>
          <t>5,000+/wk (~28-32k/DAY)</t>
        </is>
      </c>
      <c r="G26" s="68" t="inlineStr">
        <is>
          <t>Yes</t>
        </is>
      </c>
      <c r="H26" s="68" t="inlineStr">
        <is>
          <t>USDA ✓</t>
        </is>
      </c>
      <c r="I26" s="68" t="inlineStr">
        <is>
          <t>2011 recall (undeclared dairy allergen); 2021-22 sanitation/welfare NRs (not a suspension). Est. M18079.</t>
        </is>
      </c>
      <c r="J26" s="68" t="inlineStr">
        <is>
          <t>FSIS export-certified (edible, general; documented exports). EU/APHIS-byproduct status unverified</t>
        </is>
      </c>
      <c r="K26" s="68" t="inlineStr">
        <is>
          <t>Industrial line-speed (~5,500 staff)</t>
        </is>
      </c>
      <c r="L26" s="68" t="inlineStr">
        <is>
          <t>No dedicated on-site rental noted</t>
        </is>
      </c>
      <c r="M26" s="68" t="inlineStr">
        <is>
          <t>No</t>
        </is>
      </c>
      <c r="N26" s="68" t="inlineStr">
        <is>
          <t>No</t>
        </is>
      </c>
      <c r="O26" s="68" t="inlineStr">
        <is>
          <t>—</t>
        </is>
      </c>
      <c r="P26" s="23" t="inlineStr">
        <is>
          <t>CAUTION</t>
        </is>
      </c>
      <c r="Q26" s="178" t="inlineStr">
        <is>
          <t>Back-pool — passes no current tier; see Fit and notes for what a call would need to change.</t>
        </is>
      </c>
      <c r="R26" s="179" t="inlineStr">
        <is>
          <t>—</t>
        </is>
      </c>
      <c r="S26" s="68" t="inlineStr">
        <is>
          <t>High
(study 8-03/05)</t>
        </is>
      </c>
      <c r="T26"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c r="U26" s="211" t="inlineStr">
        <is>
          <t>A-21</t>
        </is>
      </c>
      <c r="V26" s="210" t="inlineStr">
        <is>
          <t>—</t>
        </is>
      </c>
    </row>
    <row r="27" ht="58.6" customHeight="1" s="59">
      <c r="A27" s="4" t="inlineStr">
        <is>
          <t>Frank Corriher Beef and Sausage</t>
        </is>
      </c>
      <c r="B27" s="68" t="inlineStr">
        <is>
          <t>China Grove, NC (Rowan)</t>
        </is>
      </c>
      <c r="C27" s="68" t="inlineStr">
        <is>
          <t>TA — AMBIGUOUS record</t>
        </is>
      </c>
      <c r="D27" s="68" t="inlineStr">
        <is>
          <t>unknown</t>
        </is>
      </c>
      <c r="E27" s="88" t="inlineStr">
        <is>
          <t>YES · ~112 mi ≈ (borderline)
(Pikeville: ~187 mi)</t>
        </is>
      </c>
      <c r="F27" s="143" t="inlineStr">
        <is>
          <t>confirm</t>
        </is>
      </c>
      <c r="G27" s="68" t="inlineStr">
        <is>
          <t>Ambiguous — see notes</t>
        </is>
      </c>
      <c r="H27" s="68" t="inlineStr">
        <is>
          <t>USDA ✓ TA-21022 / M21022</t>
        </is>
      </c>
      <c r="I27" s="68" t="inlineStr">
        <is>
          <t>None found</t>
        </is>
      </c>
      <c r="J27" s="68" t="inlineStr">
        <is>
          <t>TA/federal number exists — verify</t>
        </is>
      </c>
      <c r="K27" s="68" t="inlineStr">
        <is>
          <t>None found</t>
        </is>
      </c>
      <c r="L27" s="68" t="inlineStr">
        <is>
          <t>unknown</t>
        </is>
      </c>
      <c r="M27" s="68" t="inlineStr">
        <is>
          <t>Unknown</t>
        </is>
      </c>
      <c r="N27" s="68" t="inlineStr">
        <is>
          <t>Unknown</t>
        </is>
      </c>
      <c r="O27" s="68" t="inlineStr">
        <is>
          <t>(704) 857-5519</t>
        </is>
      </c>
      <c r="P27" s="23" t="inlineStr">
        <is>
          <t>CAUTION</t>
        </is>
      </c>
      <c r="Q27" s="178" t="inlineStr">
        <is>
          <t>Back-pool — passes no current tier; see Fit and notes for what a call would need to change.</t>
        </is>
      </c>
      <c r="R27" s="179" t="inlineStr">
        <is>
          <t>—</t>
        </is>
      </c>
      <c r="S27" s="68" t="inlineStr">
        <is>
          <t>Low
(study 8-03/05)</t>
        </is>
      </c>
      <c r="T27" s="68" t="inlineStr">
        <is>
          <t>DATA ANOMALY: NCDA lists Activities='Processing' but populates Slaughter Species='C' — every other processing-only plant leaves that blank. Either a stale slaughter grant or a data error. Worth ONE phone call.</t>
        </is>
      </c>
      <c r="U27" s="211" t="inlineStr">
        <is>
          <t>A-22</t>
        </is>
      </c>
      <c r="V27" s="210" t="inlineStr">
        <is>
          <t>—</t>
        </is>
      </c>
    </row>
    <row r="28" ht="152.4" customHeight="1" s="59">
      <c r="A28" s="138" t="inlineStr">
        <is>
          <t>KC Farms Meats, LLC</t>
        </is>
      </c>
      <c r="B28" s="68" t="inlineStr">
        <is>
          <t>Ferrum, VA (Franklin Co.)</t>
        </is>
      </c>
      <c r="C28" s="68" t="inlineStr">
        <is>
          <t>USDA-inspected on-farm (Virginia) — also custom-exempt work</t>
        </is>
      </c>
      <c r="D28" s="68" t="inlineStr">
        <is>
          <t>&lt;19/wk (FSIS cat 1)
· HACCP Very Small (&lt;10 employees or &lt;$2.5M sales)
· hog kill CAPPED by NASS 2025: Virginia's 16 federal plants killed 7,841 hogs in the WHOLE year (≈150/wk statewide) — the FSIS band counts ALL species</t>
        </is>
      </c>
      <c r="E28" s="88" t="inlineStr">
        <is>
          <t>YES · ~117 mi (borderline)
(Pikeville: n/m)</t>
        </is>
      </c>
      <c r="F28" s="139" t="inlineStr">
        <is>
          <t>0-300/wk (&lt;19)</t>
        </is>
      </c>
      <c r="G28" s="68" t="inlineStr">
        <is>
          <t>MARKET + SOW flags (FSIS); own site markets beef</t>
        </is>
      </c>
      <c r="H28" s="68" t="inlineStr">
        <is>
          <t>USDA ✓ M1502
grant 2/13/2024</t>
        </is>
      </c>
      <c r="I28" s="25" t="inlineStr">
        <is>
          <t>None found (grant under 2 years old)</t>
        </is>
      </c>
      <c r="J28" s="68" t="inlineStr">
        <is>
          <t>Eligible (federal grant)</t>
        </is>
      </c>
      <c r="K28" s="68" t="inlineStr">
        <is>
          <t>No record; visit finding</t>
        </is>
      </c>
      <c r="L28" s="68" t="inlineStr">
        <is>
          <t>unknown — beef-first marketing</t>
        </is>
      </c>
      <c r="M28" s="68" t="inlineStr">
        <is>
          <t>pilot-scale only — cat 1; 117 road mi</t>
        </is>
      </c>
      <c r="N28" s="68" t="inlineStr">
        <is>
          <t>no</t>
        </is>
      </c>
      <c r="O28" s="68" t="inlineStr">
        <is>
          <t>540-365-2697 · 13963 Franklin Street, Ferrum, VA 24088</t>
        </is>
      </c>
      <c r="P28" s="140" t="inlineStr">
        <is>
          <t>WATCH</t>
        </is>
      </c>
      <c r="Q28" s="178" t="inlineStr">
        <is>
          <t>Beebop r2 low-priority lead: FSIS flags market + sow swine, but the company site emphasizes beef and the plant is cat 1 at 117 road miles. Only a one-question call (do you kill hogs at all).</t>
        </is>
      </c>
      <c r="R28" s="179" t="inlineStr">
        <is>
          <t>kcfarmsva.com/kc-farms-meats (Beebop r2)</t>
        </is>
      </c>
      <c r="S28" s="68" t="inlineStr">
        <is>
          <t>High (FSIS 9-03 + MPI)</t>
        </is>
      </c>
      <c r="T28" s="68" t="inlineStr">
        <is>
          <t>Added 2026-09-28 from the Beebop round-2 cross-check.</t>
        </is>
      </c>
      <c r="U28" s="211" t="inlineStr">
        <is>
          <t>A-23</t>
        </is>
      </c>
      <c r="V28" s="210" t="inlineStr">
        <is>
          <t>—</t>
        </is>
      </c>
    </row>
    <row r="29" ht="72" customHeight="1" s="59">
      <c r="A29" s="4" t="inlineStr">
        <is>
          <t>Cruse Meat Processing</t>
        </is>
      </c>
      <c r="B29" s="68" t="inlineStr">
        <is>
          <t>Concord, NC</t>
        </is>
      </c>
      <c r="C29" s="68" t="inlineStr">
        <is>
          <t>USDA (Talmadge-Aiken) TA-46354 slaughter + processing — market hogs only (FSIS)</t>
        </is>
      </c>
      <c r="D29" s="68" t="inlineStr">
        <is>
          <t>&lt;19/wk
(FSIS cat 1)
· HACCP Very Small (&lt;10 employees or &lt;$2.5M sales)</t>
        </is>
      </c>
      <c r="E29" s="88" t="inlineStr">
        <is>
          <t>YES · ~120 mi (borderline)
(Pikeville: ~168 mi)</t>
        </is>
      </c>
      <c r="F29" s="139" t="inlineStr">
        <is>
          <t>0-300/wk (&lt;19)</t>
        </is>
      </c>
      <c r="G29" s="68" t="inlineStr">
        <is>
          <t>MARKET only
(sow: No, roaster: No)</t>
        </is>
      </c>
      <c r="H29" s="68" t="inlineStr">
        <is>
          <t>USDA ✓ M46354</t>
        </is>
      </c>
      <c r="I29" s="68" t="inlineStr">
        <is>
          <t>None found in public sources</t>
        </is>
      </c>
      <c r="J29" s="68" t="inlineStr">
        <is>
          <t>Not on public export lists — verify</t>
        </is>
      </c>
      <c r="K29" s="68" t="inlineStr">
        <is>
          <t>Nothing published either way.</t>
        </is>
      </c>
      <c r="L29" s="68" t="inlineStr">
        <is>
          <t>Plausible; skin-and-scald</t>
        </is>
      </c>
      <c r="M29" s="68" t="inlineStr">
        <is>
          <t>Plausible</t>
        </is>
      </c>
      <c r="N29" s="68" t="inlineStr">
        <is>
          <t>Plausible</t>
        </is>
      </c>
      <c r="O29" s="68" t="inlineStr">
        <is>
          <t>(704) 786-8616</t>
        </is>
      </c>
      <c r="P29" s="23" t="inlineStr">
        <is>
          <t>POSSIBLE</t>
        </is>
      </c>
      <c r="Q29" s="178" t="inlineStr">
        <is>
          <t>Back-pool — passes no current tier; see Fit and notes for what a call would need to change.</t>
        </is>
      </c>
      <c r="R29" s="179" t="inlineStr">
        <is>
          <t>—</t>
        </is>
      </c>
      <c r="S29" s="68" t="inlineStr">
        <is>
          <t>High
(FSIS+MPI 8-06)</t>
        </is>
      </c>
      <c r="T29"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c r="U29" s="211" t="inlineStr">
        <is>
          <t>A-24</t>
        </is>
      </c>
      <c r="V29" s="210" t="inlineStr">
        <is>
          <t>—</t>
        </is>
      </c>
    </row>
    <row r="30" ht="85.40000000000001" customHeight="1" s="59">
      <c r="A30" s="4" t="inlineStr">
        <is>
          <t>Riverside Meats</t>
        </is>
      </c>
      <c r="B30" s="68" t="inlineStr">
        <is>
          <t>Trenton, NC</t>
        </is>
      </c>
      <c r="C30" s="68" t="inlineStr">
        <is>
          <t>CUSTOM-EXEMPT</t>
        </is>
      </c>
      <c r="D30" s="68" t="inlineStr">
        <is>
          <t>&lt;19/wk
(FSIS cat 1)
· HACCP Very Small (&lt;10 employees or &lt;$2.5M sales)</t>
        </is>
      </c>
      <c r="E30" s="110" t="inlineStr">
        <is>
          <t>NO · ~129 mi ≈ (borderline)
(Pikeville: ~57 mi)</t>
        </is>
      </c>
      <c r="F30" s="139" t="inlineStr">
        <is>
          <t>0-300/wk (&lt;19)</t>
        </is>
      </c>
      <c r="G30" s="68" t="inlineStr">
        <is>
          <t>MARKET + SOW
(roaster: No, boar/stag: No)</t>
        </is>
      </c>
      <c r="H30" s="68" t="inlineStr">
        <is>
          <t>USDA ✓ M20981 + P20981
('custom-exempt' is REFUTED —
active federal grant)</t>
        </is>
      </c>
      <c r="I30" s="68" t="inlineStr">
        <is>
          <t>None found in public sources</t>
        </is>
      </c>
      <c r="J30" s="68" t="inlineStr">
        <is>
          <t>Custom-exempt; not export-eligible as-is — verify</t>
        </is>
      </c>
      <c r="K30" s="68" t="inlineStr">
        <is>
          <t>AWA (welfare signal)</t>
        </is>
      </c>
      <c r="L30" s="68" t="inlineStr">
        <is>
          <t>Limited (exempt status)</t>
        </is>
      </c>
      <c r="M30" s="68" t="inlineStr">
        <is>
          <t>Limited</t>
        </is>
      </c>
      <c r="N30" s="68" t="inlineStr">
        <is>
          <t>Limited</t>
        </is>
      </c>
      <c r="O30" s="68" t="inlineStr">
        <is>
          <t>(252) 448-4047
riversidemeatsnc.com</t>
        </is>
      </c>
      <c r="P30" s="23" t="inlineStr">
        <is>
          <t>CAUTION</t>
        </is>
      </c>
      <c r="Q30" s="178" t="inlineStr">
        <is>
          <t>Back-pool — passes no current tier; see Fit and notes for what a call would need to change.</t>
        </is>
      </c>
      <c r="R30" s="179" t="inlineStr">
        <is>
          <t>—</t>
        </is>
      </c>
      <c r="S30" s="68" t="inlineStr">
        <is>
          <t>Med-High
(FSIS+NCDA 8-17)</t>
        </is>
      </c>
      <c r="T30"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c r="U30" s="211" t="inlineStr">
        <is>
          <t>A-25</t>
        </is>
      </c>
      <c r="V30" s="210" t="inlineStr">
        <is>
          <t>—</t>
        </is>
      </c>
    </row>
    <row r="31" ht="19.7" customHeight="1" s="59">
      <c r="A31" s="206" t="inlineStr">
        <is>
          <t>B · ELIGIBLE BUT FARTHER OUT — NC beyond the radius, SC, TN, VA; Model B-T only; sorted by distance</t>
        </is>
      </c>
      <c r="B31" s="171" t="n"/>
      <c r="C31" s="171" t="n"/>
      <c r="D31" s="171" t="n"/>
      <c r="E31" s="171" t="n"/>
      <c r="F31" s="171" t="n"/>
      <c r="G31" s="171" t="n"/>
      <c r="H31" s="171" t="n"/>
      <c r="I31" s="171" t="n"/>
      <c r="J31" s="171" t="n"/>
      <c r="K31" s="171" t="n"/>
      <c r="L31" s="171" t="n"/>
      <c r="M31" s="171" t="n"/>
      <c r="N31" s="171" t="n"/>
      <c r="O31" s="171" t="n"/>
      <c r="P31" s="171" t="n"/>
      <c r="Q31" s="171" t="n"/>
      <c r="R31" s="171" t="n"/>
      <c r="S31" s="171" t="n"/>
      <c r="T31" s="171" t="n"/>
      <c r="U31" s="171" t="n"/>
      <c r="V31" s="172" t="n"/>
    </row>
    <row r="32" ht="72" customHeight="1" s="59">
      <c r="A32" s="146" t="inlineStr">
        <is>
          <t>SCR International Corp.</t>
        </is>
      </c>
      <c r="B32" s="83" t="inlineStr">
        <is>
          <t>Fairmont, NC (Robeson)</t>
        </is>
      </c>
      <c r="C32" s="83" t="inlineStr">
        <is>
          <t>USDA federal (T-A) whole-pig ROASTER house</t>
        </is>
      </c>
      <c r="D32" s="83" t="inlineStr">
        <is>
          <t>~19-194/wk
(FSIS cat 2)
· HACCP Very Small (&lt;10 employees or &lt;$2.5M sales)</t>
        </is>
      </c>
      <c r="E32" s="110" t="inlineStr">
        <is>
          <t>NO · ~131 mi ≈
(Pikeville: ~114 mi)</t>
        </is>
      </c>
      <c r="F32" s="139" t="inlineStr">
        <is>
          <t>0-300/wk (cat-2 ≤194)</t>
        </is>
      </c>
      <c r="G32" s="134" t="inlineStr">
        <is>
          <t>MARKET + SOW flags —
reality: roasters 10-110 lb
for the lechon/ethnic trade</t>
        </is>
      </c>
      <c r="H32" s="83" t="inlineStr">
        <is>
          <t>USDA ✓ M9199 + P9199
(TA-9199 in the state TA directory)</t>
        </is>
      </c>
      <c r="I32" s="83" t="inlineStr">
        <is>
          <t>None found</t>
        </is>
      </c>
      <c r="J32" s="83" t="inlineStr">
        <is>
          <t>Federal grant → harvest-path eligible in principle</t>
        </is>
      </c>
      <c r="K32" s="83" t="inlineStr">
        <is>
          <t>None found (no FTP documentation, no HH enforcement rows)</t>
        </is>
      </c>
      <c r="L32" s="83" t="inlineStr">
        <is>
          <t>WEAK — roasters dressed whole; small-pig anatomy wrong for surgical models; sow flag likely incidental</t>
        </is>
      </c>
      <c r="M32" s="83" t="inlineStr">
        <is>
          <t>No upside vs Parks</t>
        </is>
      </c>
      <c r="N32" s="83" t="inlineStr">
        <is>
          <t>Duplicates Parks' niche</t>
        </is>
      </c>
      <c r="O32" s="83" t="inlineStr">
        <is>
          <t>(910) 628-8267
alt (917) 698-3312
csmeatinternational@gmail.com</t>
        </is>
      </c>
      <c r="P32" s="140" t="inlineStr">
        <is>
          <t>CAUTION</t>
        </is>
      </c>
      <c r="Q32" s="178" t="inlineStr">
        <is>
          <t>OUT — a second Parks (roaster/lechon house) with no upside, ~131 road mi from Durham (114 from Pikeville), dead website.</t>
        </is>
      </c>
      <c r="R32" s="179" t="inlineStr">
        <is>
          <t>srcinternationalcorp.com (DNS-dead)</t>
        </is>
      </c>
      <c r="S32" s="83" t="inlineStr">
        <is>
          <t>Med
(FSIS+NCDA 8-17)</t>
        </is>
      </c>
      <c r="T32"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c r="U32" s="211" t="inlineStr">
        <is>
          <t>B-01</t>
        </is>
      </c>
      <c r="V32" s="141" t="inlineStr">
        <is>
          <t>Tier X
A 2.5 / B 2.6</t>
        </is>
      </c>
    </row>
    <row r="33" ht="72" customHeight="1" s="59">
      <c r="A33" s="4" t="inlineStr">
        <is>
          <t>Sessoms Packing Company</t>
        </is>
      </c>
      <c r="B33" s="68" t="inlineStr">
        <is>
          <t>Ahoskie, NC</t>
        </is>
      </c>
      <c r="C33" s="68" t="inlineStr">
        <is>
          <t>Slaughter (probable USDA)</t>
        </is>
      </c>
      <c r="D33" s="68" t="inlineStr">
        <is>
          <t>unknown</t>
        </is>
      </c>
      <c r="E33" s="110" t="inlineStr">
        <is>
          <t>NO · ~132 mi ≈
(Pikeville: ~95 mi)</t>
        </is>
      </c>
      <c r="F33" s="143" t="inlineStr">
        <is>
          <t>confirm</t>
        </is>
      </c>
      <c r="G33" s="68" t="inlineStr">
        <is>
          <t>Yes</t>
        </is>
      </c>
      <c r="H33" s="68" t="inlineStr">
        <is>
          <t>NOT in the FSIS MPI directory
('probable USDA' is WITHDRAWN)</t>
        </is>
      </c>
      <c r="I33" s="68" t="inlineStr">
        <is>
          <t>None found in public sources</t>
        </is>
      </c>
      <c r="J33" s="68" t="inlineStr">
        <is>
          <t>Not on public export lists — verify</t>
        </is>
      </c>
      <c r="K33" s="68" t="inlineStr">
        <is>
          <t>unknown</t>
        </is>
      </c>
      <c r="L33" s="68" t="inlineStr">
        <is>
          <t>Plausible; whole-hog (country ham)</t>
        </is>
      </c>
      <c r="M33" s="68" t="inlineStr">
        <is>
          <t>Plausible</t>
        </is>
      </c>
      <c r="N33" s="68" t="inlineStr">
        <is>
          <t>Plausible</t>
        </is>
      </c>
      <c r="O33" s="68" t="inlineStr">
        <is>
          <t>(252) 332-2978</t>
        </is>
      </c>
      <c r="P33" s="140" t="inlineStr">
        <is>
          <t>CAUTION</t>
        </is>
      </c>
      <c r="Q33" s="178" t="inlineStr">
        <is>
          <t>Back-pool — passes no current tier; see Fit and notes for what a call would need to change.</t>
        </is>
      </c>
      <c r="R33" s="179" t="inlineStr">
        <is>
          <t>—</t>
        </is>
      </c>
      <c r="S33" s="68" t="inlineStr">
        <is>
          <t>Med-High
(FSIS+MPI 8-06)</t>
        </is>
      </c>
      <c r="T33"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c r="U33" s="211" t="inlineStr">
        <is>
          <t>B-02</t>
        </is>
      </c>
      <c r="V33" s="210" t="inlineStr">
        <is>
          <t>—</t>
        </is>
      </c>
    </row>
    <row r="34" ht="152.4" customHeight="1" s="59">
      <c r="A34" s="138" t="inlineStr">
        <is>
          <t>Wilkes Abattoir, LLC dba Apple Brandy Prime Cuts
(formerly Thomas Brothers)</t>
        </is>
      </c>
      <c r="B34" s="68" t="inlineStr">
        <is>
          <t>North Wilkesboro, NC</t>
        </is>
      </c>
      <c r="C34" s="68" t="inlineStr">
        <is>
          <t>USDA (Talmadge-Aiken) TA-19511 multi-species slaughter + processing; retail as Apple Brandy Prime Cuts</t>
        </is>
      </c>
      <c r="D34" s="68" t="inlineStr">
        <is>
          <t>~19-194/wk
(FSIS cat 2 ceiling)
· HACCP Very Small (&lt;10 employees or &lt;$2.5M sales)</t>
        </is>
      </c>
      <c r="E34" s="110" t="inlineStr">
        <is>
          <t>NO · ~134 mi ≈
(Pikeville: ~209 mi)</t>
        </is>
      </c>
      <c r="F34" s="139" t="inlineStr">
        <is>
          <t>0-300/wk
(est. 10-95 hogs)</t>
        </is>
      </c>
      <c r="G34" s="68" t="inlineStr">
        <is>
          <t>⚠ BOAR/STAG flagged (FSIS)
MARKET + SOW + boar/stag</t>
        </is>
      </c>
      <c r="H34" s="68" t="inlineStr">
        <is>
          <t>USDA ✓ M19511 + P19511
(Wilkes Abattoir — SLAUGHTER-ONLY)</t>
        </is>
      </c>
      <c r="I34" s="25" t="inlineStr">
        <is>
          <t>⚠ REPEAT humane-handling suspensions 2009, 2015, 2018 (AWI list; Est. 19511M)</t>
        </is>
      </c>
      <c r="J34" s="68" t="inlineStr">
        <is>
          <t>Not on public export lists — verify</t>
        </is>
      </c>
      <c r="K34" s="68" t="inlineStr">
        <is>
          <t>Prior-owner welfare history (see enforcement column); current owner Seth Church — a visit finding.</t>
        </is>
      </c>
      <c r="L34" s="68" t="inlineStr">
        <is>
          <t>Custom abattoir serving farmers/licensed handlers — offal return is standard practice in this class (undocumented). Sow + boar flags = large-frame animals come through.</t>
        </is>
      </c>
      <c r="M34" s="68" t="inlineStr">
        <is>
          <t>Plausible</t>
        </is>
      </c>
      <c r="N34" s="68" t="inlineStr">
        <is>
          <t>Plausible</t>
        </is>
      </c>
      <c r="O34" s="68" t="inlineStr">
        <is>
          <t>CONTACT: Seth Church (owner; NCDA county directory + Wilkes EDC) · plant 336-667-1346 · retail 336-990-9310
(336) 667-1346
Owner: Seth Church
abprimecuts.com</t>
        </is>
      </c>
      <c r="P34" s="23" t="inlineStr">
        <is>
          <t>CAUTION</t>
        </is>
      </c>
      <c r="Q34" s="178" t="inlineStr">
        <is>
          <t>BOAR/STAG RULE 9-28: FSIS flags boar/stag slaughter at this plant — AVOID unless the call confirms boars/stags are never run with our hogs (gate G4). TIER 3 — highest hog share in the west (~half the kill), real cut-to-spec crew; 134 road mi from Durham (209 from Pikeville) and a prior-owner welfare history → B-T only.</t>
        </is>
      </c>
      <c r="R34" s="179" t="inlineStr">
        <is>
          <t>abprimecuts.com
facebook.com/p/AB-Prime-Cuts · abprimecuts.com · Visit NC Farms · Wilkes Chamber (verified 2026-09-30)</t>
        </is>
      </c>
      <c r="S34" s="68" t="inlineStr">
        <is>
          <t>High
(FSIS+NCDA 8-17)</t>
        </is>
      </c>
      <c r="T34"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
SOCIAL/OTHER 9-30: Retail shop at 106 Chestnut St, plant at 347 Thomas St. County directory: slaughter calves, cattle, goats, hogs, lambs, ratites, sheep; sells inside and outside NC.</t>
        </is>
      </c>
      <c r="U34" s="211" t="inlineStr">
        <is>
          <t>B-03</t>
        </is>
      </c>
      <c r="V34" s="143" t="inlineStr">
        <is>
          <t>Tier 3
A 3.0 / B 3.1</t>
        </is>
      </c>
    </row>
    <row r="35" ht="152.4" customHeight="1" s="59">
      <c r="A35" s="4" t="inlineStr">
        <is>
          <t>Acre Station Meat Farm</t>
        </is>
      </c>
      <c r="B35" s="68" t="inlineStr">
        <is>
          <t>Pinetown, NC</t>
        </is>
      </c>
      <c r="C35" s="68" t="inlineStr">
        <is>
          <t>USDA-equivalent (Talmadge-Aiken)</t>
        </is>
      </c>
      <c r="D35" s="68" t="inlineStr">
        <is>
          <t>~150 hogs/wk + 6-12 cattle
(NMPAN/Firsthand profiles, dated)
FSIS cat 2 ceiling ~194/wk all species
· HACCP Very Small (&lt;10 employees or &lt;$2.5M sales)</t>
        </is>
      </c>
      <c r="E35" s="88" t="inlineStr">
        <is>
          <t>NO · ~141 mi
(Pikeville: ~88 mi)</t>
        </is>
      </c>
      <c r="F35" s="139" t="inlineStr">
        <is>
          <t>0-300/wk (~150)</t>
        </is>
      </c>
      <c r="G35" s="68" t="inlineStr">
        <is>
          <t>MARKET + SOW
(roaster: No, boar/stag: No)</t>
        </is>
      </c>
      <c r="H35" s="68" t="inlineStr">
        <is>
          <t>USDA ✓ M19904 + P19904
(active federal grant)</t>
        </is>
      </c>
      <c r="I35" s="68" t="inlineStr">
        <is>
          <t>None found (Est. M19904)</t>
        </is>
      </c>
      <c r="J35" s="68" t="inlineStr">
        <is>
          <t>Not on public export lists — verify w/ APHIS VS</t>
        </is>
      </c>
      <c r="K35" s="68" t="inlineStr">
        <is>
          <t>AWA (Animal Welfare Approved) certified; family farm</t>
        </is>
      </c>
      <c r="L35" s="68" t="inlineStr">
        <is>
          <t>Own kill floor, slow line, sows on the grant — mechanically plausible, but hogs share the week with cattle/sheep/goats, so dedicated swine-organ days would be limited. Hog kill fee $0.19/lb dressed + $0.84/lb processing (own site). PLANT-OWNED ANIMALS: the company buys its own slow-grower hogs from local farmers (site), so organ ownership is the plant's — no farmer-consent problem.</t>
        </is>
      </c>
      <c r="M35" s="68" t="inlineStr">
        <is>
          <t>Plausible</t>
        </is>
      </c>
      <c r="N35" s="68" t="inlineStr">
        <is>
          <t>Plausible</t>
        </is>
      </c>
      <c r="O35" s="68" t="inlineStr">
        <is>
          <t>CONTACT: Richard Huettmann (NCDA county directory) · 252-927-3700 (directory) / 252-927-3489 (site)
(252) 927-3700
acrestationmeatfarm.com</t>
        </is>
      </c>
      <c r="P35" s="23" t="inlineStr">
        <is>
          <t>POSSIBLE</t>
        </is>
      </c>
      <c r="Q35" s="178" t="inlineStr">
        <is>
          <t>TIER 2 — Nahunta-like family quality with sow class and published kill fees; B-T preferred at ~2 hr out. Volume shared with other species.</t>
        </is>
      </c>
      <c r="R35" s="179" t="inlineStr">
        <is>
          <t>acrestationmeatfarm.com
facebook.com/AcreStationMeatFarm (9,200+ likes) · Yelp 11 reviews · NMPAN profile (80 hogs/day capacity) · LocalHarvest (verified 2026-09-30)</t>
        </is>
      </c>
      <c r="S35" s="68" t="inlineStr">
        <is>
          <t>High
(FSIS+NCDA 8-17)</t>
        </is>
      </c>
      <c r="T35"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
SOCIAL/OTHER 9-30: BUYS ITS OWN 'slow grower' hogs from local farmers — plant-owned animals, so the organs are the plant's to sell (no farmer-consent problem). Reviews praise cleanliness and expert butchers. County directory: slaughter calves, cattle, hogs, lambs; curing/smoking.</t>
        </is>
      </c>
      <c r="U35" s="211" t="inlineStr">
        <is>
          <t>B-04</t>
        </is>
      </c>
      <c r="V35" s="140" t="inlineStr">
        <is>
          <t>Tier 2
A 3.2 / B 3.7</t>
        </is>
      </c>
    </row>
    <row r="36" ht="72" customHeight="1" s="59">
      <c r="A36" s="4" t="inlineStr">
        <is>
          <t>Wayne Mays Meat Processing</t>
        </is>
      </c>
      <c r="B36" s="68" t="inlineStr">
        <is>
          <t>Taylorsville, NC</t>
        </is>
      </c>
      <c r="C36" s="68" t="inlineStr">
        <is>
          <t>USDA-inspected</t>
        </is>
      </c>
      <c r="D36" s="68" t="inlineStr">
        <is>
          <t>&lt;19/wk
(FSIS cat 1)
· HACCP Small (10-499 employees)</t>
        </is>
      </c>
      <c r="E36" s="110" t="inlineStr">
        <is>
          <t>NO · ~142 mi ≈
(Pikeville: ~218 mi)</t>
        </is>
      </c>
      <c r="F36" s="139" t="inlineStr">
        <is>
          <t>0-300/wk (&lt;19)</t>
        </is>
      </c>
      <c r="G36" s="68" t="inlineStr">
        <is>
          <t>⚠ BOAR/STAG flagged (FSIS)
MARKET + SOW + boar/stag</t>
        </is>
      </c>
      <c r="H36" s="68" t="inlineStr">
        <is>
          <t>USDA ✓ M21848 + P21848 + V21848</t>
        </is>
      </c>
      <c r="I36" s="25" t="inlineStr">
        <is>
          <t>⚠ Humane-handling NOS ~Aug 2020 (Est. M21848); PETA-documented pig shot 3× (2024). Recurring.</t>
        </is>
      </c>
      <c r="J36" s="68" t="inlineStr">
        <is>
          <t>Not on public export lists — verify</t>
        </is>
      </c>
      <c r="K36" s="68" t="inlineStr">
        <is>
          <t>AWA + Certified Organic — strong welfare signals</t>
        </is>
      </c>
      <c r="L36" s="68" t="inlineStr">
        <is>
          <t>Plausible</t>
        </is>
      </c>
      <c r="M36" s="68" t="inlineStr">
        <is>
          <t>Plausible</t>
        </is>
      </c>
      <c r="N36" s="68" t="inlineStr">
        <is>
          <t>Plausible</t>
        </is>
      </c>
      <c r="O36" s="68" t="inlineStr">
        <is>
          <t>(828) 634-2034
maysmeats.net</t>
        </is>
      </c>
      <c r="P36" s="23" t="inlineStr">
        <is>
          <t>CAUTION</t>
        </is>
      </c>
      <c r="Q36" s="178" t="inlineStr">
        <is>
          <t>BOAR/STAG RULE 9-28: FSIS flags boar/stag slaughter at this plant — AVOID unless the call confirms boars/stags are never run with our hogs (gate G4). Back-pool — passes no current tier; see Fit and notes for what a call would need to change.</t>
        </is>
      </c>
      <c r="R36" s="179" t="inlineStr">
        <is>
          <t>—</t>
        </is>
      </c>
      <c r="S36" s="68" t="inlineStr">
        <is>
          <t>High
(FSIS+MPI 8-06)</t>
        </is>
      </c>
      <c r="T36"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c r="U36" s="211" t="inlineStr">
        <is>
          <t>B-05</t>
        </is>
      </c>
      <c r="V36" s="210" t="inlineStr">
        <is>
          <t>—</t>
        </is>
      </c>
    </row>
    <row r="37" ht="139" customHeight="1" s="59">
      <c r="A37" s="4" t="inlineStr">
        <is>
          <t>Price's Custom Meat Cutting &amp; Abattoir</t>
        </is>
      </c>
      <c r="B37" s="68" t="inlineStr">
        <is>
          <t>Hickory, NC (Burke)</t>
        </is>
      </c>
      <c r="C37" s="68" t="inlineStr">
        <is>
          <t>NC STATE-inspected slaughter + processing</t>
        </is>
      </c>
      <c r="D37" s="68" t="inlineStr">
        <is>
          <t>unknown — NO public figure exists for NC state plants (NASS withholds NC hog totals; NCDA publishes none)
· inference by business type: hog-only packer / sausage maker — plausibly 100-300/wk (Nahunta-type); ask</t>
        </is>
      </c>
      <c r="E37" s="110" t="inlineStr">
        <is>
          <t>NO · ~150 mi ≈
(Pikeville: ~226 mi)</t>
        </is>
      </c>
      <c r="F37" s="139" t="inlineStr">
        <is>
          <t>0-300/wk (est. —
2 kill days/wk)</t>
        </is>
      </c>
      <c r="G37" s="68" t="inlineStr">
        <is>
          <t>Yes — SWINE-ONLY
(boar/stag: ask — the NCDA species code does not distinguish boars)</t>
        </is>
      </c>
      <c r="H37" s="68" t="inlineStr">
        <is>
          <t>STATE only P-307
(NOT USDA — intrastate)</t>
        </is>
      </c>
      <c r="I37" s="68" t="inlineStr">
        <is>
          <t>State-inspected — not in FSIS data by construction</t>
        </is>
      </c>
      <c r="J37" s="68" t="inlineStr">
        <is>
          <t>State-inspected — intrastate NC only</t>
        </is>
      </c>
      <c r="K37" s="68" t="inlineStr">
        <is>
          <t>None found (state plant — not in FSIS data)</t>
        </is>
      </c>
      <c r="L37"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37" s="68" t="inlineStr">
        <is>
          <t>Plausible</t>
        </is>
      </c>
      <c r="N37" s="68" t="inlineStr">
        <is>
          <t>Implausible</t>
        </is>
      </c>
      <c r="O37" s="68" t="inlineStr">
        <is>
          <t>CONTACT: Lee Kong (contact per Yahoo Local) · 828-397-5150
(828) 381-8978 (NCDA&amp;CS 2026-08-10)
alt (828) 397-5150
8454 Price Meat Cutting Rd, Hickory</t>
        </is>
      </c>
      <c r="P37" s="23" t="inlineStr">
        <is>
          <t>POSSIBLE</t>
        </is>
      </c>
      <c r="Q37" s="178" t="inlineStr">
        <is>
          <t>TIER 3 — swine-only state floor, fixed Mon/Wed kill days, hand-scrape skin preservation; western-crew play.</t>
        </is>
      </c>
      <c r="R37" s="179" t="inlineStr">
        <is>
          <t>no website — Facebook page; phone (828) 381-8978
facebook.com/p/Prices-Custom-Meat-Cutting (782 likes) · BBB · Yelp · Tripadvisor (verified 2026-09-30)</t>
        </is>
      </c>
      <c r="S37" s="68" t="inlineStr">
        <is>
          <t>Med-High
(FSIS+NCDA 8-17)</t>
        </is>
      </c>
      <c r="T37"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
SOCIAL/OTHER 9-30: Founded 1994; family-owned; hours M-W 9-6, Th 8:30-5:30, F 9-6, Sat 8:30-5:30. A reviewer notes hogs processed by hand with 'excellent service'.</t>
        </is>
      </c>
      <c r="U37" s="211" t="inlineStr">
        <is>
          <t>B-06</t>
        </is>
      </c>
      <c r="V37" s="143" t="inlineStr">
        <is>
          <t>Tier 3
A 2.8 / B 2.8</t>
        </is>
      </c>
    </row>
    <row r="38" ht="139" customHeight="1" s="59">
      <c r="A38" s="4" t="inlineStr">
        <is>
          <t>Caldwell Meat Processing Co.</t>
        </is>
      </c>
      <c r="B38" s="68" t="inlineStr">
        <is>
          <t>Maiden, NC (Lincoln)</t>
        </is>
      </c>
      <c r="C38" s="68" t="inlineStr">
        <is>
          <t>NC STATE-inspected slaughter + processing</t>
        </is>
      </c>
      <c r="D38" s="68" t="inlineStr">
        <is>
          <t>unknown — NO public figure exists for NC state plants (NASS withholds NC hog totals; NCDA publishes none)
· inference by business type: hog-only packer / sausage maker — plausibly 100-300/wk (Nahunta-type); ask</t>
        </is>
      </c>
      <c r="E38" s="110" t="inlineStr">
        <is>
          <t>NO · ~152 mi ≈
(Pikeville: ~227 mi)</t>
        </is>
      </c>
      <c r="F38" s="143" t="inlineStr">
        <is>
          <t>confirm
(state — no volume published)</t>
        </is>
      </c>
      <c r="G38" s="68" t="inlineStr">
        <is>
          <t>Yes — SWINE-ONLY
(boar/stag: ask — the NCDA species code does not distinguish boars)</t>
        </is>
      </c>
      <c r="H38" s="68" t="inlineStr">
        <is>
          <t>STATE only P-312
(NOT USDA — intrastate)</t>
        </is>
      </c>
      <c r="I38" s="68" t="inlineStr">
        <is>
          <t>State-inspected — never appears in FSIS data; absence is meaningless. Check NCDA state records.</t>
        </is>
      </c>
      <c r="J38" s="68" t="inlineStr">
        <is>
          <t>State-inspected — intrastate NC only; not export eligible as edible product</t>
        </is>
      </c>
      <c r="K38" s="68" t="inlineStr">
        <is>
          <t>None found (state plants never appear in FSIS data — absence is meaningless here) BBB: not rated. One customer allegation (missing cuts incl. organ meats, 'never made right') — an individual, unverified complaint, not an inspection finding; a discipline question for any Model B-T arrangement.</t>
        </is>
      </c>
      <c r="L38" s="68" t="inlineStr">
        <is>
          <t>Hog-ONLY kill floor — every kill day is a hog day (the Nahunta structural pattern). Offal policy unverified.</t>
        </is>
      </c>
      <c r="M38" s="68" t="inlineStr">
        <is>
          <t>Plausible</t>
        </is>
      </c>
      <c r="N38" s="68" t="inlineStr">
        <is>
          <t>Implausible (state inspection blocks interstate edible movement)</t>
        </is>
      </c>
      <c r="O38" s="68" t="inlineStr">
        <is>
          <t>CONTACT: Kevin Caldwell (owner; BBB) · 828-428-8833
(828) 428-8833</t>
        </is>
      </c>
      <c r="P38" s="23" t="inlineStr">
        <is>
          <t>POSSIBLE</t>
        </is>
      </c>
      <c r="Q38" s="178" t="inlineStr">
        <is>
          <t>TIER 3 — swine-only state floor (Nahunta's structure) near Charlotte; park until a western crew exists, then visit first.</t>
        </is>
      </c>
      <c r="R38" s="179" t="inlineStr">
        <is>
          <t>no website — Facebook page; phone (828) 428-8833
facebook.com/p/Caldwells-Meat · BBB · Yelp · Tripadvisor (verified 2026-09-30)</t>
        </is>
      </c>
      <c r="S38" s="68" t="inlineStr">
        <is>
          <t>Med-High
(FSIS+NCDA 8-17)</t>
        </is>
      </c>
      <c r="T38"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
SOCIAL/OTHER 9-30: Since 1968/69. MIXED REVIEWS: missing requested items, 'forgotten organ meats', a promise to 'make it right' never kept — a process-discipline caution for any Model B-T arrangement. One rave for the sausage.</t>
        </is>
      </c>
      <c r="U38" s="211" t="inlineStr">
        <is>
          <t>B-07</t>
        </is>
      </c>
      <c r="V38" s="143" t="inlineStr">
        <is>
          <t>Tier 3
A 2.8 / B 2.8</t>
        </is>
      </c>
    </row>
    <row r="39" ht="139" customHeight="1" s="59">
      <c r="A39" s="146" t="inlineStr">
        <is>
          <t>Crawley's Abattoir</t>
        </is>
      </c>
      <c r="B39" s="83" t="inlineStr">
        <is>
          <t>Morganton, NC (Burke)</t>
        </is>
      </c>
      <c r="C39" s="83" t="inlineStr">
        <is>
          <t>NC STATE-inspected slaughter + processing</t>
        </is>
      </c>
      <c r="D39" s="83" t="inlineStr">
        <is>
          <t>unknown — NO public figure exists for NC state plants (NASS withholds NC hog totals; NCDA publishes none)
· inference by business type: multi-species custom / retail plant — typically 10-100 hogs/wk; call question 2 decides</t>
        </is>
      </c>
      <c r="E39" s="110" t="inlineStr">
        <is>
          <t>NO · ~170 mi ≈
(Pikeville: ~245 mi)</t>
        </is>
      </c>
      <c r="F39" s="143" t="inlineStr">
        <is>
          <t>confirm
(state — no volume published)</t>
        </is>
      </c>
      <c r="G39" s="134" t="inlineStr">
        <is>
          <t>HOGS + goats/sheep
(state species C, D, E)
(boar/stag: ask — the NCDA species code does not distinguish boars)</t>
        </is>
      </c>
      <c r="H39" s="83" t="inlineStr">
        <is>
          <t>STATE ✓ P-101
(NC state — APHIS-equivalent
for our harvest path)</t>
        </is>
      </c>
      <c r="I39" s="83" t="inlineStr">
        <is>
          <t>None found (state plants sit outside FSIS reporting)</t>
        </is>
      </c>
      <c r="J39" s="83" t="inlineStr">
        <is>
          <t>NC state inspection = APHIS-accepted equivalent when WE harvest</t>
        </is>
      </c>
      <c r="K39" s="83" t="inlineStr">
        <is>
          <t>Nothing published either way.</t>
        </is>
      </c>
      <c r="L39" s="83" t="inlineStr">
        <is>
          <t>Plausible-untested</t>
        </is>
      </c>
      <c r="M39" s="83" t="inlineStr">
        <is>
          <t>Western-crew / Model B only (distance)</t>
        </is>
      </c>
      <c r="N39" s="83" t="inlineStr">
        <is>
          <t>Plausible</t>
        </is>
      </c>
      <c r="O39" s="83" t="inlineStr">
        <is>
          <t>CONTACT: Xa Her (NCDA county directory) · 828-584-6356
(828) 584-6356</t>
        </is>
      </c>
      <c r="P39" s="140" t="inlineStr">
        <is>
          <t>POSSIBLE</t>
        </is>
      </c>
      <c r="Q39" s="178" t="inlineStr">
        <is>
          <t>Back-pool — passes no current tier; see Fit and notes for what a call would need to change.</t>
        </is>
      </c>
      <c r="R39" s="179" t="inlineStr">
        <is>
          <t>—
Butcher Bud 4.9/5 from 26 reviews · BBB · Yahoo Local · Facebook (specials by FB/e-mail) (verified 2026-09-30)</t>
        </is>
      </c>
      <c r="S39" s="83" t="inlineStr">
        <is>
          <t>Low-Med
(FSIS+NCDA 8-17)</t>
        </is>
      </c>
      <c r="T39"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
SOCIAL/OTHER 9-30: 32 years in business; 'doing business with Crawley's for over 12 years… top notch'. County directory: slaughter goats, hogs, lambs, sheep; NO processing; sells inside NC only.</t>
        </is>
      </c>
      <c r="U39" s="211" t="inlineStr">
        <is>
          <t>B-08</t>
        </is>
      </c>
      <c r="V39" s="210" t="inlineStr">
        <is>
          <t>—</t>
        </is>
      </c>
    </row>
    <row r="40" ht="98.8" customHeight="1" s="59">
      <c r="A40" s="138" t="inlineStr">
        <is>
          <t>Hemingway Locker Plant, LLC</t>
        </is>
      </c>
      <c r="B40" s="68" t="inlineStr">
        <is>
          <t>Hemingway, SC (Williamsburg)</t>
        </is>
      </c>
      <c r="C40" s="68" t="inlineStr">
        <is>
          <t>USDA federal locker plant (slaughter + processing)</t>
        </is>
      </c>
      <c r="D40" s="68" t="inlineStr">
        <is>
          <t>19-194/wk (FSIS cat 2)
· shares South Carolina's 14,070 federal hogs/yr (NASS 2025) with 7 other plants — well under ~270/wk
· HACCP Very Small</t>
        </is>
      </c>
      <c r="E40" s="110" t="inlineStr">
        <is>
          <t>NO · ~201 mi ≈
(Pikeville: ~180 mi)</t>
        </is>
      </c>
      <c r="F40" s="139" t="inlineStr">
        <is>
          <t>0-300/wk (cat-2 ≤194)</t>
        </is>
      </c>
      <c r="G40" s="68" t="inlineStr">
        <is>
          <t>MARKET hogs</t>
        </is>
      </c>
      <c r="H40" s="68" t="inlineStr">
        <is>
          <t>USDA ✓ M34181
(grant 7/11/2022)</t>
        </is>
      </c>
      <c r="I40" s="25" t="inlineStr">
        <is>
          <t>ONE humane-handling action: NOS 7/2/2024 (first stun ineffective), held in abeyance 7/3/2024 after same-day corrective action — stunner replaced and retrained (FSIS letter retrieved 2026-09-03). Nothing since.</t>
        </is>
      </c>
      <c r="J40" s="68" t="inlineStr">
        <is>
          <t>FULL export path (federal)</t>
        </is>
      </c>
      <c r="K40" s="68" t="inlineStr">
        <is>
          <t>Single resolved 2024 event — discussion item, not exclusion.</t>
        </is>
      </c>
      <c r="L40" s="68" t="inlineStr">
        <is>
          <t>Unknown — locker-plant custom culture implies cut-to-spec basics</t>
        </is>
      </c>
      <c r="M40" s="68" t="inlineStr">
        <is>
          <t>No (180 road mi)</t>
        </is>
      </c>
      <c r="N40" s="68" t="inlineStr">
        <is>
          <t>B-T possibility; pair with a Williamsburg Packing trip (30 min apart)</t>
        </is>
      </c>
      <c r="O40" s="68" t="inlineStr">
        <is>
          <t>CONTACT: (owner unnamed — 'the owner is very nice' per Yelp) · 843-558-2751
(843) 558-2751
Owner: Bobby McDaniel Jr.</t>
        </is>
      </c>
      <c r="P40" s="140" t="inlineStr">
        <is>
          <t>POSSIBLE</t>
        </is>
      </c>
      <c r="Q40" s="178" t="inlineStr">
        <is>
          <t>TIER 3 — NEW FIND 2026-09-03: a market-hog cat-2 federal floor missed by every earlier pass, 30 min from Williamsburg Packing — pair the two on one SC trip if Williamsburg's call goes well.</t>
        </is>
      </c>
      <c r="R40" s="179" t="inlineStr">
        <is>
          <t>no website (hemingwaylockerplant.com is parked)
facebook.com/hemingwaylockerplant (3 reviews) · Yelp (1) · Tripadvisor · Protein Intel M34181 (verified 2026-09-30)</t>
        </is>
      </c>
      <c r="S40" s="68" t="inlineStr">
        <is>
          <t>Med
(FSIS/site 9-03)</t>
        </is>
      </c>
      <c r="T40" s="68" t="inlineStr">
        <is>
          <t>ADDED TO ROSTER 2026-09-03 from the fresh FSIS pull (was never on any roster). Owner named in the 2024 FSIS letter. See Rated Candidates.
SOCIAL/OTHER 9-30: Sells whole hogs for BBQ; custom + wholesale beef and pork; hours 8-5. Thin footprint.</t>
        </is>
      </c>
      <c r="U40" s="211" t="inlineStr">
        <is>
          <t>B-09</t>
        </is>
      </c>
      <c r="V40" s="143" t="inlineStr">
        <is>
          <t>Tier 3
A 2.5 / B 3.0</t>
        </is>
      </c>
    </row>
    <row r="41" ht="72" customHeight="1" s="59">
      <c r="A41" s="4" t="inlineStr">
        <is>
          <t>Wells, Jenkins &amp; Wells Abattoir</t>
        </is>
      </c>
      <c r="B41" s="68" t="inlineStr">
        <is>
          <t>Forest City, NC</t>
        </is>
      </c>
      <c r="C41" s="68" t="inlineStr">
        <is>
          <t>Slaughter</t>
        </is>
      </c>
      <c r="D41" s="68" t="inlineStr">
        <is>
          <t>~19-194/wk
(FSIS cat 2 ceiling)
· HACCP Very Small (&lt;10 employees or &lt;$2.5M sales)</t>
        </is>
      </c>
      <c r="E41" s="110" t="inlineStr">
        <is>
          <t>NO · ~203 mi ≈
(Pikeville: ~278 mi)</t>
        </is>
      </c>
      <c r="F41" s="139" t="inlineStr">
        <is>
          <t>0-300/wk (≤194)</t>
        </is>
      </c>
      <c r="G41" s="68" t="inlineStr">
        <is>
          <t>⚠ BOAR/STAG flagged (FSIS)
MARKET + boar/stag
(sow: No, roaster: No)</t>
        </is>
      </c>
      <c r="H41" s="68" t="inlineStr">
        <is>
          <t>USDA ✓ M881 + P881 + V881</t>
        </is>
      </c>
      <c r="I41" s="68" t="inlineStr">
        <is>
          <t>None found (the M7457A docs are a different WV plant)</t>
        </is>
      </c>
      <c r="J41" s="68" t="inlineStr">
        <is>
          <t>Not on public export lists — verify</t>
        </is>
      </c>
      <c r="K41" s="68" t="inlineStr">
        <is>
          <t>AWA (welfare signal)</t>
        </is>
      </c>
      <c r="L41" s="68" t="inlineStr">
        <is>
          <t>Plausible</t>
        </is>
      </c>
      <c r="M41" s="68" t="inlineStr">
        <is>
          <t>Plausible</t>
        </is>
      </c>
      <c r="N41" s="68" t="inlineStr">
        <is>
          <t>Plausible</t>
        </is>
      </c>
      <c r="O41" s="68" t="inlineStr">
        <is>
          <t>(828) 245-5544</t>
        </is>
      </c>
      <c r="P41" s="23" t="inlineStr">
        <is>
          <t>CAUTION
(boar/stag)</t>
        </is>
      </c>
      <c r="Q41" s="178" t="inlineStr">
        <is>
          <t>BOAR/STAG RULE 9-28: FSIS flags boar/stag slaughter at this plant — AVOID unless the call confirms boars/stags are never run with our hogs (gate G4). Back-pool — passes no current tier; see Fit and notes for what a call would need to change.</t>
        </is>
      </c>
      <c r="R41" s="179" t="inlineStr">
        <is>
          <t>—</t>
        </is>
      </c>
      <c r="S41" s="68" t="inlineStr">
        <is>
          <t>High
(FSIS+MPI 8-06)</t>
        </is>
      </c>
      <c r="T41"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c r="U41" s="211" t="inlineStr">
        <is>
          <t>B-10</t>
        </is>
      </c>
      <c r="V41" s="210" t="inlineStr">
        <is>
          <t>—</t>
        </is>
      </c>
    </row>
    <row r="42" ht="192.6" customHeight="1" s="59">
      <c r="A42" s="138" t="inlineStr">
        <is>
          <t>Williamsburg Packing Company, Inc.</t>
        </is>
      </c>
      <c r="B42" s="68" t="inlineStr">
        <is>
          <t>Kingstree, SC (Williamsburg)</t>
        </is>
      </c>
      <c r="C42" s="68" t="inlineStr">
        <is>
          <t>USDA federal slaughter + processing</t>
        </is>
      </c>
      <c r="D42"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42" s="110" t="inlineStr">
        <is>
          <t>NO · ~213 mi ≈
(Pikeville: ~190 mi)</t>
        </is>
      </c>
      <c r="F42" s="143" t="inlineStr">
        <is>
          <t>confirm
(federal band ≤1,944 — hog
share is the call question)</t>
        </is>
      </c>
      <c r="G42" s="68" t="inlineStr">
        <is>
          <t>⚠ BOAR/STAG flagged (FSIS)
ALL FOUR hog classes
(market+sow+roaster+boar/stag,
FSIS flags 2026-09-03)</t>
        </is>
      </c>
      <c r="H42" s="68" t="inlineStr">
        <is>
          <t>USDA ✓ M4005 + P4005 + V4005
(V = voluntary grant — the
research-tissue mechanism)</t>
        </is>
      </c>
      <c r="I42" s="25" t="inlineStr">
        <is>
          <t>No enforcement found. Earlier welfare-CERTIFICATION marketing claims were refuted (claims, not violations) — do not lead with welfare.</t>
        </is>
      </c>
      <c r="J42" s="68" t="inlineStr">
        <is>
          <t>FULL export path (federal)</t>
        </is>
      </c>
      <c r="K42" s="68" t="inlineStr">
        <is>
          <t>Do not lead with welfare (see enforcement col).</t>
        </is>
      </c>
      <c r="L42" s="68" t="inlineStr">
        <is>
          <t>Unknown — the call decides; V4005 is directly relevant to research tissue</t>
        </is>
      </c>
      <c r="M42" s="68" t="inlineStr">
        <is>
          <t>No (190 road mi — outside the radius)</t>
        </is>
      </c>
      <c r="N42" s="68" t="inlineStr">
        <is>
          <t>B-T candidate if the hog share is real</t>
        </is>
      </c>
      <c r="O42" s="68" t="inlineStr">
        <is>
          <t>CONTACT: (owner name not retrieved) · 843-355-6447
(843) 355-6447</t>
        </is>
      </c>
      <c r="P42" s="23" t="inlineStr">
        <is>
          <t>CAUTION
(boar/stag)</t>
        </is>
      </c>
      <c r="Q42" s="178" t="inlineStr">
        <is>
          <t>BOAR/STAG RULE 9-28: FSIS flags boar/stag slaughter at this plant — AVOID unless the call confirms boars/stags are never run with our hogs (gate G4). TIER 3 — its cat-3 band is ALL SPECIES (South Carolina's federal plants killed 14,070 hogs in the whole of 2025) and it keeps half-day hours; all four swine classes incl. boar/stag. ONE call decides it: actual hogs/week (the cat-3 band is multi-species, so the hog number could disappoint).</t>
        </is>
      </c>
      <c r="R42" s="179" t="inlineStr">
        <is>
          <t>no website (williamsburgpacking.com is parked)
facebook.com/Williamsburg-Packing (17 reviews, 92%) · Yelp · Chamber 4.4/5 from 30 · Certified SC member · D&amp;B (verified 2026-09-30)</t>
        </is>
      </c>
      <c r="S42" s="68" t="inlineStr">
        <is>
          <t>Med-High
(FSIS/site 9-03)</t>
        </is>
      </c>
      <c r="T42"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
SOCIAL/OTHER 9-30: HOURS M-F 7:30 AM-12:00 PM — half days, consistent with the small hog count implied by SC's statewide total. 67 years in business; Certified Humane / AWA listed; custom harvest of pork, beef, sheep, goat, chicken, turkey.</t>
        </is>
      </c>
      <c r="U42" s="211" t="inlineStr">
        <is>
          <t>B-11</t>
        </is>
      </c>
      <c r="V42" s="143" t="inlineStr">
        <is>
          <t>Tier 3
A 2.1 / B 2.6</t>
        </is>
      </c>
    </row>
    <row r="43" ht="165.8" customHeight="1" s="59">
      <c r="A43" s="4" t="inlineStr">
        <is>
          <t>T&amp;E Meats (True &amp; Essential)</t>
        </is>
      </c>
      <c r="B43" s="68" t="inlineStr">
        <is>
          <t>Harrisonburg, VA</t>
        </is>
      </c>
      <c r="C43" s="68" t="inlineStr">
        <is>
          <t>USDA + AWA slaughter + processing</t>
        </is>
      </c>
      <c r="D43" s="68" t="inlineStr">
        <is>
          <t>~19-194/wk
(FSIS cat 2)
· HACCP Very Small (&lt;10 employees or &lt;$2.5M sales)
· hog kill CAPPED by NASS 2025: Virginia's 16 federal plants killed 7,841 hogs in the WHOLE year (≈150/wk statewide) — the FSIS band counts ALL species</t>
        </is>
      </c>
      <c r="E43" s="110" t="inlineStr">
        <is>
          <t>NO · ~218 mi ≈</t>
        </is>
      </c>
      <c r="F43" s="139" t="inlineStr">
        <is>
          <t>0-300/wk (≤194)</t>
        </is>
      </c>
      <c r="G43" s="68" t="inlineStr">
        <is>
          <t>⚠ BOAR/STAG flagged (FSIS)
MARKET + SOW + ROASTER + boar/stag
(all four classes)</t>
        </is>
      </c>
      <c r="H43" s="68" t="inlineStr">
        <is>
          <t>USDA ✓ M7420 + V7420
(FSIS lists 'Honest Meats, LLC')</t>
        </is>
      </c>
      <c r="I43" s="68" t="inlineStr">
        <is>
          <t>None found in public sources</t>
        </is>
      </c>
      <c r="J43" s="68" t="inlineStr">
        <is>
          <t>Not on public export lists — verify w/ APHIS VS</t>
        </is>
      </c>
      <c r="K43" s="68" t="inlineStr">
        <is>
          <t>AWA humane; mission-driven independent (Salatin/Cloud); site since 1930s — very strong</t>
        </is>
      </c>
      <c r="L43" s="68" t="inlineStr">
        <is>
          <t>Not noted</t>
        </is>
      </c>
      <c r="M43" s="68" t="inlineStr">
        <is>
          <t>Worth asking (A)</t>
        </is>
      </c>
      <c r="N43" s="68" t="inlineStr">
        <is>
          <t>Excellent B</t>
        </is>
      </c>
      <c r="O43" s="68" t="inlineStr">
        <is>
          <t>540-434-4415
temeats.com</t>
        </is>
      </c>
      <c r="P43" s="23" t="inlineStr">
        <is>
          <t>CAUTION
(boar/stag)</t>
        </is>
      </c>
      <c r="Q43" s="178" t="inlineStr">
        <is>
          <t>BOAR/STAG RULE 9-28: FSIS flags boar/stag slaughter at this plant — AVOID unless the call confirms boars/stags are never run with our hogs (gate G4). Back-pool — passes no current tier; see Fit and notes for what a call would need to change.</t>
        </is>
      </c>
      <c r="R43" s="179" t="inlineStr">
        <is>
          <t>—</t>
        </is>
      </c>
      <c r="S43" s="68" t="inlineStr">
        <is>
          <t>High
(FSIS+MPI 8-06)</t>
        </is>
      </c>
      <c r="T43"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c r="U43" s="211" t="inlineStr">
        <is>
          <t>B-12</t>
        </is>
      </c>
      <c r="V43" s="210" t="inlineStr">
        <is>
          <t>—</t>
        </is>
      </c>
    </row>
    <row r="44" ht="165.8" customHeight="1" s="59">
      <c r="A44" s="4" t="inlineStr">
        <is>
          <t>Knockout Butchery</t>
        </is>
      </c>
      <c r="B44" s="68" t="inlineStr">
        <is>
          <t>Roebuck, SC</t>
        </is>
      </c>
      <c r="C44" s="68" t="inlineStr">
        <is>
          <t>USDA custom processing</t>
        </is>
      </c>
      <c r="D44" s="68" t="inlineStr">
        <is>
          <t>&lt;19/wk
(FSIS cat 1)
· HACCP Very Small (&lt;10 employees or &lt;$2.5M sales)
· hog kill CAPPED by NASS 2025: South Carolina's 8 federal plants killed 14,070 hogs in the whole year (≈270/wk statewide) — the FSIS band counts ALL species</t>
        </is>
      </c>
      <c r="E44" s="110" t="inlineStr">
        <is>
          <t>NO · ~222 mi ≈</t>
        </is>
      </c>
      <c r="F44" s="139" t="inlineStr">
        <is>
          <t>0-300/wk (&lt;19)</t>
        </is>
      </c>
      <c r="G44" s="68" t="inlineStr">
        <is>
          <t>SOW (fresh FSIS flags 2026-09-03;
re-granted 11/24/2025 —
earlier 'no swine flags' superseded)</t>
        </is>
      </c>
      <c r="H44" s="68" t="inlineStr">
        <is>
          <t>USDA ✓ M2866 + P2866</t>
        </is>
      </c>
      <c r="I44" s="68" t="inlineStr">
        <is>
          <t>None found in public sources</t>
        </is>
      </c>
      <c r="J44" s="68" t="inlineStr">
        <is>
          <t>Not on public export lists — verify</t>
        </is>
      </c>
      <c r="K44" s="68" t="inlineStr">
        <is>
          <t>'Careful handling'; recent capacity investment (trade press)</t>
        </is>
      </c>
      <c r="L44" s="68" t="inlineStr">
        <is>
          <t>Not noted</t>
        </is>
      </c>
      <c r="M44" s="68" t="inlineStr">
        <is>
          <t>Ask</t>
        </is>
      </c>
      <c r="N44" s="68" t="inlineStr">
        <is>
          <t>Likely B</t>
        </is>
      </c>
      <c r="O44" s="68" t="inlineStr">
        <is>
          <t>864-410-7068
knockoutbutchery.com</t>
        </is>
      </c>
      <c r="P44" s="140" t="inlineStr">
        <is>
          <t>CAUTION</t>
        </is>
      </c>
      <c r="Q44" s="178" t="inlineStr">
        <is>
          <t>Not a candidate for now — far-west SC (~250 mi), cat 1; note the fresh 11/2025 re-grant added a SOW flag.</t>
        </is>
      </c>
      <c r="R44" s="179" t="inlineStr">
        <is>
          <t>—</t>
        </is>
      </c>
      <c r="S44" s="68" t="inlineStr">
        <is>
          <t>High
(FSIS+MPI 8-06)</t>
        </is>
      </c>
      <c r="T44"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c r="U44" s="211" t="inlineStr">
        <is>
          <t>B-13</t>
        </is>
      </c>
      <c r="V44" s="210" t="inlineStr">
        <is>
          <t>—</t>
        </is>
      </c>
    </row>
    <row r="45" ht="45.2" customHeight="1" s="59">
      <c r="A45" s="4" t="inlineStr">
        <is>
          <t>601 Deer and Hog Processors</t>
        </is>
      </c>
      <c r="B45" s="68" t="inlineStr">
        <is>
          <t>Fort Motte, SC</t>
        </is>
      </c>
      <c r="C45" s="68" t="inlineStr">
        <is>
          <t>Deer/game + hog (likely custom-exempt)</t>
        </is>
      </c>
      <c r="D45" s="68" t="inlineStr">
        <is>
          <t>unknown</t>
        </is>
      </c>
      <c r="E45" s="110" t="inlineStr">
        <is>
          <t>NO · ~222 mi ≈</t>
        </is>
      </c>
      <c r="F45" s="143" t="inlineStr">
        <is>
          <t>confirm</t>
        </is>
      </c>
      <c r="G45" s="68" t="inlineStr">
        <is>
          <t>Yes</t>
        </is>
      </c>
      <c r="H45" s="68" t="inlineStr">
        <is>
          <t>likely custom-
exempt (flag)</t>
        </is>
      </c>
      <c r="I45" s="68" t="inlineStr">
        <is>
          <t>None found (business also appears closed)</t>
        </is>
      </c>
      <c r="J45" s="68" t="inlineStr">
        <is>
          <t>Not on public export lists — verify</t>
        </is>
      </c>
      <c r="K45" s="68" t="inlineStr">
        <is>
          <t>Family (McDonald, since 2001)</t>
        </is>
      </c>
      <c r="L45" s="68" t="inlineStr">
        <is>
          <t>Not noted</t>
        </is>
      </c>
      <c r="M45" s="68" t="inlineStr">
        <is>
          <t>If own kills</t>
        </is>
      </c>
      <c r="N45" s="68" t="inlineStr">
        <is>
          <t>B if USDA confirmed</t>
        </is>
      </c>
      <c r="O45" s="68" t="inlineStr">
        <is>
          <t>803-707-1040</t>
        </is>
      </c>
      <c r="P45" s="23" t="inlineStr">
        <is>
          <t>CAUTION</t>
        </is>
      </c>
      <c r="Q45" s="178" t="inlineStr">
        <is>
          <t>Back-pool — passes no current tier; see Fit and notes for what a call would need to change.</t>
        </is>
      </c>
      <c r="R45" s="179" t="inlineStr">
        <is>
          <t>—</t>
        </is>
      </c>
      <c r="S45" s="68" t="inlineStr">
        <is>
          <t>Low-Med
(study 8-03/05)</t>
        </is>
      </c>
      <c r="T45" s="68" t="inlineStr">
        <is>
          <t>FLAG: USDA status unverified — game processors are often custom-exempt (product not for resale). One directory lists it CLOSED; verify still operating.</t>
        </is>
      </c>
      <c r="U45" s="211" t="inlineStr">
        <is>
          <t>B-14</t>
        </is>
      </c>
      <c r="V45" s="210" t="inlineStr">
        <is>
          <t>—</t>
        </is>
      </c>
    </row>
    <row r="46" ht="206" customHeight="1" s="59">
      <c r="A46" s="4" t="inlineStr">
        <is>
          <t>Fauquier's Finest — DATA ANOMALY</t>
        </is>
      </c>
      <c r="B46" s="68" t="inlineStr">
        <is>
          <t>Bealeton, VA</t>
        </is>
      </c>
      <c r="C46" s="68" t="inlineStr">
        <is>
          <t>USDA federal, multi-species</t>
        </is>
      </c>
      <c r="D4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46" s="110" t="inlineStr">
        <is>
          <t>NO · ~233 mi ≈</t>
        </is>
      </c>
      <c r="F46" s="143" t="inlineStr">
        <is>
          <t>confirm (anomaly)</t>
        </is>
      </c>
      <c r="G46" s="68" t="inlineStr">
        <is>
          <t>⚠ BOAR/STAG flagged (FSIS)
Yes — MKT+SOW+boar+beef</t>
        </is>
      </c>
      <c r="H46" s="68" t="inlineStr">
        <is>
          <t>USDA ✓ M33940</t>
        </is>
      </c>
      <c r="I46" s="68" t="inlineStr">
        <is>
          <t>See the Welfare &amp; culture column — enforcement detail is carried there for these rows</t>
        </is>
      </c>
      <c r="J46" s="68" t="inlineStr">
        <is>
          <t>Not verified — APHIS publishes no searchable list; confirm with APHIS VS</t>
        </is>
      </c>
      <c r="K46" s="68" t="inlineStr">
        <is>
          <t>🚨 INH suspension 04 Dec 2024 → reinstated 06 Mar 2025</t>
        </is>
      </c>
      <c r="L46" s="68" t="inlineStr">
        <is>
          <t>unknown</t>
        </is>
      </c>
      <c r="M46" s="68" t="inlineStr">
        <is>
          <t>Structurally suits Model A (custom processor)</t>
        </is>
      </c>
      <c r="N46" s="68" t="inlineStr">
        <is>
          <t>unknown</t>
        </is>
      </c>
      <c r="O46" s="68" t="inlineStr">
        <is>
          <t>(540) 439-7227
11746 AG Industrial Dr, Bealeton VA 22712</t>
        </is>
      </c>
      <c r="P46" s="23" t="inlineStr">
        <is>
          <t>CAUTION</t>
        </is>
      </c>
      <c r="Q46" s="178" t="inlineStr">
        <is>
          <t>BOAR/STAG RULE 9-28: FSIS flags boar/stag slaughter at this plant — AVOID unless the call confirms boars/stags are never run with our hogs (gate G4). Back-pool — passes no current tier; see Fit and notes for what a call would need to change.</t>
        </is>
      </c>
      <c r="R46" s="179" t="inlineStr">
        <is>
          <t>—</t>
        </is>
      </c>
      <c r="S46" s="68" t="inlineStr">
        <is>
          <t>Low
(study 8-03/05)</t>
        </is>
      </c>
      <c r="T46" s="68" t="inlineStr">
        <is>
          <t>The two FSIS facts are very hard to reconcile — likely a data-entry artifact or an aggregate across species. DO NOT treat as in-band without direct confirmation. Only reason to look: a rare Mid-Atlantic sow+boar slaughterer that is also a custom processor.</t>
        </is>
      </c>
      <c r="U46" s="211" t="inlineStr">
        <is>
          <t>B-15</t>
        </is>
      </c>
      <c r="V46" s="210" t="inlineStr">
        <is>
          <t>—</t>
        </is>
      </c>
    </row>
    <row r="47" ht="72" customHeight="1" s="59">
      <c r="A47" s="4" t="inlineStr">
        <is>
          <t>Caughman's Meat Plant, Inc.</t>
        </is>
      </c>
      <c r="B47" s="68" t="inlineStr">
        <is>
          <t>Lexington, SC</t>
        </is>
      </c>
      <c r="C47" s="68" t="inlineStr">
        <is>
          <t>USDA slaughter + processing</t>
        </is>
      </c>
      <c r="D47" s="68" t="inlineStr">
        <is>
          <t>unknown (small-mid est.)</t>
        </is>
      </c>
      <c r="E47" s="110" t="inlineStr">
        <is>
          <t>NO · ~252 mi ≈</t>
        </is>
      </c>
      <c r="F47" s="143" t="inlineStr">
        <is>
          <t>confirm</t>
        </is>
      </c>
      <c r="G47" s="68" t="inlineStr">
        <is>
          <t>Yes</t>
        </is>
      </c>
      <c r="H47" s="68" t="inlineStr">
        <is>
          <t>NOT in the FSIS MPI directory
('USDA ✓' is WITHDRAWN)</t>
        </is>
      </c>
      <c r="I47" s="68" t="inlineStr">
        <is>
          <t>None found in public sources</t>
        </is>
      </c>
      <c r="J47" s="68" t="inlineStr">
        <is>
          <t>Not on public export lists — verify w/ APHIS VS</t>
        </is>
      </c>
      <c r="K47" s="68" t="inlineStr">
        <is>
          <t>Multi-generation family since ~1947 — strong culture signal</t>
        </is>
      </c>
      <c r="L47" s="68" t="inlineStr">
        <is>
          <t>Not noted</t>
        </is>
      </c>
      <c r="M47" s="68" t="inlineStr">
        <is>
          <t>Possible (space unverified)</t>
        </is>
      </c>
      <c r="N47" s="68" t="inlineStr">
        <is>
          <t>Good — established slaughter + custom</t>
        </is>
      </c>
      <c r="O47" s="68" t="inlineStr">
        <is>
          <t>803-356-3216
caughmans.com</t>
        </is>
      </c>
      <c r="P47" s="140" t="inlineStr">
        <is>
          <t>CAUTION</t>
        </is>
      </c>
      <c r="Q47" s="178" t="inlineStr">
        <is>
          <t>Back-pool — passes no current tier; see Fit and notes for what a call would need to change.</t>
        </is>
      </c>
      <c r="R47" s="179" t="inlineStr">
        <is>
          <t>—</t>
        </is>
      </c>
      <c r="S47" s="68" t="inlineStr">
        <is>
          <t>Med-High
(FSIS+MPI 8-06)</t>
        </is>
      </c>
      <c r="T47"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c r="U47" s="211" t="inlineStr">
        <is>
          <t>B-16</t>
        </is>
      </c>
      <c r="V47" s="210" t="inlineStr">
        <is>
          <t>—</t>
        </is>
      </c>
    </row>
    <row r="48" ht="165.8" customHeight="1" s="59">
      <c r="A48" s="138" t="inlineStr">
        <is>
          <t>Back Forty Butchery
(FSIS lists 'Back 40 Butchery')</t>
        </is>
      </c>
      <c r="B48" s="68" t="inlineStr">
        <is>
          <t>Hodges, SC</t>
        </is>
      </c>
      <c r="C48" s="68" t="inlineStr">
        <is>
          <t>USDA processing</t>
        </is>
      </c>
      <c r="D48" s="68" t="inlineStr">
        <is>
          <t>&lt;19/wk
(FSIS cat 1)
· HACCP Very Small (&lt;10 employees or &lt;$2.5M sales)
· hog kill CAPPED by NASS 2025: South Carolina's 8 federal plants killed 14,070 hogs in the whole year (≈270/wk statewide) — the FSIS band counts ALL species</t>
        </is>
      </c>
      <c r="E48" s="110" t="inlineStr">
        <is>
          <t>NO · ~268 mi ≈</t>
        </is>
      </c>
      <c r="F48" s="139" t="inlineStr">
        <is>
          <t>0-300/wk (&lt;19)</t>
        </is>
      </c>
      <c r="G48" s="68" t="inlineStr">
        <is>
          <t>MARKET only</t>
        </is>
      </c>
      <c r="H48" s="68" t="inlineStr">
        <is>
          <t>USDA ✓ M46060</t>
        </is>
      </c>
      <c r="I48" s="68" t="inlineStr">
        <is>
          <t>None found (Est. M46060)</t>
        </is>
      </c>
      <c r="J48" s="68" t="inlineStr">
        <is>
          <t>Not on public export lists — verify</t>
        </is>
      </c>
      <c r="K48" s="68" t="inlineStr">
        <is>
          <t>Not addressed</t>
        </is>
      </c>
      <c r="L48" s="68" t="inlineStr">
        <is>
          <t>Not noted</t>
        </is>
      </c>
      <c r="M48" s="68" t="inlineStr">
        <is>
          <t>Ask</t>
        </is>
      </c>
      <c r="N48" s="68" t="inlineStr">
        <is>
          <t>B if slaughter on-site</t>
        </is>
      </c>
      <c r="O48" s="68" t="inlineStr">
        <is>
          <t>864-374-3571</t>
        </is>
      </c>
      <c r="P48" s="23" t="inlineStr">
        <is>
          <t>POSSIBLE</t>
        </is>
      </c>
      <c r="Q48" s="178" t="inlineStr">
        <is>
          <t>Back-pool — passes no current tier; see Fit and notes for what a call would need to change.</t>
        </is>
      </c>
      <c r="R48" s="179" t="inlineStr">
        <is>
          <t>—</t>
        </is>
      </c>
      <c r="S48" s="68" t="inlineStr">
        <is>
          <t>High
(FSIS+MPI 8-06)</t>
        </is>
      </c>
      <c r="T48"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c r="U48" s="211" t="inlineStr">
        <is>
          <t>B-17</t>
        </is>
      </c>
      <c r="V48" s="210" t="inlineStr">
        <is>
          <t>—</t>
        </is>
      </c>
    </row>
    <row r="49" ht="165.8" customHeight="1" s="59">
      <c r="A49" s="4" t="inlineStr">
        <is>
          <t>Blue Ridge Meats of Front Royal</t>
        </is>
      </c>
      <c r="B49" s="68" t="inlineStr">
        <is>
          <t>Middletown, VA</t>
        </is>
      </c>
      <c r="C49" s="68" t="inlineStr">
        <is>
          <t>USDA + AWA abattoir</t>
        </is>
      </c>
      <c r="D49" s="68" t="inlineStr">
        <is>
          <t>&lt;19/wk
(FSIS cat 1)
· HACCP Very Small (&lt;10 employees or &lt;$2.5M sales)
· hog kill CAPPED by NASS 2025: Virginia's 16 federal plants killed 7,841 hogs in the WHOLE year (≈150/wk statewide) — the FSIS band counts ALL species</t>
        </is>
      </c>
      <c r="E49" s="110" t="inlineStr">
        <is>
          <t>NO · ~272 mi ≈</t>
        </is>
      </c>
      <c r="F49" s="139" t="inlineStr">
        <is>
          <t>0-300/wk (&lt;19)</t>
        </is>
      </c>
      <c r="G49" s="68" t="inlineStr">
        <is>
          <t>⚠ BOAR/STAG flagged (FSIS)
MARKET + SOW + boar/stag</t>
        </is>
      </c>
      <c r="H49" s="68" t="inlineStr">
        <is>
          <t>USDA ✓ M6526</t>
        </is>
      </c>
      <c r="I49" s="68" t="inlineStr">
        <is>
          <t>None found (do NOT confuse with 'Blue Ridge Beef' pet-food recalls)</t>
        </is>
      </c>
      <c r="J49" s="68" t="inlineStr">
        <is>
          <t>Not on public export lists — verify</t>
        </is>
      </c>
      <c r="K49" s="68" t="inlineStr">
        <is>
          <t>AWA-approved (humane) since 2006</t>
        </is>
      </c>
      <c r="L49" s="68" t="inlineStr">
        <is>
          <t>Not noted</t>
        </is>
      </c>
      <c r="M49" s="68" t="inlineStr">
        <is>
          <t>Mobile-slaughter option</t>
        </is>
      </c>
      <c r="N49" s="68" t="inlineStr">
        <is>
          <t>Strong B</t>
        </is>
      </c>
      <c r="O49" s="68" t="inlineStr">
        <is>
          <t>540-636-6050
blueridgemeats.com</t>
        </is>
      </c>
      <c r="P49" s="23" t="inlineStr">
        <is>
          <t>CAUTION
(boar/stag)</t>
        </is>
      </c>
      <c r="Q49" s="178" t="inlineStr">
        <is>
          <t>BOAR/STAG RULE 9-28: FSIS flags boar/stag slaughter at this plant — AVOID unless the call confirms boars/stags are never run with our hogs (gate G4). Back-pool — passes no current tier; see Fit and notes for what a call would need to change.</t>
        </is>
      </c>
      <c r="R49" s="179" t="inlineStr">
        <is>
          <t>—</t>
        </is>
      </c>
      <c r="S49" s="68" t="inlineStr">
        <is>
          <t>High
(FSIS+MPI 8-06)</t>
        </is>
      </c>
      <c r="T49" s="68" t="inlineStr">
        <is>
          <t>RESOLVED: active federal grant M6526, Middletown VA, market/sow/boar flagged, slaughter_volume_category = 1 = under ~19/wk.  [Verified 2026-08-06 against FSIS Establishment Demographic Data + MPI Directory by Establishment Number.]</t>
        </is>
      </c>
      <c r="U49" s="211" t="inlineStr">
        <is>
          <t>B-18</t>
        </is>
      </c>
      <c r="V49" s="210" t="inlineStr">
        <is>
          <t>—</t>
        </is>
      </c>
    </row>
    <row r="50" ht="72" customHeight="1" s="59">
      <c r="A50" s="4" t="inlineStr">
        <is>
          <t>Swaggerty Sausage Company</t>
        </is>
      </c>
      <c r="B50" s="68" t="inlineStr">
        <is>
          <t>Kodak, TN (Sevier)</t>
        </is>
      </c>
      <c r="C50" s="68" t="inlineStr">
        <is>
          <t>Captive SOW abattoir + sausage mfr (FSIS 'Large')</t>
        </is>
      </c>
      <c r="D50" s="68" t="inlineStr">
        <is>
          <t>~4,250/wk (850 hd/day EMI 2017; cat-4 confirms ≥2,000/wk)
· HACCP Large (500+ employees)</t>
        </is>
      </c>
      <c r="E50" s="110" t="inlineStr">
        <is>
          <t>NO · ~325 mi ≈</t>
        </is>
      </c>
      <c r="F50" s="136" t="inlineStr">
        <is>
          <t>1,250-5,000/wk (~4,250)</t>
        </is>
      </c>
      <c r="G50" s="68" t="inlineStr">
        <is>
          <t>Yes — SOW ONLY (FSIS flags: sow=TRUE, market=FALSE)</t>
        </is>
      </c>
      <c r="H50" s="68" t="inlineStr">
        <is>
          <t>USDA ✓ M8314 + V8314 (V = voluntary grant)</t>
        </is>
      </c>
      <c r="I50" s="68" t="inlineStr">
        <is>
          <t>See the Welfare &amp; culture column — enforcement detail is carried there for these rows</t>
        </is>
      </c>
      <c r="J50" s="68" t="inlineStr">
        <is>
          <t>Not verified — APHIS publishes no searchable list; confirm with APHIS VS</t>
        </is>
      </c>
      <c r="K50" s="68" t="inlineStr">
        <is>
          <t>NO suspension in ANY FSIS QER FY2024Q1-FY2026Q2 (no public record ≠ clean). Prior TN OSHA machine-guarding actions 2018 &amp; 2024</t>
        </is>
      </c>
      <c r="L50" s="68" t="inlineStr">
        <is>
          <t>No existing organ programme — would be built. V-grant is useful for non-amenable/research material</t>
        </is>
      </c>
      <c r="M50" s="68" t="inlineStr">
        <is>
          <t>Plausible — single site, family-owned, decision-maker reachable</t>
        </is>
      </c>
      <c r="N50" s="68" t="inlineStr">
        <is>
          <t>Plausible</t>
        </is>
      </c>
      <c r="O50" s="68" t="inlineStr">
        <is>
          <t>(865) 933-2625
2827 Swaggerty Rd, Kodak TN 37764</t>
        </is>
      </c>
      <c r="P50" s="20" t="inlineStr">
        <is>
          <t>STRONG FIT</t>
        </is>
      </c>
      <c r="Q50" s="178" t="inlineStr">
        <is>
          <t>Back-pool — passes no current tier; see Fit and notes for what a call would need to change.</t>
        </is>
      </c>
      <c r="R50" s="179" t="inlineStr">
        <is>
          <t>—</t>
        </is>
      </c>
      <c r="S50" s="68" t="inlineStr">
        <is>
          <t>Med-High
(study 8-03/05)</t>
        </is>
      </c>
      <c r="T50"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c r="U50" s="211" t="inlineStr">
        <is>
          <t>B-19</t>
        </is>
      </c>
      <c r="V50" s="210" t="inlineStr">
        <is>
          <t>—</t>
        </is>
      </c>
    </row>
    <row r="51" ht="112.2" customHeight="1" s="59">
      <c r="A51" s="4" t="inlineStr">
        <is>
          <t>Wampler's Farm Sausage Co.</t>
        </is>
      </c>
      <c r="B51" s="68" t="inlineStr">
        <is>
          <t>Lenoir City, TN (Loudon)</t>
        </is>
      </c>
      <c r="C51" s="68" t="inlineStr">
        <is>
          <t>USDA federal — PRIMARILY SOWS</t>
        </is>
      </c>
      <c r="D51" s="68" t="inlineStr">
        <is>
          <t>~1,500/wk (300 hd/day)
· HACCP Small (10-499 employees)</t>
        </is>
      </c>
      <c r="E51" s="110" t="inlineStr">
        <is>
          <t>NO · ~369 mi ≈</t>
        </is>
      </c>
      <c r="F51" s="136" t="inlineStr">
        <is>
          <t>1,250-5,000/wk (~1,500)</t>
        </is>
      </c>
      <c r="G51" s="133" t="inlineStr">
        <is>
          <t>MARKET + SOW
(not sow-only)</t>
        </is>
      </c>
      <c r="H51" s="68" t="inlineStr">
        <is>
          <t>USDA ✓ M9065 + P9065 + V9065</t>
        </is>
      </c>
      <c r="I51"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51" s="68" t="inlineStr">
        <is>
          <t>Federal (M9065). Not confirmed on public export lists</t>
        </is>
      </c>
      <c r="K51" s="68" t="inlineStr">
        <is>
          <t>Family-owned since 1937 BUT production hiring routes through 3 staffing agencies at $12-14/hr — against the tenure criterion</t>
        </is>
      </c>
      <c r="L51" s="68" t="inlineStr">
        <is>
          <t>unknown</t>
        </is>
      </c>
      <c r="M51" s="68" t="inlineStr">
        <is>
          <t>Possible</t>
        </is>
      </c>
      <c r="N51" s="68" t="inlineStr">
        <is>
          <t>Plausible</t>
        </is>
      </c>
      <c r="O51" s="68" t="inlineStr">
        <is>
          <t>(865) 986-2056
781 Highway 70 W</t>
        </is>
      </c>
      <c r="P51" s="23" t="inlineStr">
        <is>
          <t>POSSIBLE</t>
        </is>
      </c>
      <c r="Q51" s="178" t="inlineStr">
        <is>
          <t>TIER-2-ADJACENT (TN) — real cat-3 federal floor (market+sow, ~1,500/wk) with a strong brand; distance → Model B-T; staffing-agency labor model cuts against the tenure criterion.</t>
        </is>
      </c>
      <c r="R51" s="179" t="inlineStr">
        <is>
          <t>wamplersfarmsausage.com</t>
        </is>
      </c>
      <c r="S51" s="68" t="inlineStr">
        <is>
          <t>Med
(study 8-03/05)</t>
        </is>
      </c>
      <c r="T51"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c r="U51" s="211" t="inlineStr">
        <is>
          <t>B-20</t>
        </is>
      </c>
      <c r="V51" s="210" t="inlineStr">
        <is>
          <t>—</t>
        </is>
      </c>
    </row>
    <row r="52" ht="72" customHeight="1" s="59">
      <c r="A52" s="4" t="inlineStr">
        <is>
          <t>Underground Slaughter / Processing</t>
        </is>
      </c>
      <c r="B52" s="68" t="inlineStr">
        <is>
          <t>Walling, TN</t>
        </is>
      </c>
      <c r="C52" s="68" t="inlineStr">
        <is>
          <t>USDA multi-species (growing)</t>
        </is>
      </c>
      <c r="D52" s="68" t="inlineStr">
        <is>
          <t>~194-1,944/wk
(FSIS cat 3)
· HACCP Very Small (&lt;10 employees or &lt;$2.5M sales)</t>
        </is>
      </c>
      <c r="E52" s="110" t="inlineStr">
        <is>
          <t>NO · ~454 mi ≈</t>
        </is>
      </c>
      <c r="F52" s="143" t="inlineStr">
        <is>
          <t>confirm (band ≤1,944)</t>
        </is>
      </c>
      <c r="G52" s="68" t="inlineStr">
        <is>
          <t>MARKET + SOW
(roaster: No, boar/stag: No)</t>
        </is>
      </c>
      <c r="H52" s="68" t="inlineStr">
        <is>
          <t>USDA ✓ M51351 + P51351</t>
        </is>
      </c>
      <c r="I52" s="68" t="inlineStr">
        <is>
          <t>None found (a logged FOIA request is not an enforcement action)</t>
        </is>
      </c>
      <c r="J52" s="68" t="inlineStr">
        <is>
          <t>Not on public export lists — verify</t>
        </is>
      </c>
      <c r="K52" s="68" t="inlineStr">
        <is>
          <t>Growing processor</t>
        </is>
      </c>
      <c r="L52" s="68" t="inlineStr">
        <is>
          <t>Not noted</t>
        </is>
      </c>
      <c r="M52" s="68" t="inlineStr">
        <is>
          <t>Possible</t>
        </is>
      </c>
      <c r="N52" s="68" t="inlineStr">
        <is>
          <t>Good B</t>
        </is>
      </c>
      <c r="O52" s="68" t="inlineStr">
        <is>
          <t>931-330-6328</t>
        </is>
      </c>
      <c r="P52" s="140" t="inlineStr">
        <is>
          <t>POSSIBLE</t>
        </is>
      </c>
      <c r="Q52" s="178" t="inlineStr">
        <is>
          <t>TIER-3 (TN) — genuine cat-3 market+sow plant surfaced in 2026-08; never contacted; distance → Model B-T only.</t>
        </is>
      </c>
      <c r="R52" s="179" t="inlineStr">
        <is>
          <t>undergroundslaughter.com</t>
        </is>
      </c>
      <c r="S52" s="68" t="inlineStr">
        <is>
          <t>High
(FSIS+MPI 8-06)</t>
        </is>
      </c>
      <c r="T52"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c r="U52" s="211" t="inlineStr">
        <is>
          <t>B-21</t>
        </is>
      </c>
      <c r="V52" s="210" t="inlineStr">
        <is>
          <t>—</t>
        </is>
      </c>
    </row>
    <row r="53" ht="72" customHeight="1" s="59">
      <c r="A53" s="4" t="inlineStr">
        <is>
          <t>Cherry Meat Company</t>
        </is>
      </c>
      <c r="B53" s="68" t="inlineStr">
        <is>
          <t>Chapel Hill, TN</t>
        </is>
      </c>
      <c r="C53" s="68" t="inlineStr">
        <is>
          <t>USDA slaughter + processing</t>
        </is>
      </c>
      <c r="D53" s="68" t="inlineStr">
        <is>
          <t>~18/wk (80/month verified)
· HACCP Very Small (&lt;10 employees or &lt;$2.5M sales)</t>
        </is>
      </c>
      <c r="E53" s="110" t="inlineStr">
        <is>
          <t>NO · ~547 mi ≈</t>
        </is>
      </c>
      <c r="F53" s="139" t="inlineStr">
        <is>
          <t>0-300/wk (~18)</t>
        </is>
      </c>
      <c r="G53" s="68" t="inlineStr">
        <is>
          <t>MARKET only
(sow: No, roaster: No)</t>
        </is>
      </c>
      <c r="H53" s="68" t="inlineStr">
        <is>
          <t>USDA ✓ M40106</t>
        </is>
      </c>
      <c r="I53" s="68" t="inlineStr">
        <is>
          <t>None found (very small; FSIS grant 2021)</t>
        </is>
      </c>
      <c r="J53" s="68" t="inlineStr">
        <is>
          <t>Not on public export lists — verify</t>
        </is>
      </c>
      <c r="K53" s="68" t="inlineStr">
        <is>
          <t>Family (Cherry / Bear Creek Farm) — strong culture</t>
        </is>
      </c>
      <c r="L53" s="68" t="inlineStr">
        <is>
          <t>Not noted</t>
        </is>
      </c>
      <c r="M53" s="68" t="inlineStr">
        <is>
          <t>Low-vol</t>
        </is>
      </c>
      <c r="N53" s="68" t="inlineStr">
        <is>
          <t>Good B (high-touch)</t>
        </is>
      </c>
      <c r="O53" s="68" t="inlineStr">
        <is>
          <t>931-364-7924
cherrymeat.com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 verified ~80 hogs/MONTH (~18/wk). With capacity now open this is a legitimate high-touch, family-culture option for pilot or specialty work; it simply cannot carry volume alone.</t>
        </is>
      </c>
      <c r="U53" s="211" t="inlineStr">
        <is>
          <t>B-22</t>
        </is>
      </c>
      <c r="V53" s="210" t="inlineStr">
        <is>
          <t>—</t>
        </is>
      </c>
    </row>
    <row r="54" ht="58.6" customHeight="1" s="59">
      <c r="A54" s="4" t="inlineStr">
        <is>
          <t>Tyson (Hillshire / Jimmy Dean) — Newbern</t>
        </is>
      </c>
      <c r="B54" s="68" t="inlineStr">
        <is>
          <t>Newbern, TN (Dyer)</t>
        </is>
      </c>
      <c r="C54" s="68" t="inlineStr">
        <is>
          <t>Industrial — PRIMARILY SOWS</t>
        </is>
      </c>
      <c r="D54" s="68" t="inlineStr">
        <is>
          <t>~14,000/wk (2,800 hd/day)
· HACCP Large (500+ employees)</t>
        </is>
      </c>
      <c r="E54" s="110" t="inlineStr">
        <is>
          <t>NO · ~701 mi ≈</t>
        </is>
      </c>
      <c r="F54" s="195" t="inlineStr">
        <is>
          <t>5,000+/wk (~14,000)</t>
        </is>
      </c>
      <c r="G54" s="68" t="inlineStr">
        <is>
          <t>MARKET + SOW
(roaster: No, boar/stag: No)</t>
        </is>
      </c>
      <c r="H54" s="68" t="inlineStr">
        <is>
          <t>USDA ✓ M8080 + P8080
(FSIS lists The Hillshire Brands Company)</t>
        </is>
      </c>
      <c r="I54" s="68" t="inlineStr">
        <is>
          <t>Not individually researched</t>
        </is>
      </c>
      <c r="J54" s="68" t="inlineStr">
        <is>
          <t>Federal. Export status not researched</t>
        </is>
      </c>
      <c r="K54" s="68" t="inlineStr">
        <is>
          <t>Corporate industrial</t>
        </is>
      </c>
      <c r="L54" s="68" t="inlineStr">
        <is>
          <t>unknown</t>
        </is>
      </c>
      <c r="M54" s="68" t="inlineStr">
        <is>
          <t>Low plausibility</t>
        </is>
      </c>
      <c r="N54" s="68" t="inlineStr">
        <is>
          <t>Model B only</t>
        </is>
      </c>
      <c r="O54" s="68" t="inlineStr">
        <is>
          <t>—</t>
        </is>
      </c>
      <c r="P54" s="23" t="inlineStr">
        <is>
          <t>POSSIBLE</t>
        </is>
      </c>
      <c r="Q54" s="178" t="inlineStr">
        <is>
          <t>Back-pool — passes no current tier; see Fit and notes for what a call would need to change.</t>
        </is>
      </c>
      <c r="R54" s="179" t="inlineStr">
        <is>
          <t>—</t>
        </is>
      </c>
      <c r="S54" s="68" t="inlineStr">
        <is>
          <t>High
(study 8-03/05)</t>
        </is>
      </c>
      <c r="T54" s="68" t="inlineStr">
        <is>
          <t>#3 US SOW plant. HIGH tier — access, not volume, is the constraint. Corporate conversation, not a plant conversation.</t>
        </is>
      </c>
      <c r="U54" s="211" t="inlineStr">
        <is>
          <t>B-23</t>
        </is>
      </c>
      <c r="V54" s="210" t="inlineStr">
        <is>
          <t>—</t>
        </is>
      </c>
    </row>
    <row r="55" ht="85.40000000000001" customHeight="1" s="59">
      <c r="A55" s="4" t="inlineStr">
        <is>
          <t>Fayette Packing Co., Inc.</t>
        </is>
      </c>
      <c r="B55" s="68" t="inlineStr">
        <is>
          <t>Eads, TN (Memphis area)</t>
        </is>
      </c>
      <c r="C55" s="68" t="inlineStr">
        <is>
          <t>USDA slaughter + processing</t>
        </is>
      </c>
      <c r="D55" s="68" t="inlineStr">
        <is>
          <t>&lt;19/wk
(FSIS cat 1) — 'largest of the TN
group' is REFUTED
· HACCP Small (10-499 employees)</t>
        </is>
      </c>
      <c r="E55" s="110" t="inlineStr">
        <is>
          <t>NO · ~710 mi ≈</t>
        </is>
      </c>
      <c r="F55" s="139" t="inlineStr">
        <is>
          <t>0-300/wk (&lt;19)</t>
        </is>
      </c>
      <c r="G55" s="68" t="inlineStr">
        <is>
          <t>⚠ BOAR/STAG flagged (FSIS)
MARKET + SOW + ROASTER + boar/stag
(all four classes)</t>
        </is>
      </c>
      <c r="H55" s="68" t="inlineStr">
        <is>
          <t>USDA ✓ M6555 + P34794</t>
        </is>
      </c>
      <c r="I55" s="25" t="inlineStr">
        <is>
          <t>⚠ Humane-handling NOS Apr 2023 (Est. M6555 — 4 stun attempts on a cow); held in abeyance.</t>
        </is>
      </c>
      <c r="J55" s="68" t="inlineStr">
        <is>
          <t>Not on public export lists — verify w/ APHIS VS</t>
        </is>
      </c>
      <c r="K55" s="68" t="inlineStr">
        <is>
          <t>Family since 1952 (3 generations, Keith) — strong culture</t>
        </is>
      </c>
      <c r="L55" s="68" t="inlineStr">
        <is>
          <t>Not noted</t>
        </is>
      </c>
      <c r="M55" s="68" t="inlineStr">
        <is>
          <t>Possible</t>
        </is>
      </c>
      <c r="N55" s="68" t="inlineStr">
        <is>
          <t>Good B</t>
        </is>
      </c>
      <c r="O55" s="68" t="inlineStr">
        <is>
          <t>901-867-3826
fayettepackingco.com</t>
        </is>
      </c>
      <c r="P55" s="23" t="inlineStr">
        <is>
          <t>CAUTION
(boar/stag)</t>
        </is>
      </c>
      <c r="Q55" s="178" t="inlineStr">
        <is>
          <t>BOAR/STAG RULE 9-28: FSIS flags boar/stag slaughter at this plant — AVOID unless the call confirms boars/stags are never run with our hogs (gate G4). Back-pool — passes no current tier; see Fit and notes for what a call would need to change.</t>
        </is>
      </c>
      <c r="R55" s="179" t="inlineStr">
        <is>
          <t>—</t>
        </is>
      </c>
      <c r="S55" s="68" t="inlineStr">
        <is>
          <t>High
(FSIS+MPI 8-06)</t>
        </is>
      </c>
      <c r="T55"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c r="U55" s="211" t="inlineStr">
        <is>
          <t>B-24</t>
        </is>
      </c>
      <c r="V55" s="210" t="inlineStr">
        <is>
          <t>—</t>
        </is>
      </c>
    </row>
    <row r="56" ht="19.7" customHeight="1" s="59">
      <c r="A56" s="206" t="inlineStr">
        <is>
          <t>C · CURRENT SUPPLIERS (benchmarks)</t>
        </is>
      </c>
      <c r="B56" s="171" t="n"/>
      <c r="C56" s="171" t="n"/>
      <c r="D56" s="171" t="n"/>
      <c r="E56" s="171" t="n"/>
      <c r="F56" s="171" t="n"/>
      <c r="G56" s="171" t="n"/>
      <c r="H56" s="171" t="n"/>
      <c r="I56" s="171" t="n"/>
      <c r="J56" s="171" t="n"/>
      <c r="K56" s="171" t="n"/>
      <c r="L56" s="171" t="n"/>
      <c r="M56" s="171" t="n"/>
      <c r="N56" s="171" t="n"/>
      <c r="O56" s="171" t="n"/>
      <c r="P56" s="171" t="n"/>
      <c r="Q56" s="171" t="n"/>
      <c r="R56" s="171" t="n"/>
      <c r="S56" s="171" t="n"/>
      <c r="T56" s="171" t="n"/>
      <c r="U56" s="171" t="n"/>
      <c r="V56" s="172" t="n"/>
    </row>
    <row r="57" ht="246.2" customHeight="1" s="59">
      <c r="A57" s="82" t="inlineStr">
        <is>
          <t>Custom Quality Packers, LLC</t>
        </is>
      </c>
      <c r="B57" s="83" t="inlineStr">
        <is>
          <t>Sims, NC</t>
        </is>
      </c>
      <c r="C57" s="83" t="inlineStr">
        <is>
          <t>USDA (Talmadge-Aiken) TA-20129 / M20129 hog slaughter + processing</t>
        </is>
      </c>
      <c r="D57" s="83" t="inlineStr">
        <is>
          <t>~500/wk
(company-stated, mtg 2026-08)
FSIS cat 3 → 194-1,944/wk
· HACCP Small (10-499 employees)</t>
        </is>
      </c>
      <c r="E57" s="88" t="inlineStr">
        <is>
          <t>YES · ~60 mi
(Pikeville: ~45 mi)</t>
        </is>
      </c>
      <c r="F57" s="142" t="inlineStr">
        <is>
          <t>300-700/wk (~500 stated)</t>
        </is>
      </c>
      <c r="G57" s="133" t="inlineStr">
        <is>
          <t>MARKET + ROASTER
(sow: No, boar/stag: No)</t>
        </is>
      </c>
      <c r="H57" s="83" t="inlineStr">
        <is>
          <t>USDA ✓ M20129
(federal, delivered via the
Talmadge-Aiken programme —
TA-20129 in the NCDA&amp;CS
TA directory 2026-08-10)</t>
        </is>
      </c>
      <c r="I57"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57" s="83" t="inlineStr">
        <is>
          <t>Not on public export lists — verify</t>
        </is>
      </c>
      <c r="K57" s="83" t="inlineStr">
        <is>
          <t>Incumbent — we send our harvesters; county-directory contact Barrett Twitty; labels with farmer's name; sells inside and outside NC.</t>
        </is>
      </c>
      <c r="L57" s="83" t="inlineStr">
        <is>
          <t>Plausible; skin-and-scald offered</t>
        </is>
      </c>
      <c r="M57" s="83" t="inlineStr">
        <is>
          <t>Plausible</t>
        </is>
      </c>
      <c r="N57" s="83" t="inlineStr">
        <is>
          <t>Plausible</t>
        </is>
      </c>
      <c r="O57" s="83" t="inlineStr">
        <is>
          <t>CONTACT: Barrett Twitty (NCDA county directory) — incumbent
(252) 235-3558
Owner/operator: Barrett Twitty
3571 Friday Rd, Sims NC
(also owns Nash Pigg Farms +
Dean Street Processing, Bailey)</t>
        </is>
      </c>
      <c r="P57" s="145" t="inlineStr">
        <is>
          <t>★ CURRENT
SUPPLIER</t>
        </is>
      </c>
      <c r="Q57" s="178" t="inlineStr">
        <is>
          <t>CURRENT — Model A live: hog-only custom floor; headroom via a dedicated kill day; unique contract-raise-to-spec lever (Nash Pigg). Audit the 2018-20 welfare history before scaling.</t>
        </is>
      </c>
      <c r="R57" s="179" t="inlineStr">
        <is>
          <t>deanstreetprocessing.com (sister co.)</t>
        </is>
      </c>
      <c r="S57" s="83" t="inlineStr">
        <is>
          <t>High
(FSIS+NCDA 8-17)</t>
        </is>
      </c>
      <c r="T57"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
SOCIAL/OTHER 9-30: County directory: slaughter HOGS only; labels with farmer's name; sells inside and outside NC.</t>
        </is>
      </c>
      <c r="U57" s="211" t="inlineStr">
        <is>
          <t>C-01</t>
        </is>
      </c>
      <c r="V57" s="210" t="inlineStr">
        <is>
          <t>—</t>
        </is>
      </c>
    </row>
    <row r="58" ht="219.4" customHeight="1" s="59">
      <c r="A58" s="4" t="inlineStr">
        <is>
          <t>Nahunta Pork Center</t>
        </is>
      </c>
      <c r="B58" s="68" t="inlineStr">
        <is>
          <t>Pikeville, NC</t>
        </is>
      </c>
      <c r="C58" s="68" t="inlineStr">
        <is>
          <t>Custom slaughter + pork retail</t>
        </is>
      </c>
      <c r="D58" s="68" t="inlineStr">
        <is>
          <t>~150/day claimed peak;
500+/wk (mid-2010s figure).
Current kill UNVERIFIED — ask Brandon</t>
        </is>
      </c>
      <c r="E58" s="88" t="inlineStr">
        <is>
          <t>YES · ~72 mi
(Pikeville: ~0 mi — the old anchor sat here)</t>
        </is>
      </c>
      <c r="F58" s="142" t="inlineStr">
        <is>
          <t>300-700/wk
(hist. 500+/wk — confirm current)</t>
        </is>
      </c>
      <c r="G58" s="68" t="inlineStr">
        <is>
          <t>Yes — swine
(NC state programme;
no FSIS species flags published)</t>
        </is>
      </c>
      <c r="H58" s="68" t="inlineStr">
        <is>
          <t>STATE only
(NOT USDA)</t>
        </is>
      </c>
      <c r="I58" s="68" t="inlineStr">
        <is>
          <t>None found — and NOTE THE LIMIT: NCDA&amp;CS publishes no searchable state-plant enforcement log and FSIS reporting does not cover state plants, so welfare here is a SITE-VISIT finding. Client's own crews on-site are the best evidence.</t>
        </is>
      </c>
      <c r="J58"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58" s="68" t="inlineStr">
        <is>
          <t>Strong — 3rd-gen Pierce family, decades of staff tenure; the culture benchmark</t>
        </is>
      </c>
      <c r="L58"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58" s="68" t="inlineStr">
        <is>
          <t>Yes (already custom-slaughters 3rd-party animals)</t>
        </is>
      </c>
      <c r="N58" s="68" t="inlineStr">
        <is>
          <t>Yes</t>
        </is>
      </c>
      <c r="O58" s="68" t="inlineStr">
        <is>
          <t>(919) 242-4735
bpierce@nahuntapork.com
GM Brandon Pierce
nahuntapork.com/specimen-permits1</t>
        </is>
      </c>
      <c r="P58" s="145" t="inlineStr">
        <is>
          <t>★ CURRENT
SUPPLIER</t>
        </is>
      </c>
      <c r="Q58" s="178" t="inlineStr">
        <is>
          <t>CURRENT — Model A anchor: best quality &amp; relationship; specimen pathway; most target organs have no retail SKU (a competing wholesale/rendering use is not ruled out); export-eligible via NC-state equivalence.</t>
        </is>
      </c>
      <c r="R58" s="179" t="inlineStr">
        <is>
          <t>nahuntapork.com</t>
        </is>
      </c>
      <c r="S58" s="68" t="inlineStr">
        <is>
          <t>High
(FSIS+NCDA 8-17)</t>
        </is>
      </c>
      <c r="T58"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c r="U58" s="211" t="inlineStr">
        <is>
          <t>C-02</t>
        </is>
      </c>
      <c r="V58" s="210" t="inlineStr">
        <is>
          <t>—</t>
        </is>
      </c>
    </row>
    <row r="59" ht="206" customHeight="1" s="59">
      <c r="A59" s="4" t="inlineStr">
        <is>
          <t>Martin's Pork Products, Inc.</t>
        </is>
      </c>
      <c r="B59" s="68" t="inlineStr">
        <is>
          <t>Falcon, NC</t>
        </is>
      </c>
      <c r="C59" s="68" t="inlineStr">
        <is>
          <t>USDA (Talmadge-Aiken) slaughter + processing</t>
        </is>
      </c>
      <c r="D59" s="133" t="inlineStr">
        <is>
          <t>192–1,944/wk (FSIS cat 3 ceiling)</t>
        </is>
      </c>
      <c r="E59" s="88" t="inlineStr">
        <is>
          <t>YES · ~74 mi
(Pikeville: ~45 mi)</t>
        </is>
      </c>
      <c r="F59" s="136" t="inlineStr">
        <is>
          <t>1,250-5,000/wk
(stated 1,500-2,500)</t>
        </is>
      </c>
      <c r="G59" s="134" t="inlineStr">
        <is>
          <t>⚠ BOAR/STAG flagged (FSIS)
MARKET HOG + boar/stag
(sow: No)</t>
        </is>
      </c>
      <c r="H59" s="68" t="inlineStr">
        <is>
          <t>USDA ✓
(T-A, TA-6720)</t>
        </is>
      </c>
      <c r="I59"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59" s="68" t="inlineStr">
        <is>
          <t>FSIS-listed (TA-6720); NOT on public export lists — verify w/ APHIS VS</t>
        </is>
      </c>
      <c r="K59" s="68" t="inlineStr">
        <is>
          <t>Incumbent — 'ok' experience; quality issues harder to resolve (weaker culture/responsiveness than Nahunta); ~75 staff</t>
        </is>
      </c>
      <c r="L59" s="68" t="inlineStr">
        <is>
          <t>Pork slaughter + processing + wholesale</t>
        </is>
      </c>
      <c r="M59" s="68" t="inlineStr">
        <is>
          <t>Possible</t>
        </is>
      </c>
      <c r="N59" s="68" t="inlineStr">
        <is>
          <t>Yes (incumbent)</t>
        </is>
      </c>
      <c r="O59" s="68" t="inlineStr">
        <is>
          <t>(910) 980-1501
beth@martinspork.com
President: Beth Holmes
PO Box 56, 6657 King St, Falcon</t>
        </is>
      </c>
      <c r="P59" s="145" t="inlineStr">
        <is>
          <t>★ CURRENT
SUPPLIER</t>
        </is>
      </c>
      <c r="Q59"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59" s="179" t="inlineStr">
        <is>
          <t>no working website (martinspork.com defunct)</t>
        </is>
      </c>
      <c r="S59" s="68" t="inlineStr">
        <is>
          <t>High
(FSIS+NCDA 8-17)</t>
        </is>
      </c>
      <c r="T59"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c r="U59" s="211" t="inlineStr">
        <is>
          <t>C-03</t>
        </is>
      </c>
      <c r="V59" s="210" t="inlineStr">
        <is>
          <t>—</t>
        </is>
      </c>
    </row>
    <row r="60" ht="192.6" customHeight="1" s="59">
      <c r="A60" s="82" t="inlineStr">
        <is>
          <t>The Pork Company (Villari Food Group)</t>
        </is>
      </c>
      <c r="B60" s="83" t="inlineStr">
        <is>
          <t>Warsaw, NC (Duplin)</t>
        </is>
      </c>
      <c r="C60" s="83" t="inlineStr">
        <is>
          <t>USDA federal fresh-pork HARVEST plant</t>
        </is>
      </c>
      <c r="D60" s="83" t="inlineStr">
        <is>
          <t>~7,500/wk (1,500 hd/day, EMI 2017)
· HACCP Small (10-499 employees)</t>
        </is>
      </c>
      <c r="E60" s="88" t="inlineStr">
        <is>
          <t>YES · ~96 mi
(Pikeville: ~45 mi)</t>
        </is>
      </c>
      <c r="F60" s="195" t="inlineStr">
        <is>
          <t>5,000+/wk (~7,500)</t>
        </is>
      </c>
      <c r="G60" s="83" t="inlineStr">
        <is>
          <t>⚠ BOAR/STAG flagged (FSIS)
MARKET + boar/stag
(sow: No, roaster: No)</t>
        </is>
      </c>
      <c r="H60" s="83" t="inlineStr">
        <is>
          <t>USDA ✓ M20608</t>
        </is>
      </c>
      <c r="I60"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0" s="83" t="inlineStr">
        <is>
          <t>Sister plant Villari Food Group is EXPORT-CERTIFIED for pork (FSIS, edible). APHIS by-product listing unverified</t>
        </is>
      </c>
      <c r="K60" s="83" t="inlineStr">
        <is>
          <t>⚠⚠ TWO humane-handling NOIEs — 11 May 2022 AND 8 May 2025 (repeat pattern, 3 yrs apart)</t>
        </is>
      </c>
      <c r="L60"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0" s="83" t="inlineStr">
        <is>
          <t>Unlikely at 1,500 hd/day</t>
        </is>
      </c>
      <c r="N60" s="83" t="inlineStr">
        <is>
          <t>No — hard gate on tissue</t>
        </is>
      </c>
      <c r="O60" s="83" t="inlineStr">
        <is>
          <t>(910) 293-2157
GM Cory Johnson (cory.j@vfgmail.com)
Plant Mgr Rickie Purnell (rickie.p@vfgmail.com)
CEO Joe Villari (strategic ask)</t>
        </is>
      </c>
      <c r="P60" s="145" t="inlineStr">
        <is>
          <t>★ CURRENT
SUPPLIER</t>
        </is>
      </c>
      <c r="Q60"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60" s="179" t="inlineStr">
        <is>
          <t>villarifood.com</t>
        </is>
      </c>
      <c r="S60" s="83" t="inlineStr">
        <is>
          <t>High
(FSIS/site 9-03)</t>
        </is>
      </c>
      <c r="T60"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c r="U60" s="211" t="inlineStr">
        <is>
          <t>C-04</t>
        </is>
      </c>
      <c r="V60" s="210" t="inlineStr">
        <is>
          <t>—</t>
        </is>
      </c>
    </row>
    <row r="61" ht="139" customHeight="1" s="59">
      <c r="A61" s="82" t="inlineStr">
        <is>
          <t>Parks Family Meats, LLC</t>
        </is>
      </c>
      <c r="B61" s="83" t="inlineStr">
        <is>
          <t>Warsaw, NC (Duplin)</t>
        </is>
      </c>
      <c r="C61" s="83" t="inlineStr">
        <is>
          <t>Talmadge-Aiken SLAUGHTER-ONLY plant
(FSIS: slaughter_or_processing_only = Slaughter)</t>
        </is>
      </c>
      <c r="D61" s="83" t="inlineStr">
        <is>
          <t>~400-1,000/wk (client mtg 2026-08);
stated 400/day capacity —
cat-3 actuals confirm headroom exists
· HACCP Small (10-499 employees)</t>
        </is>
      </c>
      <c r="E61" s="88" t="inlineStr">
        <is>
          <t>YES · ~97 mi
(Pikeville: ~45 mi)</t>
        </is>
      </c>
      <c r="F61" s="137" t="inlineStr">
        <is>
          <t>300-1,200/wk
(stated 400-1,000 —
spans two brackets; confirm)</t>
        </is>
      </c>
      <c r="G61" s="134" t="inlineStr">
        <is>
          <t>MARKET + ROASTER
(NOT roaster-only)</t>
        </is>
      </c>
      <c r="H61" s="83" t="inlineStr">
        <is>
          <t>USDA ✓ M18296A
(the study's 'TA-18296A' is the
Talmadge-Aiken designation of the
same establishment)</t>
        </is>
      </c>
      <c r="I61" s="83" t="inlineStr">
        <is>
          <t>None found (FSIS QERs searched through Q3 FY2026 — NOT a clean bill)</t>
        </is>
      </c>
      <c r="J61" s="83" t="inlineStr">
        <is>
          <t>TA = interstate/export eligible. Company claims Caribbean export (self-reported, UNVERIFIED). APHIS listing not found</t>
        </is>
      </c>
      <c r="K61" s="83" t="inlineStr">
        <is>
          <t>None found in the FSIS QERs through Q3 FY2026 (narrow negative — routine NRs are not published)</t>
        </is>
      </c>
      <c r="L61" s="83" t="inlineStr">
        <is>
          <t>Roaster line dresses whole-body — suits intact-block recovery; organs near-zero-value byproduct on their lines. Cold storage + Caribbean-export chill-chain discipline already on site.</t>
        </is>
      </c>
      <c r="M61" s="83" t="inlineStr">
        <is>
          <t>Their floor hosts THEIR crew —
see Model B column (B-T live)</t>
        </is>
      </c>
      <c r="N61" s="83" t="inlineStr">
        <is>
          <t>★ MODEL B-T LIVE — THEIR people
harvest, trained by US
(client-corrected 2026-09-03)</t>
        </is>
      </c>
      <c r="O61" s="83" t="inlineStr">
        <is>
          <t>PLANT: Kevin Krum, COO (910) 290-0075
kevin.krum@parkslivestock.com
Plant Supervisor Albino Cardoso (910) 284-2354
(Mike Maxwell = corporate sales, Danville IL)</t>
        </is>
      </c>
      <c r="P61" s="145" t="inlineStr">
        <is>
          <t>★ CURRENT
SUPPLIER</t>
        </is>
      </c>
      <c r="Q61" s="178" t="inlineStr">
        <is>
          <t>CURRENT — the Model B-T template: their crew, our training. Bigger than it feels (29-facility parent can source hogs to spec); fix is program pricing, not replacement.</t>
        </is>
      </c>
      <c r="R61" s="179" t="inlineStr">
        <is>
          <t>parkslivestock.com</t>
        </is>
      </c>
      <c r="S61" s="83" t="inlineStr">
        <is>
          <t>High
(FSIS/site 9-03)</t>
        </is>
      </c>
      <c r="T61"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c r="U61" s="211" t="inlineStr">
        <is>
          <t>C-05</t>
        </is>
      </c>
      <c r="V61" s="210" t="inlineStr">
        <is>
          <t>—</t>
        </is>
      </c>
    </row>
    <row r="62" ht="19.7" customHeight="1" s="59">
      <c r="A62" s="206" t="inlineStr">
        <is>
          <t>D · REFERRAL / NETWORK CONTACTS — not plants; introductions and intel</t>
        </is>
      </c>
      <c r="B62" s="171" t="n"/>
      <c r="C62" s="171" t="n"/>
      <c r="D62" s="171" t="n"/>
      <c r="E62" s="171" t="n"/>
      <c r="F62" s="171" t="n"/>
      <c r="G62" s="171" t="n"/>
      <c r="H62" s="171" t="n"/>
      <c r="I62" s="171" t="n"/>
      <c r="J62" s="171" t="n"/>
      <c r="K62" s="171" t="n"/>
      <c r="L62" s="171" t="n"/>
      <c r="M62" s="171" t="n"/>
      <c r="N62" s="171" t="n"/>
      <c r="O62" s="171" t="n"/>
      <c r="P62" s="171" t="n"/>
      <c r="Q62" s="171" t="n"/>
      <c r="R62" s="171" t="n"/>
      <c r="S62" s="171" t="n"/>
      <c r="T62" s="171" t="n"/>
      <c r="U62" s="171" t="n"/>
      <c r="V62" s="172" t="n"/>
    </row>
    <row r="63" ht="58.6" customHeight="1" s="59">
      <c r="A63" s="138" t="inlineStr">
        <is>
          <t>Firsthand Foods</t>
        </is>
      </c>
      <c r="B63" s="68" t="inlineStr">
        <is>
          <t>Durham, NC</t>
        </is>
      </c>
      <c r="C63" s="68" t="inlineStr">
        <is>
          <t>Referral / network contact (not a plant)</t>
        </is>
      </c>
      <c r="D63" s="68" t="inlineStr">
        <is>
          <t>n/a</t>
        </is>
      </c>
      <c r="E63" s="88" t="inlineStr">
        <is>
          <t>YES · ~2 mi
(Pikeville: n/m)</t>
        </is>
      </c>
      <c r="F63" s="143" t="inlineStr">
        <is>
          <t>n/a</t>
        </is>
      </c>
      <c r="G63" s="68" t="inlineStr">
        <is>
          <t>n/a</t>
        </is>
      </c>
      <c r="H63" s="68" t="inlineStr">
        <is>
          <t>n/a (not a slaughter plant)</t>
        </is>
      </c>
      <c r="I63" s="25" t="inlineStr">
        <is>
          <t>n/a</t>
        </is>
      </c>
      <c r="J63" s="68" t="inlineStr">
        <is>
          <t>n/a</t>
        </is>
      </c>
      <c r="K63" s="68" t="inlineStr">
        <is>
          <t>n/a</t>
        </is>
      </c>
      <c r="L63" s="68" t="inlineStr">
        <is>
          <t>n/a</t>
        </is>
      </c>
      <c r="M63" s="68" t="inlineStr">
        <is>
          <t>n/a</t>
        </is>
      </c>
      <c r="N63" s="68" t="inlineStr">
        <is>
          <t>n/a</t>
        </is>
      </c>
      <c r="O63" s="68" t="inlineStr">
        <is>
          <t>919-599-0804 · 2210 East Pettigrew Street, Durham, NC 27703</t>
        </is>
      </c>
      <c r="P63" s="145" t="inlineStr">
        <is>
          <t>REFERRAL</t>
        </is>
      </c>
      <c r="Q63" s="178" t="inlineStr">
        <is>
          <t>Local pasture-raised meat hub coordinating small producers and processors: ask which plants kill their pigs and who controls organ rights. Zero-cost referral call (Beebop #26).</t>
        </is>
      </c>
      <c r="R63" s="179" t="inlineStr">
        <is>
          <t>firsthandfoods.com (live)</t>
        </is>
      </c>
      <c r="S63" s="68" t="inlineStr">
        <is>
          <t>High (Beebop 9-28; sites verified)</t>
        </is>
      </c>
      <c r="T63" s="68" t="inlineStr">
        <is>
          <t>Referral lane added 2026-09-28 from the Beebop plan — introductions and intel only.</t>
        </is>
      </c>
      <c r="U63" s="211" t="inlineStr">
        <is>
          <t>D-01</t>
        </is>
      </c>
      <c r="V63" s="210" t="inlineStr">
        <is>
          <t>—</t>
        </is>
      </c>
    </row>
    <row r="64" ht="45.2" customHeight="1" s="59">
      <c r="A64" s="138" t="inlineStr">
        <is>
          <t>NC Choices, Sarah Blacklin</t>
        </is>
      </c>
      <c r="B64" s="68" t="inlineStr">
        <is>
          <t>Raleigh, NC</t>
        </is>
      </c>
      <c r="C64" s="68" t="inlineStr">
        <is>
          <t>Referral / network contact (not a plant)</t>
        </is>
      </c>
      <c r="D64" s="68" t="inlineStr">
        <is>
          <t>n/a</t>
        </is>
      </c>
      <c r="E64" s="88" t="inlineStr">
        <is>
          <t>YES · ~24 mi
(Pikeville: n/m)</t>
        </is>
      </c>
      <c r="F64" s="143" t="inlineStr">
        <is>
          <t>n/a</t>
        </is>
      </c>
      <c r="G64" s="68" t="inlineStr">
        <is>
          <t>n/a</t>
        </is>
      </c>
      <c r="H64" s="68" t="inlineStr">
        <is>
          <t>n/a (not a slaughter plant)</t>
        </is>
      </c>
      <c r="I64" s="25" t="inlineStr">
        <is>
          <t>n/a</t>
        </is>
      </c>
      <c r="J64" s="68" t="inlineStr">
        <is>
          <t>n/a</t>
        </is>
      </c>
      <c r="K64" s="68" t="inlineStr">
        <is>
          <t>n/a</t>
        </is>
      </c>
      <c r="L64" s="68" t="inlineStr">
        <is>
          <t>n/a</t>
        </is>
      </c>
      <c r="M64" s="68" t="inlineStr">
        <is>
          <t>n/a</t>
        </is>
      </c>
      <c r="N64" s="68" t="inlineStr">
        <is>
          <t>n/a</t>
        </is>
      </c>
      <c r="O64" s="68" t="inlineStr">
        <is>
          <t>919-928-4771 · 840 Oval Drive, Raleigh, NC 27606</t>
        </is>
      </c>
      <c r="P64" s="145" t="inlineStr">
        <is>
          <t>REFERRAL</t>
        </is>
      </c>
      <c r="Q64" s="178" t="inlineStr">
        <is>
          <t>NC State / CEFS niche-meat network — best placed to name operators open to a paid harvest partnership and newly active plants (Beebop #29).</t>
        </is>
      </c>
      <c r="R64" s="179" t="inlineStr">
        <is>
          <t>ncchoices.com (live)</t>
        </is>
      </c>
      <c r="S64" s="68" t="inlineStr">
        <is>
          <t>High (Beebop 9-28; sites verified)</t>
        </is>
      </c>
      <c r="T64" s="68" t="inlineStr">
        <is>
          <t>Referral lane added 2026-09-28 from the Beebop plan — introductions and intel only.</t>
        </is>
      </c>
      <c r="U64" s="211" t="inlineStr">
        <is>
          <t>D-02</t>
        </is>
      </c>
      <c r="V64" s="210" t="inlineStr">
        <is>
          <t>—</t>
        </is>
      </c>
    </row>
    <row r="65" ht="58.6" customHeight="1" s="59">
      <c r="A65" s="138" t="inlineStr">
        <is>
          <t>NC Meat and Poultry Inspection Division</t>
        </is>
      </c>
      <c r="B65" s="68" t="inlineStr">
        <is>
          <t>Raleigh, NC</t>
        </is>
      </c>
      <c r="C65" s="68" t="inlineStr">
        <is>
          <t>Referral / network contact (not a plant)</t>
        </is>
      </c>
      <c r="D65" s="68" t="inlineStr">
        <is>
          <t>n/a</t>
        </is>
      </c>
      <c r="E65" s="88" t="inlineStr">
        <is>
          <t>YES · ~25 mi
(Pikeville: n/m)</t>
        </is>
      </c>
      <c r="F65" s="143" t="inlineStr">
        <is>
          <t>n/a</t>
        </is>
      </c>
      <c r="G65" s="68" t="inlineStr">
        <is>
          <t>n/a</t>
        </is>
      </c>
      <c r="H65" s="68" t="inlineStr">
        <is>
          <t>n/a (not a slaughter plant)</t>
        </is>
      </c>
      <c r="I65" s="25" t="inlineStr">
        <is>
          <t>n/a</t>
        </is>
      </c>
      <c r="J65" s="68" t="inlineStr">
        <is>
          <t>n/a</t>
        </is>
      </c>
      <c r="K65" s="68" t="inlineStr">
        <is>
          <t>n/a</t>
        </is>
      </c>
      <c r="L65" s="68" t="inlineStr">
        <is>
          <t>n/a</t>
        </is>
      </c>
      <c r="M65" s="68" t="inlineStr">
        <is>
          <t>n/a</t>
        </is>
      </c>
      <c r="N65" s="68" t="inlineStr">
        <is>
          <t>n/a</t>
        </is>
      </c>
      <c r="O65" s="68" t="inlineStr">
        <is>
          <t>919-707-3180 · 2 West Edenton Street, Raleigh, NC 27601</t>
        </is>
      </c>
      <c r="P65" s="145" t="inlineStr">
        <is>
          <t>REFERRAL</t>
        </is>
      </c>
      <c r="Q65" s="178" t="inlineStr">
        <is>
          <t>The state inspection division: confirms newly active or changed swine plants and the specimen-collection rules for our model (Beebop #30). Source of the 09-18 directory.</t>
        </is>
      </c>
      <c r="R65" s="179" t="inlineStr">
        <is>
          <t>ncagr.gov/divisions/meat-poultry-inspection</t>
        </is>
      </c>
      <c r="S65" s="68" t="inlineStr">
        <is>
          <t>High (Beebop 9-28; sites verified)</t>
        </is>
      </c>
      <c r="T65" s="68" t="inlineStr">
        <is>
          <t>Referral lane added 2026-09-28 from the Beebop plan — introductions and intel only.</t>
        </is>
      </c>
      <c r="U65" s="211" t="inlineStr">
        <is>
          <t>D-03</t>
        </is>
      </c>
      <c r="V65" s="210" t="inlineStr">
        <is>
          <t>—</t>
        </is>
      </c>
    </row>
    <row r="66" ht="45.2" customHeight="1" s="59">
      <c r="A66" s="138" t="inlineStr">
        <is>
          <t>Carolina Packers</t>
        </is>
      </c>
      <c r="B66" s="68" t="inlineStr">
        <is>
          <t>Smithfield, NC</t>
        </is>
      </c>
      <c r="C66" s="68" t="inlineStr">
        <is>
          <t>Referral / network contact (not a plant)</t>
        </is>
      </c>
      <c r="D66" s="68" t="inlineStr">
        <is>
          <t>n/a</t>
        </is>
      </c>
      <c r="E66" s="88" t="inlineStr">
        <is>
          <t>YES · ~58 mi
(Pikeville: n/m)</t>
        </is>
      </c>
      <c r="F66" s="143" t="inlineStr">
        <is>
          <t>n/a</t>
        </is>
      </c>
      <c r="G66" s="68" t="inlineStr">
        <is>
          <t>n/a</t>
        </is>
      </c>
      <c r="H66" s="68" t="inlineStr">
        <is>
          <t>TA-19836 — processing only</t>
        </is>
      </c>
      <c r="I66" s="25" t="inlineStr">
        <is>
          <t>n/a</t>
        </is>
      </c>
      <c r="J66" s="68" t="inlineStr">
        <is>
          <t>n/a</t>
        </is>
      </c>
      <c r="K66" s="68" t="inlineStr">
        <is>
          <t>n/a</t>
        </is>
      </c>
      <c r="L66" s="68" t="inlineStr">
        <is>
          <t>n/a</t>
        </is>
      </c>
      <c r="M66" s="68" t="inlineStr">
        <is>
          <t>n/a</t>
        </is>
      </c>
      <c r="N66" s="68" t="inlineStr">
        <is>
          <t>n/a</t>
        </is>
      </c>
      <c r="O66" s="68" t="inlineStr">
        <is>
          <t>919-934-2181 · 2999 South Brightleaf Boulevard, Smithfield, NC 27577</t>
        </is>
      </c>
      <c r="P66" s="145" t="inlineStr">
        <is>
          <t>REFERRAL</t>
        </is>
      </c>
      <c r="Q66" s="178" t="inlineStr">
        <is>
          <t>Bright Leaf hot-dog maker; processing only (TA-19836, no slaughter) — an upstream-introduction call, not capacity (Beebop #28).</t>
        </is>
      </c>
      <c r="R66" s="179" t="inlineStr">
        <is>
          <t>carolinapackers.com (live)</t>
        </is>
      </c>
      <c r="S66" s="68" t="inlineStr">
        <is>
          <t>High (Beebop 9-28; sites verified)</t>
        </is>
      </c>
      <c r="T66" s="68" t="inlineStr">
        <is>
          <t>Referral lane added 2026-09-28 from the Beebop plan — introductions and intel only.</t>
        </is>
      </c>
      <c r="U66" s="211" t="inlineStr">
        <is>
          <t>D-04</t>
        </is>
      </c>
      <c r="V66" s="210" t="inlineStr">
        <is>
          <t>—</t>
        </is>
      </c>
    </row>
    <row r="67" ht="58.6" customHeight="1" s="59">
      <c r="A67" s="138" t="inlineStr">
        <is>
          <t>Heritage Farms Cheshire Pork</t>
        </is>
      </c>
      <c r="B67" s="68" t="inlineStr">
        <is>
          <t>Goldsboro, NC</t>
        </is>
      </c>
      <c r="C67" s="68" t="inlineStr">
        <is>
          <t>Referral / network contact (not a plant)</t>
        </is>
      </c>
      <c r="D67" s="68" t="inlineStr">
        <is>
          <t>n/a</t>
        </is>
      </c>
      <c r="E67" s="88" t="inlineStr">
        <is>
          <t>YES · ~86 mi
(Pikeville: n/m)</t>
        </is>
      </c>
      <c r="F67" s="143" t="inlineStr">
        <is>
          <t>n/a</t>
        </is>
      </c>
      <c r="G67" s="68" t="inlineStr">
        <is>
          <t>n/a</t>
        </is>
      </c>
      <c r="H67" s="68" t="inlineStr">
        <is>
          <t>n/a (not a slaughter plant)</t>
        </is>
      </c>
      <c r="I67" s="25" t="inlineStr">
        <is>
          <t>n/a</t>
        </is>
      </c>
      <c r="J67" s="68" t="inlineStr">
        <is>
          <t>n/a</t>
        </is>
      </c>
      <c r="K67" s="68" t="inlineStr">
        <is>
          <t>n/a</t>
        </is>
      </c>
      <c r="L67" s="68" t="inlineStr">
        <is>
          <t>n/a</t>
        </is>
      </c>
      <c r="M67" s="68" t="inlineStr">
        <is>
          <t>n/a</t>
        </is>
      </c>
      <c r="N67" s="68" t="inlineStr">
        <is>
          <t>n/a</t>
        </is>
      </c>
      <c r="O67" s="68" t="inlineStr">
        <is>
          <t>919-222-9496 · 340 Dollard Town Road, Goldsboro, NC 27534</t>
        </is>
      </c>
      <c r="P67" s="145" t="inlineStr">
        <is>
          <t>REFERRAL</t>
        </is>
      </c>
      <c r="Q67" s="178" t="inlineStr">
        <is>
          <t>Heritage-breed pork brand ~10 mi from Pikeville: the question is which plant kills Cheshire pigs and whether intact blocks can be reserved at slaughter (Beebop #27).</t>
        </is>
      </c>
      <c r="R67" s="179" t="inlineStr">
        <is>
          <t>cheshirepork.com (live)</t>
        </is>
      </c>
      <c r="S67" s="68" t="inlineStr">
        <is>
          <t>High (Beebop 9-28; sites verified)</t>
        </is>
      </c>
      <c r="T67" s="68" t="inlineStr">
        <is>
          <t>Referral lane added 2026-09-28 from the Beebop plan — introductions and intel only.</t>
        </is>
      </c>
      <c r="U67" s="211" t="inlineStr">
        <is>
          <t>D-05</t>
        </is>
      </c>
      <c r="V67" s="210" t="inlineStr">
        <is>
          <t>—</t>
        </is>
      </c>
    </row>
    <row r="68" ht="19.7" customHeight="1" s="59">
      <c r="A68" s="206" t="inlineStr">
        <is>
          <t>E · NATIONAL &amp; MIDWEST — out-of-region slaughter plants and direct-tissue sources (anywhere; see also the National Direct Suppliers tab)</t>
        </is>
      </c>
      <c r="B68" s="171" t="n"/>
      <c r="C68" s="171" t="n"/>
      <c r="D68" s="171" t="n"/>
      <c r="E68" s="171" t="n"/>
      <c r="F68" s="171" t="n"/>
      <c r="G68" s="171" t="n"/>
      <c r="H68" s="171" t="n"/>
      <c r="I68" s="171" t="n"/>
      <c r="J68" s="171" t="n"/>
      <c r="K68" s="171" t="n"/>
      <c r="L68" s="171" t="n"/>
      <c r="M68" s="171" t="n"/>
      <c r="N68" s="171" t="n"/>
      <c r="O68" s="171" t="n"/>
      <c r="P68" s="171" t="n"/>
      <c r="Q68" s="171" t="n"/>
      <c r="R68" s="171" t="n"/>
      <c r="S68" s="171" t="n"/>
      <c r="T68" s="171" t="n"/>
      <c r="U68" s="171" t="n"/>
      <c r="V68" s="172" t="n"/>
    </row>
    <row r="69" ht="85.40000000000001" customHeight="1" s="59">
      <c r="A69" s="4" t="inlineStr">
        <is>
          <t>Leidy's, LLC</t>
        </is>
      </c>
      <c r="B69" s="68" t="inlineStr">
        <is>
          <t>Souderton, PA</t>
        </is>
      </c>
      <c r="C69" s="68" t="inlineStr">
        <is>
          <t>USDA federal market-hog slaughter, operating since 1893</t>
        </is>
      </c>
      <c r="D69" s="68" t="inlineStr">
        <is>
          <t>~5,000-7,000/wk (EMI 1,350/day; company/trade say 1,000-1,200/day; 220+ staff)
· HACCP Small (10-499 employees)</t>
        </is>
      </c>
      <c r="E69" s="110" t="inlineStr">
        <is>
          <t>NO
(Durham: n/m)</t>
        </is>
      </c>
      <c r="F69" s="195" t="inlineStr">
        <is>
          <t>5,000+/wk (~5,000-7,000)</t>
        </is>
      </c>
      <c r="G69" s="68" t="inlineStr">
        <is>
          <t>Yes — MARKET</t>
        </is>
      </c>
      <c r="H69" s="68" t="inlineStr">
        <is>
          <t>USDA ✓ M9520+P9520+V9520
✅ EXPORT-CERTIFIED</t>
        </is>
      </c>
      <c r="I69" s="68" t="inlineStr">
        <is>
          <t>See the Welfare &amp; culture column — enforcement detail is carried there for these rows</t>
        </is>
      </c>
      <c r="J69" s="68" t="inlineStr">
        <is>
          <t>Not verified — APHIS publishes no searchable list; confirm with APHIS VS</t>
        </is>
      </c>
      <c r="K69" s="68" t="inlineStr">
        <is>
          <t>Not on the current FSIS enforcement page (1-yr window)</t>
        </is>
      </c>
      <c r="L69" s="68" t="inlineStr">
        <is>
          <t>None published</t>
        </is>
      </c>
      <c r="M69" s="68" t="inlineStr">
        <is>
          <t>Plausible — ASK WHETHER ABI OR LAMPIRE TECHNICIANS ALREADY HARVEST HERE; if so, a Model A precedent already exists</t>
        </is>
      </c>
      <c r="N69" s="68" t="inlineStr">
        <is>
          <t>Plausible</t>
        </is>
      </c>
      <c r="O69" s="68" t="inlineStr">
        <is>
          <t>(215) 723-4606
266 W Cherry Ln, Souderton PA</t>
        </is>
      </c>
      <c r="P69" s="20" t="inlineStr">
        <is>
          <t>STRONG FIT</t>
        </is>
      </c>
      <c r="Q69" s="178" t="inlineStr">
        <is>
          <t>Back-pool — passes no current tier; see Fit and notes for what a call would need to change.</t>
        </is>
      </c>
      <c r="R69" s="179" t="inlineStr">
        <is>
          <t>—</t>
        </is>
      </c>
      <c r="S69" s="68" t="inlineStr">
        <is>
          <t>Med
(study 8-03/05)</t>
        </is>
      </c>
      <c r="T69" s="68" t="inlineStr">
        <is>
          <t>★ BEST PA ENTRY POINT. ~5 MILES from Animal Biotech Industries' lab at Harleysville, and one of only TWO PA swine plants holding export certification. Also appears in the 'just above band' group — Medium-High/High boundary.</t>
        </is>
      </c>
      <c r="U69" s="212" t="inlineStr">
        <is>
          <t>E-01</t>
        </is>
      </c>
      <c r="V69" s="210" t="inlineStr">
        <is>
          <t>—</t>
        </is>
      </c>
    </row>
    <row r="70" ht="139" customHeight="1" s="59">
      <c r="A70" s="4" t="inlineStr">
        <is>
          <t>Midwest Research Swine (DBA of Collagen Solutions / Evergen)</t>
        </is>
      </c>
      <c r="B70" s="68" t="inlineStr">
        <is>
          <t>Glencoe / Gibbon, MN</t>
        </is>
      </c>
      <c r="C70" s="68" t="inlineStr">
        <is>
          <t>Porcine-ONLY abattoir + tissue-harvest facility</t>
        </is>
      </c>
      <c r="D70" s="68" t="inlineStr">
        <is>
          <t>~19-194/wk
(FSIS cat 2 ceiling — the
'20,000/yr ≈ 385/wk' figure
EXCEEDS it)</t>
        </is>
      </c>
      <c r="E70" s="111" t="inlineStr">
        <is>
          <t>confirm
(Durham: n/m)</t>
        </is>
      </c>
      <c r="F70" s="139" t="inlineStr">
        <is>
          <t>0-300/wk (cat-2 ≤194)</t>
        </is>
      </c>
      <c r="G70" s="68" t="inlineStr">
        <is>
          <t>MARKET + ROASTER
(sow: No, boar/stag: No)</t>
        </is>
      </c>
      <c r="H70" s="68" t="inlineStr">
        <is>
          <t>meat insp.
unconfirmed</t>
        </is>
      </c>
      <c r="I70" s="68" t="inlineStr">
        <is>
          <t>None found (small research facility; rarely in enforcement data)</t>
        </is>
      </c>
      <c r="J70"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70" s="68" t="inlineStr">
        <is>
          <t>Strong — closed herd, stringent QC; family (Theis, since 1978), ~20 staff</t>
        </is>
      </c>
      <c r="L70" s="68" t="inlineStr">
        <is>
          <t>YES — CORE BUSINESS: whole organs (decellularization), veins/arteries for implantation, mesh tissue, bio-samples; xeno/vaccine/stem-cell research</t>
        </is>
      </c>
      <c r="M70" s="68" t="inlineStr">
        <is>
          <t>Plausible (has harvest facility)</t>
        </is>
      </c>
      <c r="N70" s="68" t="inlineStr">
        <is>
          <t>Best fit — harvest to spec</t>
        </is>
      </c>
      <c r="O70" s="68" t="inlineStr">
        <is>
          <t>midwestresearchswine.com
(phone via site)</t>
        </is>
      </c>
      <c r="P70" s="20" t="inlineStr">
        <is>
          <t>STRONG FIT</t>
        </is>
      </c>
      <c r="Q70" s="178" t="inlineStr">
        <is>
          <t>Back-pool — passes no current tier; see Fit and notes for what a call would need to change.</t>
        </is>
      </c>
      <c r="R70" s="179" t="inlineStr">
        <is>
          <t>—</t>
        </is>
      </c>
      <c r="S70" s="68" t="inlineStr">
        <is>
          <t>High
(FSIS+MPI 8-06)</t>
        </is>
      </c>
      <c r="T70"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c r="U70" s="212" t="inlineStr">
        <is>
          <t>E-02</t>
        </is>
      </c>
      <c r="V70" s="210" t="inlineStr">
        <is>
          <t>—</t>
        </is>
      </c>
    </row>
    <row r="71" ht="125.6" customHeight="1" s="59">
      <c r="A71" s="4" t="inlineStr">
        <is>
          <t>Peoria Packing, Ltd.</t>
        </is>
      </c>
      <c r="B71" s="68" t="inlineStr">
        <is>
          <t>Grant Park, IL (slaughter)</t>
        </is>
      </c>
      <c r="C71" s="68" t="inlineStr">
        <is>
          <t>USDA federal slaughter; sister processing plant in Chicago</t>
        </is>
      </c>
      <c r="D71" s="68" t="inlineStr">
        <is>
          <t>~3,000/wk (600 hd/day EMI 2017; cat-4)
· HACCP Small (10-499 employees)</t>
        </is>
      </c>
      <c r="E71" s="110" t="inlineStr">
        <is>
          <t>NO
(Durham: n/m)</t>
        </is>
      </c>
      <c r="F71" s="136" t="inlineStr">
        <is>
          <t>1,250-5,000/wk (~3,000)</t>
        </is>
      </c>
      <c r="G71" s="68" t="inlineStr">
        <is>
          <t>Yes — MARKET HOGS (butcher hogs 180-230 lb)</t>
        </is>
      </c>
      <c r="H71" s="68" t="inlineStr">
        <is>
          <t>USDA ✓ M21651 (slaughter)
Sister M21826+V21826 Chicago = Certification-Export</t>
        </is>
      </c>
      <c r="I71" s="68" t="inlineStr">
        <is>
          <t>See the Welfare &amp; culture column — enforcement detail is carried there for these rows</t>
        </is>
      </c>
      <c r="J71" s="68" t="inlineStr">
        <is>
          <t>Not verified — APHIS publishes no searchable list; confirm with APHIS VS</t>
        </is>
      </c>
      <c r="K71" s="68" t="inlineStr">
        <is>
          <t>NO suspension in any QER FY2024-FY2026 (no public record)</t>
        </is>
      </c>
      <c r="L71"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71" s="68" t="inlineStr">
        <is>
          <t>Plausible</t>
        </is>
      </c>
      <c r="N71" s="68" t="inlineStr">
        <is>
          <t>EXCELLENT — already positions as medical/pharma supplier with spec flexibility</t>
        </is>
      </c>
      <c r="O71" s="68" t="inlineStr">
        <is>
          <t>(815) 465-9824 (Grant Park)
(312) 226-2600 (Chicago)</t>
        </is>
      </c>
      <c r="P71" s="20" t="inlineStr">
        <is>
          <t>STRONG FIT</t>
        </is>
      </c>
      <c r="Q71" s="178" t="inlineStr">
        <is>
          <t>Back-pool — passes no current tier; see Fit and notes for what a call would need to change.</t>
        </is>
      </c>
      <c r="R71" s="179" t="inlineStr">
        <is>
          <t>—</t>
        </is>
      </c>
      <c r="S71" s="68" t="inlineStr">
        <is>
          <t>Med
(study 8-03/05)</t>
        </is>
      </c>
      <c r="T71" s="68" t="inlineStr">
        <is>
          <t>★ BEST UNNAMED FIND — a genuine sleeper nobody had surfaced. Market hogs (not sows) so anatomy is smaller — confirm block dimensions suit the spec. Sister plant is export-certified.</t>
        </is>
      </c>
      <c r="U71" s="212" t="inlineStr">
        <is>
          <t>E-03</t>
        </is>
      </c>
      <c r="V71" s="210" t="inlineStr">
        <is>
          <t>—</t>
        </is>
      </c>
    </row>
    <row r="72" ht="165.8" customHeight="1" s="59">
      <c r="A72" s="4" t="inlineStr">
        <is>
          <t>Pioneer Packing Company, Inc.</t>
        </is>
      </c>
      <c r="B72" s="68" t="inlineStr">
        <is>
          <t>Bowling Green, OH</t>
        </is>
      </c>
      <c r="C72" s="68" t="inlineStr">
        <is>
          <t>PURE SOW/BOAR abattoir (FSIS 'Small')</t>
        </is>
      </c>
      <c r="D72" s="68" t="inlineStr">
        <is>
          <t>~2,250-2,430/wk (450 hd/day EMI 2017, flat)
· HACCP Small (10-499 employees)</t>
        </is>
      </c>
      <c r="E72" s="110" t="inlineStr">
        <is>
          <t>NO
(Durham: n/m)</t>
        </is>
      </c>
      <c r="F72" s="136" t="inlineStr">
        <is>
          <t>1,250-5,000/wk (~2,250-2,430)</t>
        </is>
      </c>
      <c r="G72" s="68" t="inlineStr">
        <is>
          <t>Yes — SOW + BOAR ONLY (market_swine flag BLANK)</t>
        </is>
      </c>
      <c r="H72" s="68" t="inlineStr">
        <is>
          <t>USDA ✓ M372 (grant 2021)</t>
        </is>
      </c>
      <c r="I72" s="68" t="inlineStr">
        <is>
          <t>See the Welfare &amp; culture column — enforcement detail is carried there for these rows</t>
        </is>
      </c>
      <c r="J72" s="68" t="inlineStr">
        <is>
          <t>Not verified — APHIS publishes no searchable list; confirm with APHIS VS</t>
        </is>
      </c>
      <c r="K72" s="68" t="inlineStr">
        <is>
          <t>Not on the current FSIS enforcement page (that page covers only ~Aug 2025-Jul 2026 — NOT a clean record)</t>
        </is>
      </c>
      <c r="L72"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72" s="68" t="inlineStr">
        <is>
          <t>STRONG — sow+boar only, single small site, pre-rigor culture</t>
        </is>
      </c>
      <c r="N72" s="68" t="inlineStr">
        <is>
          <t>STRONG — 'harvest to our spec' extends an existing SKU concept rather than creating a new discipline</t>
        </is>
      </c>
      <c r="O72" s="68" t="inlineStr">
        <is>
          <t>(419) 352-5283
510 Napoleon Rd, Bowling Green OH 43402
Mon-Fri 7am-2pm</t>
        </is>
      </c>
      <c r="P72" s="20" t="inlineStr">
        <is>
          <t>STRONG FIT</t>
        </is>
      </c>
      <c r="Q72" s="178" t="inlineStr">
        <is>
          <t>Back-pool — passes no current tier; see Fit and notes for what a call would need to change.</t>
        </is>
      </c>
      <c r="R72" s="179" t="inlineStr">
        <is>
          <t>—</t>
        </is>
      </c>
      <c r="S72" s="68" t="inlineStr">
        <is>
          <t>Med-High
(study 8-03/05)</t>
        </is>
      </c>
      <c r="T72"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c r="U72" s="212" t="inlineStr">
        <is>
          <t>E-04</t>
        </is>
      </c>
      <c r="V72" s="210" t="inlineStr">
        <is>
          <t>—</t>
        </is>
      </c>
    </row>
    <row r="73" ht="85.40000000000001" customHeight="1" s="59">
      <c r="A73" s="4" t="inlineStr">
        <is>
          <t>Smithfield BioScience — Denison</t>
        </is>
      </c>
      <c r="B73" s="68" t="inlineStr">
        <is>
          <t>Denison, IA
(+ Monmouth IL, Milan MO)</t>
        </is>
      </c>
      <c r="C73" s="68" t="inlineStr">
        <is>
          <t>LARGE packer + biologics program</t>
        </is>
      </c>
      <c r="D73" s="68" t="inlineStr">
        <is>
          <t>~10,000 / DAY
(organ exception)
· HACCP Large (500+ employees)</t>
        </is>
      </c>
      <c r="E73" s="110" t="inlineStr">
        <is>
          <t>NO
(Durham: n/m)</t>
        </is>
      </c>
      <c r="F73" s="195" t="inlineStr">
        <is>
          <t>5,000+/wk (~10k/DAY)</t>
        </is>
      </c>
      <c r="G73" s="68" t="inlineStr">
        <is>
          <t>MARKET only</t>
        </is>
      </c>
      <c r="H73" s="68" t="inlineStr">
        <is>
          <t>USDA ✓ M717 + P19051 + V717
(V = voluntary grant;
export-certified)</t>
        </is>
      </c>
      <c r="I73" s="25" t="inlineStr">
        <is>
          <t>⚠ REPEAT humane-handling: NOIE 2021 &amp; 2023; suspension 09/2024 (egregious). ASPCA line-speed concerns. Est. M717.</t>
        </is>
      </c>
      <c r="J73" s="68" t="inlineStr">
        <is>
          <t>FSIS export-certified (edible, Est. M717). Research-tissue via APHIS VS/TRACES unverified</t>
        </is>
      </c>
      <c r="K73" s="68" t="inlineStr">
        <is>
          <t>Industrial scale, but a structured biologics unit</t>
        </is>
      </c>
      <c r="L73" s="68" t="inlineStr">
        <is>
          <t>YES — full program: PELVIC (bladder, ovary); ABDOMINAL (kidney, liver, pancreas, sm. intestine, mucosa, peritoneum, pepsin lining); THORACIC (heart, valves, lung, aorta, pericardium, trachea); glands/skin/eyes</t>
        </is>
      </c>
      <c r="M73" s="68" t="inlineStr">
        <is>
          <t>Negotiate (industrial site)</t>
        </is>
      </c>
      <c r="N73" s="68" t="inlineStr">
        <is>
          <t>Strong — harvests in-house to customer spec</t>
        </is>
      </c>
      <c r="O73" s="68" t="inlineStr">
        <is>
          <t>smithfieldbioscience.com</t>
        </is>
      </c>
      <c r="P73" s="20" t="inlineStr">
        <is>
          <t>STRONG FIT
(organ exc.)</t>
        </is>
      </c>
      <c r="Q73" s="178" t="inlineStr">
        <is>
          <t>Back-pool — passes no current tier; see Fit and notes for what a call would need to change.</t>
        </is>
      </c>
      <c r="R73" s="179" t="inlineStr">
        <is>
          <t>—</t>
        </is>
      </c>
      <c r="S73" s="68" t="inlineStr">
        <is>
          <t>High
(study 8-03/05)</t>
        </is>
      </c>
      <c r="T73" s="68" t="inlineStr">
        <is>
          <t>The large packer that QUALIFIES via your organ exception — covers all three target regions harvested to spec. Model B natural fit; Model A access would need negotiation.</t>
        </is>
      </c>
      <c r="U73" s="212" t="inlineStr">
        <is>
          <t>E-05</t>
        </is>
      </c>
      <c r="V73" s="210" t="inlineStr">
        <is>
          <t>—</t>
        </is>
      </c>
    </row>
    <row r="74" ht="85.40000000000001" customHeight="1" s="59">
      <c r="A74" s="4" t="inlineStr">
        <is>
          <t>Carlton Packing Co. (dba Carlton Farms)</t>
        </is>
      </c>
      <c r="B74" s="68" t="inlineStr">
        <is>
          <t>Carlton, OR</t>
        </is>
      </c>
      <c r="C74" s="68" t="inlineStr">
        <is>
          <t>Market-hog + roaster slaughter, also beef; custom-exempt too</t>
        </is>
      </c>
      <c r="D74" s="68" t="inlineStr">
        <is>
          <t>~1,875-2,025/wk (375 hd/day, flat) — mixed-species floor means hog share is lower
· HACCP Small (10-499 employees)</t>
        </is>
      </c>
      <c r="E74" s="110" t="inlineStr">
        <is>
          <t>NO
(Durham: n/m)</t>
        </is>
      </c>
      <c r="F74" s="136" t="inlineStr">
        <is>
          <t>1,250-5,000/wk (~1,875-2,025)</t>
        </is>
      </c>
      <c r="G74" s="68" t="inlineStr">
        <is>
          <t>Yes — MARKET + ROASTER, NO SOW</t>
        </is>
      </c>
      <c r="H74" s="68" t="inlineStr">
        <is>
          <t>USDA ✓ M9228 + P9228 + V9228
(V = VOLUNTARY grant)</t>
        </is>
      </c>
      <c r="I74" s="68" t="inlineStr">
        <is>
          <t>See the Welfare &amp; culture column — enforcement detail is carried there for these rows</t>
        </is>
      </c>
      <c r="J74" s="68" t="inlineStr">
        <is>
          <t>Not verified — APHIS publishes no searchable list; confirm with APHIS VS</t>
        </is>
      </c>
      <c r="K74" s="68" t="inlineStr">
        <is>
          <t>None found (limited-window caveat)</t>
        </is>
      </c>
      <c r="L74" s="68" t="inlineStr">
        <is>
          <t>⭐ The V GRANT IS THE KEY DETAIL: voluntary inspection is the mechanism USDA uses for NON-AMENABLE / NON-FOOD-USE product — so this plant already has the regulatory scaffolding for non-food biomedical harvest</t>
        </is>
      </c>
      <c r="M74" s="68" t="inlineStr">
        <is>
          <t>MEDIUM-STRONG — small, clean, traceable</t>
        </is>
      </c>
      <c r="N74" s="68" t="inlineStr">
        <is>
          <t>STRONG</t>
        </is>
      </c>
      <c r="O74" s="68" t="inlineStr">
        <is>
          <t>(503) 852-7166
10600 NW Westside Rd · carltonfarms.com</t>
        </is>
      </c>
      <c r="P74" s="23" t="inlineStr">
        <is>
          <t>POSSIBLE</t>
        </is>
      </c>
      <c r="Q74" s="178" t="inlineStr">
        <is>
          <t>Back-pool — passes no current tier; see Fit and notes for what a call would need to change.</t>
        </is>
      </c>
      <c r="R74" s="179" t="inlineStr">
        <is>
          <t>—</t>
        </is>
      </c>
      <c r="S74" s="68" t="inlineStr">
        <is>
          <t>Med-High
(study 8-03/05)</t>
        </is>
      </c>
      <c r="T7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c r="U74" s="212" t="inlineStr">
        <is>
          <t>E-06</t>
        </is>
      </c>
      <c r="V74" s="210" t="inlineStr">
        <is>
          <t>—</t>
        </is>
      </c>
    </row>
    <row r="75" ht="58.6" customHeight="1" s="59">
      <c r="A75" s="4" t="inlineStr">
        <is>
          <t>Clemens Food Group</t>
        </is>
      </c>
      <c r="B75" s="68" t="inlineStr">
        <is>
          <t>Hatfield, PA</t>
        </is>
      </c>
      <c r="C75" s="68" t="inlineStr">
        <is>
          <t>Large industrial market-hog packer</t>
        </is>
      </c>
      <c r="D75" s="68" t="inlineStr">
        <is>
          <t>~58,000-63,000/wk (11,700 hd/day)
· HACCP Large (500+ employees)</t>
        </is>
      </c>
      <c r="E75" s="110" t="inlineStr">
        <is>
          <t>NO
(Durham: n/m)</t>
        </is>
      </c>
      <c r="F75" s="143" t="inlineStr">
        <is>
          <t>confirm</t>
        </is>
      </c>
      <c r="G75" s="68" t="inlineStr">
        <is>
          <t>Yes — MARKET</t>
        </is>
      </c>
      <c r="H75" s="68" t="inlineStr">
        <is>
          <t>USDA ✓ M791+P791+V791
✅ EXPORT-CERTIFIED</t>
        </is>
      </c>
      <c r="I75" s="68" t="inlineStr">
        <is>
          <t>See the Welfare &amp; culture column — enforcement detail is carried there for these rows</t>
        </is>
      </c>
      <c r="J75" s="68" t="inlineStr">
        <is>
          <t>Not verified — APHIS publishes no searchable list; confirm with APHIS VS</t>
        </is>
      </c>
      <c r="K75" s="68" t="inlineStr">
        <is>
          <t>Not on the current enforcement page (1-yr window)</t>
        </is>
      </c>
      <c r="L75" s="68" t="inlineStr">
        <is>
          <t>None published</t>
        </is>
      </c>
      <c r="M75" s="68" t="inlineStr">
        <is>
          <t>Unlikely at this scale — corporate-level agreement required</t>
        </is>
      </c>
      <c r="N75" s="68" t="inlineStr">
        <is>
          <t>Model B far more realistic</t>
        </is>
      </c>
      <c r="O75" s="68" t="inlineStr">
        <is>
          <t>2700 Clemens Rd, Hatfield PA</t>
        </is>
      </c>
      <c r="P75" s="23" t="inlineStr">
        <is>
          <t>POSSIBLE</t>
        </is>
      </c>
      <c r="Q75" s="178" t="inlineStr">
        <is>
          <t>Back-pool — passes no current tier; see Fit and notes for what a call would need to change.</t>
        </is>
      </c>
      <c r="R75" s="179" t="inlineStr">
        <is>
          <t>—</t>
        </is>
      </c>
      <c r="S75" s="68" t="inlineStr">
        <is>
          <t>Med
(study 8-03/05)</t>
        </is>
      </c>
      <c r="T75" s="68" t="inlineStr">
        <is>
          <t>The only HIGH-tier PA option and ~5 miles from Animal Biotech's Harleysville lab. Volume solves everything except access.</t>
        </is>
      </c>
      <c r="U75" s="212" t="inlineStr">
        <is>
          <t>E-07</t>
        </is>
      </c>
      <c r="V75" s="210" t="inlineStr">
        <is>
          <t>—</t>
        </is>
      </c>
    </row>
    <row r="76" ht="58.6" customHeight="1" s="59">
      <c r="A76" s="4" t="inlineStr">
        <is>
          <t>Eickman's Processing Co.</t>
        </is>
      </c>
      <c r="B76" s="68" t="inlineStr">
        <is>
          <t>Seward, IL</t>
        </is>
      </c>
      <c r="C76" s="68" t="inlineStr">
        <is>
          <t>USDA (Est. M31776), small family plant</t>
        </is>
      </c>
      <c r="D76" s="68" t="inlineStr">
        <is>
          <t>~19-194/wk
(FSIS cat 2 ceiling)
· HACCP Small (10-499 employees)</t>
        </is>
      </c>
      <c r="E76" s="110" t="inlineStr">
        <is>
          <t>NO
(Durham: n/m)</t>
        </is>
      </c>
      <c r="F76" s="139" t="inlineStr">
        <is>
          <t>0-300/wk (≤194)</t>
        </is>
      </c>
      <c r="G76" s="68" t="inlineStr">
        <is>
          <t>MARKET + ROASTER</t>
        </is>
      </c>
      <c r="H76" s="68" t="inlineStr">
        <is>
          <t>USDA ✓ M31776 + P31776 + V31776</t>
        </is>
      </c>
      <c r="I76" s="68" t="inlineStr">
        <is>
          <t>Recall 2010 (underprocessed canned). No humane-handling action found.</t>
        </is>
      </c>
      <c r="J76" s="68" t="inlineStr">
        <is>
          <t>Not on public export lists — verify</t>
        </is>
      </c>
      <c r="K76" s="68" t="inlineStr">
        <is>
          <t>Long-tenured family operation (~70 yrs, ~30 staff) — stable culture</t>
        </is>
      </c>
      <c r="L76" s="68" t="inlineStr">
        <is>
          <t>None</t>
        </is>
      </c>
      <c r="M76" s="68" t="inlineStr">
        <is>
          <t>Model A small batches</t>
        </is>
      </c>
      <c r="N76" s="68" t="inlineStr">
        <is>
          <t>Plausible</t>
        </is>
      </c>
      <c r="O76" s="68" t="inlineStr">
        <is>
          <t>(815) 247-8451
eickmans.com</t>
        </is>
      </c>
      <c r="P76" s="23" t="inlineStr">
        <is>
          <t>POSSIBLE</t>
        </is>
      </c>
      <c r="Q76" s="178" t="inlineStr">
        <is>
          <t>Back-pool — passes no current tier; see Fit and notes for what a call would need to change.</t>
        </is>
      </c>
      <c r="R76" s="179" t="inlineStr">
        <is>
          <t>—</t>
        </is>
      </c>
      <c r="S76" s="68" t="inlineStr">
        <is>
          <t>High
(study 8-03/05)</t>
        </is>
      </c>
      <c r="T76" s="68" t="inlineStr">
        <is>
          <t>SMALL tier (~low-100s/wk est.). Stable family culture, USDA. Viable now that capacity is open — good Model A small-batch partner.</t>
        </is>
      </c>
      <c r="U76" s="212" t="inlineStr">
        <is>
          <t>E-08</t>
        </is>
      </c>
      <c r="V76" s="210" t="inlineStr">
        <is>
          <t>—</t>
        </is>
      </c>
    </row>
    <row r="77" ht="72" customHeight="1" s="59">
      <c r="A77" s="4" t="inlineStr">
        <is>
          <t>F.B. Purnell Sausage Co.</t>
        </is>
      </c>
      <c r="B77" s="68" t="inlineStr">
        <is>
          <t>Simpsonville, KY</t>
        </is>
      </c>
      <c r="C77" s="68" t="inlineStr">
        <is>
          <t>Sow + market slaughter + sausage mfr</t>
        </is>
      </c>
      <c r="D77" s="68" t="inlineStr">
        <is>
          <t>~2,500-2,700/wk (600/day 2016 → 500/day 2017 — DECLINING)
· HACCP Small (10-499 employees)</t>
        </is>
      </c>
      <c r="E77" s="110" t="inlineStr">
        <is>
          <t>NO
(Durham: n/m)</t>
        </is>
      </c>
      <c r="F77" s="136" t="inlineStr">
        <is>
          <t>1,250-5,000/wk (~2,500-2,700)</t>
        </is>
      </c>
      <c r="G77" s="68" t="inlineStr">
        <is>
          <t>Yes — BOTH sow AND market (USDA flags both = Yes)</t>
        </is>
      </c>
      <c r="H77" s="68" t="inlineStr">
        <is>
          <t>USDA ✓ M7464 + P7464 (grant 2021; category refreshed 2025-06)</t>
        </is>
      </c>
      <c r="I77" s="68" t="inlineStr">
        <is>
          <t>See the Welfare &amp; culture column — enforcement detail is carried there for these rows</t>
        </is>
      </c>
      <c r="J77" s="68" t="inlineStr">
        <is>
          <t>Not verified — APHIS publishes no searchable list; confirm with APHIS VS</t>
        </is>
      </c>
      <c r="K77" s="68" t="inlineStr">
        <is>
          <t>Not on the current FSIS enforcement page (1-yr window only — not a clean record)</t>
        </is>
      </c>
      <c r="L77" s="68" t="inlineStr">
        <is>
          <t>None found</t>
        </is>
      </c>
      <c r="M77" s="68" t="inlineStr">
        <is>
          <t>Plausible — small, family-run, single site, already runs a poultry grant so used to multi-programme oversight</t>
        </is>
      </c>
      <c r="N77" s="68" t="inlineStr">
        <is>
          <t>Plausible, but sausage-focused workflow means viscera likely already committed to rendering</t>
        </is>
      </c>
      <c r="O77" s="68" t="inlineStr">
        <is>
          <t>(502) 722-5626
6931 Shelbyville Rd · itsgooo-od.com</t>
        </is>
      </c>
      <c r="P77" s="23" t="inlineStr">
        <is>
          <t>POSSIBLE</t>
        </is>
      </c>
      <c r="Q77" s="178" t="inlineStr">
        <is>
          <t>Back-pool — passes no current tier; see Fit and notes for what a call would need to change.</t>
        </is>
      </c>
      <c r="R77" s="179" t="inlineStr">
        <is>
          <t>—</t>
        </is>
      </c>
      <c r="S77" s="68" t="inlineStr">
        <is>
          <t>Med
(study 8-03/05)</t>
        </is>
      </c>
      <c r="T77" s="68" t="inlineStr">
        <is>
          <t>BEST DUAL-CLASS SUPPLY: the only plant flagged for BOTH sow and market-hog slaughter, so animal class can be specced PER TISSUE BLOCK. Volume trend was downward 2016→2017.</t>
        </is>
      </c>
      <c r="U77" s="212" t="inlineStr">
        <is>
          <t>E-09</t>
        </is>
      </c>
      <c r="V77" s="210" t="inlineStr">
        <is>
          <t>—</t>
        </is>
      </c>
    </row>
    <row r="78" ht="58.6" customHeight="1" s="59">
      <c r="A78" s="4" t="inlineStr">
        <is>
          <t>Premium Minnesota Pork</t>
        </is>
      </c>
      <c r="B78" s="68" t="inlineStr">
        <is>
          <t>Luverne, MN</t>
        </is>
      </c>
      <c r="C78" s="68" t="inlineStr">
        <is>
          <t>USDA federal — market</t>
        </is>
      </c>
      <c r="D78" s="68" t="inlineStr">
        <is>
          <t>unknown — FSIS category 4 (≥2,000/wk)
· HACCP Small (10-499 employees)</t>
        </is>
      </c>
      <c r="E78" s="110" t="inlineStr">
        <is>
          <t>NO
(Durham: n/m)</t>
        </is>
      </c>
      <c r="F78" s="143" t="inlineStr">
        <is>
          <t>confirm (cat-4 ≥1,944)</t>
        </is>
      </c>
      <c r="G78" s="68" t="inlineStr">
        <is>
          <t>Yes — MARKET</t>
        </is>
      </c>
      <c r="H78" s="68" t="inlineStr">
        <is>
          <t>USDA ✓ M21069L (newer grant, 2022)</t>
        </is>
      </c>
      <c r="I78" s="68" t="inlineStr">
        <is>
          <t>See the Welfare &amp; culture column — enforcement detail is carried there for these rows</t>
        </is>
      </c>
      <c r="J78" s="68" t="inlineStr">
        <is>
          <t>Not verified — APHIS publishes no searchable list; confirm with APHIS VS</t>
        </is>
      </c>
      <c r="K78" s="68" t="inlineStr">
        <is>
          <t>No QER suspension FY2024-FY2026</t>
        </is>
      </c>
      <c r="L78" s="68" t="inlineStr">
        <is>
          <t>unknown</t>
        </is>
      </c>
      <c r="M78" s="68" t="inlineStr">
        <is>
          <t>Plausible</t>
        </is>
      </c>
      <c r="N78" s="68" t="inlineStr">
        <is>
          <t>Plausible</t>
        </is>
      </c>
      <c r="O78" s="68" t="inlineStr">
        <is>
          <t>(712) 752-8666</t>
        </is>
      </c>
      <c r="P78" s="23" t="inlineStr">
        <is>
          <t>POSSIBLE</t>
        </is>
      </c>
      <c r="Q78" s="178" t="inlineStr">
        <is>
          <t>Back-pool — passes no current tier; see Fit and notes for what a call would need to change.</t>
        </is>
      </c>
      <c r="R78" s="179" t="inlineStr">
        <is>
          <t>—</t>
        </is>
      </c>
      <c r="S78" s="68" t="inlineStr">
        <is>
          <t>Low-Med
(study 8-03/05)</t>
        </is>
      </c>
      <c r="T78" s="68" t="inlineStr">
        <is>
          <t>Newer establishment; volume unpublished.</t>
        </is>
      </c>
      <c r="U78" s="212" t="inlineStr">
        <is>
          <t>E-10</t>
        </is>
      </c>
      <c r="V78" s="210" t="inlineStr">
        <is>
          <t>—</t>
        </is>
      </c>
    </row>
    <row r="79" ht="72" customHeight="1" s="59">
      <c r="A79" s="138" t="inlineStr">
        <is>
          <t>Prestage Foods of Iowa
(FSIS now lists Eagle Grove Cooperative)</t>
        </is>
      </c>
      <c r="B79" s="68" t="inlineStr">
        <is>
          <t>Eagle Grove, IA</t>
        </is>
      </c>
      <c r="C79" s="68" t="inlineStr">
        <is>
          <t>Very large packer</t>
        </is>
      </c>
      <c r="D79" s="68" t="inlineStr">
        <is>
          <t>~10,000-12,000/DAY
· HACCP Large (500+ employees)</t>
        </is>
      </c>
      <c r="E79" s="110" t="inlineStr">
        <is>
          <t>NO
(Durham: n/m)</t>
        </is>
      </c>
      <c r="F79" s="195" t="inlineStr">
        <is>
          <t>5,000+/wk (~10-12k/DAY)</t>
        </is>
      </c>
      <c r="G79" s="68" t="inlineStr">
        <is>
          <t>MARKET only</t>
        </is>
      </c>
      <c r="H79" s="68" t="inlineStr">
        <is>
          <t>USDA ✓ M51340 + V51340
(listed as Eagle Grove Cooperative;
export-cert)</t>
        </is>
      </c>
      <c r="I79" s="25" t="inlineStr">
        <is>
          <t>⚠ REPEAT humane-handling suspensions 2020 &amp; 04/2022 (egregious). Est. M51340. PETA sought kill-floor cameras.</t>
        </is>
      </c>
      <c r="J79" s="68" t="inlineStr">
        <is>
          <t>Export-oriented; 'Certification–Export' not directly confirmed. EU unverified</t>
        </is>
      </c>
      <c r="K79" s="68" t="inlineStr">
        <is>
          <t>Industrial</t>
        </is>
      </c>
      <c r="L79" s="68" t="inlineStr">
        <is>
          <t>No organ program found</t>
        </is>
      </c>
      <c r="M79" s="68" t="inlineStr">
        <is>
          <t>Unlikely</t>
        </is>
      </c>
      <c r="N79" s="68" t="inlineStr">
        <is>
          <t>Unlikely</t>
        </is>
      </c>
      <c r="O79" s="68" t="inlineStr">
        <is>
          <t>—</t>
        </is>
      </c>
      <c r="P79" s="23" t="inlineStr">
        <is>
          <t>POSSIBLE</t>
        </is>
      </c>
      <c r="Q79" s="178" t="inlineStr">
        <is>
          <t>Back-pool — passes no current tier; see Fit and notes for what a call would need to change.</t>
        </is>
      </c>
      <c r="R79" s="179" t="inlineStr">
        <is>
          <t>—</t>
        </is>
      </c>
      <c r="S79" s="68" t="inlineStr">
        <is>
          <t>Med-High
(FSIS+MPI 8-06)</t>
        </is>
      </c>
      <c r="T79"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c r="U79" s="212" t="inlineStr">
        <is>
          <t>E-11</t>
        </is>
      </c>
      <c r="V79" s="210" t="inlineStr">
        <is>
          <t>—</t>
        </is>
      </c>
    </row>
    <row r="80" ht="58.6" customHeight="1" s="59">
      <c r="A80" s="4" t="inlineStr">
        <is>
          <t>Seaboard Triumph Foods</t>
        </is>
      </c>
      <c r="B80" s="68" t="inlineStr">
        <is>
          <t>Sioux City, IA</t>
        </is>
      </c>
      <c r="C80" s="68" t="inlineStr">
        <is>
          <t>Very large packer</t>
        </is>
      </c>
      <c r="D80" s="68" t="inlineStr">
        <is>
          <t>~10,000/DAY (up to 20-24k)
· HACCP Large (500+ employees)</t>
        </is>
      </c>
      <c r="E80" s="110" t="inlineStr">
        <is>
          <t>NO
(Durham: n/m)</t>
        </is>
      </c>
      <c r="F80" s="195" t="inlineStr">
        <is>
          <t>5,000+/wk (~10k/DAY)</t>
        </is>
      </c>
      <c r="G80" s="68" t="inlineStr">
        <is>
          <t>MARKET only</t>
        </is>
      </c>
      <c r="H80" s="68" t="inlineStr">
        <is>
          <t>USDA ✓ M46071 + V46071
(V = voluntary; export-cert)</t>
        </is>
      </c>
      <c r="I80" s="68" t="inlineStr">
        <is>
          <t>No FSIS humane/recall found. Non-FSIS press: labor / child-labor fines, emissions.</t>
        </is>
      </c>
      <c r="J80" s="68" t="inlineStr">
        <is>
          <t>FSIS export-certified (edible, general; Est. M46071). EU-specific unverified</t>
        </is>
      </c>
      <c r="K80" s="68" t="inlineStr">
        <is>
          <t>Industrial</t>
        </is>
      </c>
      <c r="L80" s="68" t="inlineStr">
        <is>
          <t>NOT confirmed (no research-organ program found)</t>
        </is>
      </c>
      <c r="M80" s="68" t="inlineStr">
        <is>
          <t>Unlikely</t>
        </is>
      </c>
      <c r="N80" s="68" t="inlineStr">
        <is>
          <t>Unlikely</t>
        </is>
      </c>
      <c r="O80" s="68" t="inlineStr">
        <is>
          <t>—</t>
        </is>
      </c>
      <c r="P80" s="23" t="inlineStr">
        <is>
          <t>POSSIBLE</t>
        </is>
      </c>
      <c r="Q80" s="178" t="inlineStr">
        <is>
          <t>Back-pool — passes no current tier; see Fit and notes for what a call would need to change.</t>
        </is>
      </c>
      <c r="R80" s="179" t="inlineStr">
        <is>
          <t>—</t>
        </is>
      </c>
      <c r="S80" s="68" t="inlineStr">
        <is>
          <t>High
(study 8-03/05)</t>
        </is>
      </c>
      <c r="T80" s="68" t="inlineStr">
        <is>
          <t>HIGH tier. No longer excluded on size (~10-24k/day). Biologics program UNCONFIRMED — do NOT assume one exists; ask directly. Non-FSIS labour/child-labour press on record.</t>
        </is>
      </c>
      <c r="U80" s="212" t="inlineStr">
        <is>
          <t>E-12</t>
        </is>
      </c>
      <c r="V80" s="210" t="inlineStr">
        <is>
          <t>—</t>
        </is>
      </c>
    </row>
    <row r="81" ht="58.6" customHeight="1" s="59">
      <c r="A81" s="4" t="inlineStr">
        <is>
          <t>SIG International, Iowa</t>
        </is>
      </c>
      <c r="B81" s="68" t="inlineStr">
        <is>
          <t>Boyden, IA</t>
        </is>
      </c>
      <c r="C81" s="68" t="inlineStr">
        <is>
          <t>USDA slaughter+processing (Est. M20748)</t>
        </is>
      </c>
      <c r="D81" s="68" t="inlineStr">
        <is>
          <t>~194-1,944/wk
(FSIS cat 3)
· HACCP Small (10-499 employees)</t>
        </is>
      </c>
      <c r="E81" s="110" t="inlineStr">
        <is>
          <t>NO
(Durham: n/m)</t>
        </is>
      </c>
      <c r="F81" s="143" t="inlineStr">
        <is>
          <t>confirm (band ≤1,944)</t>
        </is>
      </c>
      <c r="G81" s="68" t="inlineStr">
        <is>
          <t>MARKET only</t>
        </is>
      </c>
      <c r="H81" s="68" t="inlineStr">
        <is>
          <t>USDA ✓ M20748 + V20748
(V = voluntary; export-cert)</t>
        </is>
      </c>
      <c r="I81" s="68" t="inlineStr">
        <is>
          <t>None found in public sources</t>
        </is>
      </c>
      <c r="J81" s="68" t="inlineStr">
        <is>
          <t>FSIS export-certified (edible; exports to Japan — Japan ≠ EU). EU/APHIS unverified</t>
        </is>
      </c>
      <c r="K81" s="68" t="inlineStr">
        <is>
          <t>Berkshire / USDA-organic; export QC discipline</t>
        </is>
      </c>
      <c r="L81" s="68" t="inlineStr">
        <is>
          <t>None found</t>
        </is>
      </c>
      <c r="M81" s="68" t="inlineStr">
        <is>
          <t>Likely Model A host</t>
        </is>
      </c>
      <c r="N81" s="68" t="inlineStr">
        <is>
          <t>Plausible</t>
        </is>
      </c>
      <c r="O81" s="68" t="inlineStr">
        <is>
          <t>(712) 725-2172
sigiowa.com</t>
        </is>
      </c>
      <c r="P81" s="23" t="inlineStr">
        <is>
          <t>POSSIBLE</t>
        </is>
      </c>
      <c r="Q81" s="178" t="inlineStr">
        <is>
          <t>Back-pool — passes no current tier; see Fit and notes for what a call would need to change.</t>
        </is>
      </c>
      <c r="R81" s="179" t="inlineStr">
        <is>
          <t>—</t>
        </is>
      </c>
      <c r="S81" s="68" t="inlineStr">
        <is>
          <t>High
(FSIS+MPI 8-06)</t>
        </is>
      </c>
      <c r="T81"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c r="U81" s="212" t="inlineStr">
        <is>
          <t>E-13</t>
        </is>
      </c>
      <c r="V81" s="210" t="inlineStr">
        <is>
          <t>—</t>
        </is>
      </c>
    </row>
    <row r="82" ht="58.6" customHeight="1" s="59">
      <c r="A82" s="4" t="inlineStr">
        <is>
          <t>Tri Eagle Provisions</t>
        </is>
      </c>
      <c r="B82" s="68" t="inlineStr">
        <is>
          <t>Tippecanoe, IN</t>
        </is>
      </c>
      <c r="C82" s="68" t="inlineStr">
        <is>
          <t>USDA federal — market + roaster</t>
        </is>
      </c>
      <c r="D82" s="68" t="inlineStr">
        <is>
          <t>~5,500/wk (1,100 hd/day EMI 2017)
· HACCP Small (10-499 employees)</t>
        </is>
      </c>
      <c r="E82" s="110" t="inlineStr">
        <is>
          <t>NO
(Durham: n/m)</t>
        </is>
      </c>
      <c r="F82" s="195" t="inlineStr">
        <is>
          <t>5,000+/wk (~5,500)</t>
        </is>
      </c>
      <c r="G82" s="68" t="inlineStr">
        <is>
          <t>Yes — MKT + roaster</t>
        </is>
      </c>
      <c r="H82" s="68" t="inlineStr">
        <is>
          <t>USDA ✓ M17496</t>
        </is>
      </c>
      <c r="I82" s="68" t="inlineStr">
        <is>
          <t>See the Welfare &amp; culture column — enforcement detail is carried there for these rows</t>
        </is>
      </c>
      <c r="J82" s="68" t="inlineStr">
        <is>
          <t>Not verified — APHIS publishes no searchable list; confirm with APHIS VS</t>
        </is>
      </c>
      <c r="K82" s="68" t="inlineStr">
        <is>
          <t>No QER suspension FY2024-FY2026</t>
        </is>
      </c>
      <c r="L82" s="68" t="inlineStr">
        <is>
          <t>unknown</t>
        </is>
      </c>
      <c r="M82" s="68" t="inlineStr">
        <is>
          <t>Plausible</t>
        </is>
      </c>
      <c r="N82" s="68" t="inlineStr">
        <is>
          <t>Plausible</t>
        </is>
      </c>
      <c r="O82" s="68" t="inlineStr">
        <is>
          <t>(574) 223-4600</t>
        </is>
      </c>
      <c r="P82" s="23" t="inlineStr">
        <is>
          <t>POSSIBLE</t>
        </is>
      </c>
      <c r="Q82" s="178" t="inlineStr">
        <is>
          <t>Back-pool — passes no current tier; see Fit and notes for what a call would need to change.</t>
        </is>
      </c>
      <c r="R82" s="179" t="inlineStr">
        <is>
          <t>—</t>
        </is>
      </c>
      <c r="S82" s="68" t="inlineStr">
        <is>
          <t>Med
(study 8-03/05)</t>
        </is>
      </c>
      <c r="T82" s="68" t="inlineStr">
        <is>
          <t>DBAs Vin Lee Ron, Maple Creek Packing.</t>
        </is>
      </c>
      <c r="U82" s="212" t="inlineStr">
        <is>
          <t>E-14</t>
        </is>
      </c>
      <c r="V82" s="210" t="inlineStr">
        <is>
          <t>—</t>
        </is>
      </c>
    </row>
    <row r="83" ht="58.6" customHeight="1" s="59">
      <c r="A83" s="4" t="inlineStr">
        <is>
          <t>Verschoor Meats</t>
        </is>
      </c>
      <c r="B83" s="68" t="inlineStr">
        <is>
          <t>Sioux City, IA</t>
        </is>
      </c>
      <c r="C83" s="68" t="inlineStr">
        <is>
          <t>USDA federal — market + boar</t>
        </is>
      </c>
      <c r="D83" s="68" t="inlineStr">
        <is>
          <t>~6,000/wk (1,200 hd/day EMI 2017)
· HACCP Small (10-499 employees)</t>
        </is>
      </c>
      <c r="E83" s="110" t="inlineStr">
        <is>
          <t>NO
(Durham: n/m)</t>
        </is>
      </c>
      <c r="F83" s="195" t="inlineStr">
        <is>
          <t>5,000+/wk (~6,000)</t>
        </is>
      </c>
      <c r="G83" s="68" t="inlineStr">
        <is>
          <t>Yes — MKT + boar</t>
        </is>
      </c>
      <c r="H83" s="68" t="inlineStr">
        <is>
          <t>USDA ✓ M363</t>
        </is>
      </c>
      <c r="I83" s="68" t="inlineStr">
        <is>
          <t>See the Welfare &amp; culture column — enforcement detail is carried there for these rows</t>
        </is>
      </c>
      <c r="J83" s="68" t="inlineStr">
        <is>
          <t>Not verified — APHIS publishes no searchable list; confirm with APHIS VS</t>
        </is>
      </c>
      <c r="K83" s="68" t="inlineStr">
        <is>
          <t>No QER suspension FY2024-FY2026</t>
        </is>
      </c>
      <c r="L83" s="68" t="inlineStr">
        <is>
          <t>unknown</t>
        </is>
      </c>
      <c r="M83" s="68" t="inlineStr">
        <is>
          <t>Plausible</t>
        </is>
      </c>
      <c r="N83" s="68" t="inlineStr">
        <is>
          <t>Plausible</t>
        </is>
      </c>
      <c r="O83" s="68" t="inlineStr">
        <is>
          <t>(712) 252-1847</t>
        </is>
      </c>
      <c r="P83" s="23" t="inlineStr">
        <is>
          <t>POSSIBLE</t>
        </is>
      </c>
      <c r="Q83" s="178" t="inlineStr">
        <is>
          <t>Back-pool — passes no current tier; see Fit and notes for what a call would need to change.</t>
        </is>
      </c>
      <c r="R83" s="179" t="inlineStr">
        <is>
          <t>—</t>
        </is>
      </c>
      <c r="S83" s="68" t="inlineStr">
        <is>
          <t>Med
(study 8-03/05)</t>
        </is>
      </c>
      <c r="T83" s="68" t="inlineStr">
        <is>
          <t>Iowa option just above band.</t>
        </is>
      </c>
      <c r="U83" s="212" t="inlineStr">
        <is>
          <t>E-15</t>
        </is>
      </c>
      <c r="V83" s="210" t="inlineStr">
        <is>
          <t>—</t>
        </is>
      </c>
    </row>
    <row r="84" ht="45.2" customHeight="1" s="59">
      <c r="A84" s="4" t="inlineStr">
        <is>
          <t>Wholestone Farms</t>
        </is>
      </c>
      <c r="B84" s="68" t="inlineStr">
        <is>
          <t>Fremont, NE</t>
        </is>
      </c>
      <c r="C84" s="68" t="inlineStr">
        <is>
          <t>Very large packer</t>
        </is>
      </c>
      <c r="D84" s="68" t="inlineStr">
        <is>
          <t>~8,200/DAY (3M→5.6M/yr)
· HACCP Large (500+ employees)</t>
        </is>
      </c>
      <c r="E84" s="110" t="inlineStr">
        <is>
          <t>NO
(Durham: n/m)</t>
        </is>
      </c>
      <c r="F84" s="195" t="inlineStr">
        <is>
          <t>5,000+/wk (~8,200/DAY)</t>
        </is>
      </c>
      <c r="G84" s="68" t="inlineStr">
        <is>
          <t>MARKET only</t>
        </is>
      </c>
      <c r="H84" s="68" t="inlineStr">
        <is>
          <t>USDA ✓ M46491 + P46491</t>
        </is>
      </c>
      <c r="I84" s="25" t="inlineStr">
        <is>
          <t>⚠ Humane-handling NOIE 12/2019 (Est. M46491; captive bolt on a condemned hog).</t>
        </is>
      </c>
      <c r="J84" s="68" t="inlineStr">
        <is>
          <t>Not confirmed on public lists — verify</t>
        </is>
      </c>
      <c r="K84" s="68" t="inlineStr">
        <is>
          <t>Industrial</t>
        </is>
      </c>
      <c r="L84" s="68" t="inlineStr">
        <is>
          <t>Biologics unknown</t>
        </is>
      </c>
      <c r="M84" s="68" t="inlineStr">
        <is>
          <t>Unlikely</t>
        </is>
      </c>
      <c r="N84" s="68" t="inlineStr">
        <is>
          <t>Unlikely</t>
        </is>
      </c>
      <c r="O84" s="68" t="inlineStr">
        <is>
          <t>—</t>
        </is>
      </c>
      <c r="P84" s="23" t="inlineStr">
        <is>
          <t>POSSIBLE</t>
        </is>
      </c>
      <c r="Q84" s="178" t="inlineStr">
        <is>
          <t>Back-pool — passes no current tier; see Fit and notes for what a call would need to change.</t>
        </is>
      </c>
      <c r="R84" s="179" t="inlineStr">
        <is>
          <t>—</t>
        </is>
      </c>
      <c r="S84" s="68" t="inlineStr">
        <is>
          <t>High
(study 8-03/05)</t>
        </is>
      </c>
      <c r="T84" s="68" t="inlineStr">
        <is>
          <t>HIGH tier. No longer excluded on size. Biologics unknown — confirm. Humane-handling NOIE 12/2019 on record.</t>
        </is>
      </c>
      <c r="U84" s="212" t="inlineStr">
        <is>
          <t>E-16</t>
        </is>
      </c>
      <c r="V84" s="210" t="inlineStr">
        <is>
          <t>—</t>
        </is>
      </c>
    </row>
    <row r="85" ht="192.6" customHeight="1" s="59">
      <c r="A85" s="4" t="inlineStr">
        <is>
          <t>⚑ The ABI / LAMPIRE abattoir inference</t>
        </is>
      </c>
      <c r="B85" s="68" t="inlineStr">
        <is>
          <t>Harleysville &amp; Pipersville, PA</t>
        </is>
      </c>
      <c r="C85" s="68" t="inlineStr">
        <is>
          <t>tissue suppliers, not slaughterers</t>
        </is>
      </c>
      <c r="D85" s="68" t="inlineStr">
        <is>
          <t>n/a</t>
        </is>
      </c>
      <c r="E85" s="110" t="inlineStr">
        <is>
          <t>NO
(Durham: n/m)</t>
        </is>
      </c>
      <c r="F85" s="143" t="inlineStr">
        <is>
          <t>n/a — buys, not kills</t>
        </is>
      </c>
      <c r="G85" s="68" t="inlineStr">
        <is>
          <t>n/a</t>
        </is>
      </c>
      <c r="H85" s="68" t="inlineStr">
        <is>
          <t>n/a — they BUY from PA abattoirs</t>
        </is>
      </c>
      <c r="I85" s="68" t="inlineStr">
        <is>
          <t>See the Welfare &amp; culture column — enforcement detail is carried there for these rows</t>
        </is>
      </c>
      <c r="J85" s="68" t="inlineStr">
        <is>
          <t>Not verified — APHIS publishes no searchable list; confirm with APHIS VS</t>
        </is>
      </c>
      <c r="K85" s="68" t="inlineStr">
        <is>
          <t>n/a</t>
        </is>
      </c>
      <c r="L85"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85" s="68" t="inlineStr">
        <is>
          <t>n/a</t>
        </is>
      </c>
      <c r="N85" s="68" t="inlineStr">
        <is>
          <t>n/a</t>
        </is>
      </c>
      <c r="O85" s="68" t="inlineStr">
        <is>
          <t>ABI (215) 766-7413 · LAMPIRE Pipersville</t>
        </is>
      </c>
      <c r="P85" s="23" t="inlineStr">
        <is>
          <t>POSSIBLE</t>
        </is>
      </c>
      <c r="Q85" s="178" t="inlineStr">
        <is>
          <t>Back-pool — passes no current tier; see Fit and notes for what a call would need to change.</t>
        </is>
      </c>
      <c r="R85" s="179" t="inlineStr">
        <is>
          <t>—</t>
        </is>
      </c>
      <c r="S85" s="68" t="inlineStr">
        <is>
          <t>Med (inference)
(study 8-03/05)</t>
        </is>
      </c>
      <c r="T85"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c r="U85" s="212" t="inlineStr">
        <is>
          <t>E-17</t>
        </is>
      </c>
      <c r="V85" s="210" t="inlineStr">
        <is>
          <t>—</t>
        </is>
      </c>
    </row>
    <row r="86" ht="85.40000000000001" customHeight="1" s="59">
      <c r="A86" s="4" t="inlineStr">
        <is>
          <t>Banner Creek, LLC (Sustainable Swine Resources)</t>
        </is>
      </c>
      <c r="B86" s="68" t="inlineStr">
        <is>
          <t>Holton, KS</t>
        </is>
      </c>
      <c r="C86" s="68" t="inlineStr">
        <is>
          <t>SOW abattoir (Johnsonville / SSR)</t>
        </is>
      </c>
      <c r="D86" s="68" t="inlineStr">
        <is>
          <t>~5,500/wk (1,100 hd/day EMI 2017) — at/just above ceiling; likely higher post-Momence
· HACCP Small (10-499 employees)</t>
        </is>
      </c>
      <c r="E86" s="110" t="inlineStr">
        <is>
          <t>NO
(Durham: n/m)</t>
        </is>
      </c>
      <c r="F86" s="195" t="inlineStr">
        <is>
          <t>5,000+/wk (~5,500)</t>
        </is>
      </c>
      <c r="G86" s="68" t="inlineStr">
        <is>
          <t>Yes — SOW ONLY</t>
        </is>
      </c>
      <c r="H86" s="68" t="inlineStr">
        <is>
          <t>USDA ✓ M5536 + P5536</t>
        </is>
      </c>
      <c r="I86" s="68" t="inlineStr">
        <is>
          <t>See the Welfare &amp; culture column — enforcement detail is carried there for these rows</t>
        </is>
      </c>
      <c r="J86" s="68" t="inlineStr">
        <is>
          <t>Not verified — APHIS publishes no searchable list; confirm with APHIS VS</t>
        </is>
      </c>
      <c r="K86" s="68" t="inlineStr">
        <is>
          <t>NO suspension in any QER FY2024-FY2026 (no public record)</t>
        </is>
      </c>
      <c r="L86" s="68" t="inlineStr">
        <is>
          <t>Same SSR medical-tissue infrastructure as Perry Way (ISO 22442-2, GMP rooms, Customization Center)</t>
        </is>
      </c>
      <c r="M86" s="68" t="inlineStr">
        <is>
          <t>⚠ Same competitor caveat</t>
        </is>
      </c>
      <c r="N86" s="68" t="inlineStr">
        <is>
          <t>Already built for their own account</t>
        </is>
      </c>
      <c r="O86" s="68" t="inlineStr">
        <is>
          <t>(785) 364-3126
619 East 4th St, Holton KS 66436</t>
        </is>
      </c>
      <c r="P86" s="23" t="inlineStr">
        <is>
          <t>CAUTION</t>
        </is>
      </c>
      <c r="Q86" s="178" t="inlineStr">
        <is>
          <t>Back-pool — passes no current tier; see Fit and notes for what a call would need to change.</t>
        </is>
      </c>
      <c r="R86" s="179" t="inlineStr">
        <is>
          <t>—</t>
        </is>
      </c>
      <c r="S86" s="68" t="inlineStr">
        <is>
          <t>Med
(study 8-03/05)</t>
        </is>
      </c>
      <c r="T86" s="68" t="inlineStr">
        <is>
          <t>Second SSR harvest site. Top-of-band or just over. Same channel-conflict caveat as Perry Way.</t>
        </is>
      </c>
      <c r="U86" s="212" t="inlineStr">
        <is>
          <t>E-18</t>
        </is>
      </c>
      <c r="V86" s="210" t="inlineStr">
        <is>
          <t>—</t>
        </is>
      </c>
    </row>
    <row r="87" ht="139" customHeight="1" s="59">
      <c r="A87" s="4" t="inlineStr">
        <is>
          <t>BEF Foods (Bob Evans) — Hillsdale</t>
        </is>
      </c>
      <c r="B87" s="68" t="inlineStr">
        <is>
          <t>Hillsdale, MI</t>
        </is>
      </c>
      <c r="C87" s="68" t="inlineStr">
        <is>
          <t>SOW-ONLY abattoir (open since 1964)</t>
        </is>
      </c>
      <c r="D87" s="133" t="inlineStr">
        <is>
          <t>192–1,923/wk (FSIS cat 3)
· HACCP Small (10-499 employees)</t>
        </is>
      </c>
      <c r="E87" s="110" t="inlineStr">
        <is>
          <t>NO
(Durham: n/m)</t>
        </is>
      </c>
      <c r="F87" s="143" t="inlineStr">
        <is>
          <t>confirm (band ≤1,944)</t>
        </is>
      </c>
      <c r="G87" s="68" t="inlineStr">
        <is>
          <t>Yes — SOW ONLY</t>
        </is>
      </c>
      <c r="H87" s="68" t="inlineStr">
        <is>
          <t>USDA ✓ M952 (grant 2021)</t>
        </is>
      </c>
      <c r="I87"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87" s="68" t="inlineStr">
        <is>
          <t>Not verified — APHIS publishes no searchable list; confirm with APHIS VS</t>
        </is>
      </c>
      <c r="K87" s="68" t="inlineStr">
        <is>
          <t>Not on the current enforcement page — BUT corporate humane-handling systems are shared with Xenia, so treat the 2018 Xenia action as a COMPANY-LEVEL signal</t>
        </is>
      </c>
      <c r="L87" s="68" t="inlineStr">
        <is>
          <t>None found</t>
        </is>
      </c>
      <c r="M87" s="68" t="inlineStr">
        <is>
          <t>WEAK-MEDIUM (corporate)</t>
        </is>
      </c>
      <c r="N87" s="68" t="inlineStr">
        <is>
          <t>MEDIUM</t>
        </is>
      </c>
      <c r="O87" s="68" t="inlineStr">
        <is>
          <t>No phone in the USDA file — route via Post / Bob Evans corporate</t>
        </is>
      </c>
      <c r="P87" s="23" t="inlineStr">
        <is>
          <t>CAUTION</t>
        </is>
      </c>
      <c r="Q87" s="178" t="inlineStr">
        <is>
          <t>Back-pool — passes no current tier; see Fit and notes for what a call would need to change.</t>
        </is>
      </c>
      <c r="R87" s="179" t="inlineStr">
        <is>
          <t>—</t>
        </is>
      </c>
      <c r="S87" s="68" t="inlineStr">
        <is>
          <t>Med
(study 8-03/05)</t>
        </is>
      </c>
      <c r="T87" s="68" t="inlineStr">
        <is>
          <t>⚠ VOLUME CORRECTED to FSIS cat 3 (~194–1,923/wk); tier corrected to MEDIUM. || Confirmed operating by the same Post FY2025 10-K sentence.</t>
        </is>
      </c>
      <c r="U87" s="212" t="inlineStr">
        <is>
          <t>E-19</t>
        </is>
      </c>
      <c r="V87" s="210" t="inlineStr">
        <is>
          <t>—</t>
        </is>
      </c>
    </row>
    <row r="88" ht="192.6" customHeight="1" s="59">
      <c r="A88" s="4" t="inlineStr">
        <is>
          <t>Calihan Processing Cooperative</t>
        </is>
      </c>
      <c r="B88" s="68" t="inlineStr">
        <is>
          <t>Peoria, IL</t>
        </is>
      </c>
      <c r="C88" s="68" t="inlineStr">
        <is>
          <t>Producer-owned cooperative sow/market abattoir</t>
        </is>
      </c>
      <c r="D88" s="68" t="inlineStr">
        <is>
          <t>~3,500/wk — BEST-VERIFIED FIGURE IN THE BAND ('700 sows per day', company's own site)
· HACCP Small (10-499 employees)</t>
        </is>
      </c>
      <c r="E88" s="110" t="inlineStr">
        <is>
          <t>NO
(Durham: n/m)</t>
        </is>
      </c>
      <c r="F88" s="136" t="inlineStr">
        <is>
          <t>1,250-5,000/wk (~3,500)</t>
        </is>
      </c>
      <c r="G88" s="68" t="inlineStr">
        <is>
          <t>Yes — MKT + SOW + boar</t>
        </is>
      </c>
      <c r="H88" s="68" t="inlineStr">
        <is>
          <t>USDA ✓ M6775 + V6775
✅ Certification-Export ON THE GRANT</t>
        </is>
      </c>
      <c r="I88" s="68" t="inlineStr">
        <is>
          <t>See the Welfare &amp; culture column — enforcement detail is carried there for these rows</t>
        </is>
      </c>
      <c r="J88" s="68" t="inlineStr">
        <is>
          <t>Not verified — APHIS publishes no searchable list; confirm with APHIS VS</t>
        </is>
      </c>
      <c r="K88"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88" s="68" t="inlineStr">
        <is>
          <t>unknown</t>
        </is>
      </c>
      <c r="M88" s="68" t="inlineStr">
        <is>
          <t>Plausible</t>
        </is>
      </c>
      <c r="N88" s="68" t="inlineStr">
        <is>
          <t>Plausible — new co-op board may welcome new revenue</t>
        </is>
      </c>
      <c r="O88" s="68" t="inlineStr">
        <is>
          <t>(309) 512-7124
One South Street, Peoria IL 61602
Ben Elbert (Plant Mgr) · Jason Jones (EVP Pork)</t>
        </is>
      </c>
      <c r="P88" s="23" t="inlineStr">
        <is>
          <t>CAUTION</t>
        </is>
      </c>
      <c r="Q88" s="178" t="inlineStr">
        <is>
          <t>Back-pool — passes no current tier; see Fit and notes for what a call would need to change.</t>
        </is>
      </c>
      <c r="R88" s="179" t="inlineStr">
        <is>
          <t>—</t>
        </is>
      </c>
      <c r="S88" s="68" t="inlineStr">
        <is>
          <t>High
(study 8-03/05)</t>
        </is>
      </c>
      <c r="T88"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c r="U88" s="212" t="inlineStr">
        <is>
          <t>E-20</t>
        </is>
      </c>
      <c r="V88" s="210" t="inlineStr">
        <is>
          <t>—</t>
        </is>
      </c>
    </row>
    <row r="89" ht="98.8" customHeight="1" s="59">
      <c r="A89" s="4" t="inlineStr">
        <is>
          <t>Clausen Meat Company, Inc.</t>
        </is>
      </c>
      <c r="B89" s="68" t="inlineStr">
        <is>
          <t>Turlock, CA (Merced)</t>
        </is>
      </c>
      <c r="C89" s="68" t="inlineStr">
        <is>
          <t>Federal abattoir; absorbed Jim's Farm Meats (Atwater)</t>
        </is>
      </c>
      <c r="D89" s="68" t="inlineStr">
        <is>
          <t>unknown precisely — cat-4 proves ≥2,000/wk; 2,500-5,000 is an INFERENCE from the absorbed 850 hd/day plant
· HACCP Small (10-499 employees)</t>
        </is>
      </c>
      <c r="E89" s="110" t="inlineStr">
        <is>
          <t>NO
(Durham: n/m)</t>
        </is>
      </c>
      <c r="F89" s="136" t="inlineStr">
        <is>
          <t>1,250-5,000/wk
(cat-4 ≥1,944 — confirm)</t>
        </is>
      </c>
      <c r="G89" s="68" t="inlineStr">
        <is>
          <t>Yes — MKT + SOW + roaster</t>
        </is>
      </c>
      <c r="H89" s="68" t="inlineStr">
        <is>
          <t>USDA ✓ M325</t>
        </is>
      </c>
      <c r="I89" s="68" t="inlineStr">
        <is>
          <t>See the Welfare &amp; culture column — enforcement detail is carried there for these rows</t>
        </is>
      </c>
      <c r="J89" s="68" t="inlineStr">
        <is>
          <t>Not verified — APHIS publishes no searchable list; confirm with APHIS VS</t>
        </is>
      </c>
      <c r="K89" s="68" t="inlineStr">
        <is>
          <t>🚨 INH suspension 15 Nov 2023 — NOT reinstated until 12 Apr 2024, roughly FIVE MONTHS out. A long suspension; warrants scrutiny</t>
        </is>
      </c>
      <c r="L89" s="68" t="inlineStr">
        <is>
          <t>unknown</t>
        </is>
      </c>
      <c r="M89" s="68" t="inlineStr">
        <is>
          <t>Plausible</t>
        </is>
      </c>
      <c r="N89" s="68" t="inlineStr">
        <is>
          <t>Plausible</t>
        </is>
      </c>
      <c r="O89" s="68" t="inlineStr">
        <is>
          <t>(209) 667-8690
19455 E Clausen Rd, Turlock CA 95380</t>
        </is>
      </c>
      <c r="P89" s="23" t="inlineStr">
        <is>
          <t>CAUTION</t>
        </is>
      </c>
      <c r="Q89" s="178" t="inlineStr">
        <is>
          <t>Back-pool — passes no current tier; see Fit and notes for what a call would need to change.</t>
        </is>
      </c>
      <c r="R89" s="179" t="inlineStr">
        <is>
          <t>—</t>
        </is>
      </c>
      <c r="S89" s="68" t="inlineStr">
        <is>
          <t>Low-Med
(study 8-03/05)</t>
        </is>
      </c>
      <c r="T89" s="68" t="inlineStr">
        <is>
          <t>The ONLY serious in-band candidate on the WEST COAST, and rare MKT+SOW+roaster flexibility. Volume is an inference, not a published figure — verify volume AND welfare directly.</t>
        </is>
      </c>
      <c r="U89" s="212" t="inlineStr">
        <is>
          <t>E-21</t>
        </is>
      </c>
      <c r="V89" s="210" t="inlineStr">
        <is>
          <t>—</t>
        </is>
      </c>
    </row>
    <row r="90" ht="98.8" customHeight="1" s="59">
      <c r="A90" s="4" t="inlineStr">
        <is>
          <t>Dealaman Enterprises, Inc.</t>
        </is>
      </c>
      <c r="B90" s="68" t="inlineStr">
        <is>
          <t>Warren, NJ</t>
        </is>
      </c>
      <c r="C90" s="68" t="inlineStr">
        <is>
          <t>Market + roaster + sheep slaughter since 1905</t>
        </is>
      </c>
      <c r="D90" s="68" t="inlineStr">
        <is>
          <t>~1,000-1,200/wk — BEST-CORROBORATED FIGURE IN THE STUDY (EMI 200/day AND a Bloomberg-sourced '1,200 pigs a week' agree)
· HACCP Small (10-499 employees)</t>
        </is>
      </c>
      <c r="E90" s="110" t="inlineStr">
        <is>
          <t>NO
(Durham: n/m)</t>
        </is>
      </c>
      <c r="F90" s="137" t="inlineStr">
        <is>
          <t>750-1,200/wk (~1,000-1,200)</t>
        </is>
      </c>
      <c r="G90" s="68" t="inlineStr">
        <is>
          <t>Yes — MARKET + ROASTER + sheep. NO SOW</t>
        </is>
      </c>
      <c r="H90" s="68" t="inlineStr">
        <is>
          <t>USDA ✓ M7562 (grant 2021)</t>
        </is>
      </c>
      <c r="I90" s="68" t="inlineStr">
        <is>
          <t>See the Welfare &amp; culture column — enforcement detail is carried there for these rows</t>
        </is>
      </c>
      <c r="J90" s="68" t="inlineStr">
        <is>
          <t>Not verified — APHIS publishes no searchable list; confirm with APHIS VS</t>
        </is>
      </c>
      <c r="K90" s="68" t="inlineStr">
        <is>
          <t>None found (limited-window caveat). Positively framed in trade press — used by small farms 'who value personalized service and humane treatment'</t>
        </is>
      </c>
      <c r="L90" s="68" t="inlineStr">
        <is>
          <t>None found</t>
        </is>
      </c>
      <c r="M90" s="68" t="inlineStr">
        <is>
          <t>MEDIUM — small, relationship-driven, likely receptive</t>
        </is>
      </c>
      <c r="N90" s="68" t="inlineStr">
        <is>
          <t>MEDIUM</t>
        </is>
      </c>
      <c r="O90" s="68" t="inlineStr">
        <is>
          <t>(908) 755-1780 / (908) 647-5533
214 Mountainview Rd · ~30 staff</t>
        </is>
      </c>
      <c r="P90" s="23" t="inlineStr">
        <is>
          <t>CAUTION</t>
        </is>
      </c>
      <c r="Q90" s="178" t="inlineStr">
        <is>
          <t>Back-pool — passes no current tier; see Fit and notes for what a call would need to change.</t>
        </is>
      </c>
      <c r="R90" s="179" t="inlineStr">
        <is>
          <t>—</t>
        </is>
      </c>
      <c r="S90" s="68" t="inlineStr">
        <is>
          <t>Med-High
(study 8-03/05)</t>
        </is>
      </c>
      <c r="T90"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c r="U90" s="212" t="inlineStr">
        <is>
          <t>E-22</t>
        </is>
      </c>
      <c r="V90" s="210" t="inlineStr">
        <is>
          <t>—</t>
        </is>
      </c>
    </row>
    <row r="91" ht="165.8" customHeight="1" s="59">
      <c r="A91" s="4" t="inlineStr">
        <is>
          <t>Dean Sausage Co. (Attalla)</t>
        </is>
      </c>
      <c r="B91" s="68" t="inlineStr">
        <is>
          <t>Attalla, AL</t>
        </is>
      </c>
      <c r="C91" s="68" t="inlineStr">
        <is>
          <t>SOW slaughter plant marketed purely as a sausage brand</t>
        </is>
      </c>
      <c r="D91" s="133" t="inlineStr">
        <is>
          <t>19–194/wk (FSIS cat 2)
· HACCP Small (10-499 employees)</t>
        </is>
      </c>
      <c r="E91" s="110" t="inlineStr">
        <is>
          <t>NO
(Durham: n/m)</t>
        </is>
      </c>
      <c r="F91" s="139" t="inlineStr">
        <is>
          <t>0-300/wk (≤194)</t>
        </is>
      </c>
      <c r="G91" s="135" t="inlineStr">
        <is>
          <t>SOW</t>
        </is>
      </c>
      <c r="H91" s="68" t="inlineStr">
        <is>
          <t>USDA ✓ M6621 + P6621</t>
        </is>
      </c>
      <c r="I91"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91" s="68" t="inlineStr">
        <is>
          <t>Not verified — APHIS publishes no searchable list; confirm with APHIS VS</t>
        </is>
      </c>
      <c r="K91"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91" s="68" t="inlineStr">
        <is>
          <t>None found</t>
        </is>
      </c>
      <c r="M91" s="68" t="inlineStr">
        <is>
          <t>WEAK — placing our own harvesters inside a plant with an active repeat record for machine guarding and blocked egress is a direct worker-safety and insurance exposure</t>
        </is>
      </c>
      <c r="N91" s="68" t="inlineStr">
        <is>
          <t>MEDIUM — arm's-length purchase avoids the exposure</t>
        </is>
      </c>
      <c r="O91" s="68" t="inlineStr">
        <is>
          <t>(256) 538-6082
3750 Pleasant Valley Rd · ~85 staff, founded 1955</t>
        </is>
      </c>
      <c r="P91" s="23" t="inlineStr">
        <is>
          <t>CAUTION</t>
        </is>
      </c>
      <c r="Q91" s="178" t="inlineStr">
        <is>
          <t>Back-pool — passes no current tier; see Fit and notes for what a call would need to change.</t>
        </is>
      </c>
      <c r="R91" s="179" t="inlineStr">
        <is>
          <t>—</t>
        </is>
      </c>
      <c r="S91" s="68" t="inlineStr">
        <is>
          <t>High
(study 8-03/05)</t>
        </is>
      </c>
      <c r="T91"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c r="U91" s="212" t="inlineStr">
        <is>
          <t>E-23</t>
        </is>
      </c>
      <c r="V91" s="210" t="inlineStr">
        <is>
          <t>—</t>
        </is>
      </c>
    </row>
    <row r="92" ht="72" customHeight="1" s="59">
      <c r="A92" s="4" t="inlineStr">
        <is>
          <t>Lorentz Meats</t>
        </is>
      </c>
      <c r="B92" s="68" t="inlineStr">
        <is>
          <t>Cannon Falls, MN</t>
        </is>
      </c>
      <c r="C92" s="68" t="inlineStr">
        <is>
          <t>USDA niche processor (slaughter→retail)</t>
        </is>
      </c>
      <c r="D92" s="68" t="inlineStr">
        <is>
          <t>up to ~600 (120/day est.)
· HACCP Small (10-499 employees)</t>
        </is>
      </c>
      <c r="E92" s="110" t="inlineStr">
        <is>
          <t>NO
(Durham: n/m)</t>
        </is>
      </c>
      <c r="F92" s="143" t="inlineStr">
        <is>
          <t>confirm (hogs unconfirmed)</t>
        </is>
      </c>
      <c r="G92" s="68" t="inlineStr">
        <is>
          <t>NO SWINE FLAGS in FSIS —
hog slaughter NOT confirmed</t>
        </is>
      </c>
      <c r="H92" s="68" t="inlineStr">
        <is>
          <t>USDA ✓ M21207 + P21207 + V21207</t>
        </is>
      </c>
      <c r="I92" s="68" t="inlineStr">
        <is>
          <t>Recall 2010 (Listeria, cooked ham, Class I). No humane-handling action found.</t>
        </is>
      </c>
      <c r="J92" s="68" t="inlineStr">
        <is>
          <t>FSIS export-certified (edible, general; Est. M21207). EU-specific unverified</t>
        </is>
      </c>
      <c r="K92" s="68" t="inlineStr">
        <is>
          <t>Strong — explicit humane-slaughter positioning; family since 1968, ~140 staff; organic/grass-fed ties</t>
        </is>
      </c>
      <c r="L92" s="68" t="inlineStr">
        <is>
          <t>None known</t>
        </is>
      </c>
      <c r="M92" s="68" t="inlineStr">
        <is>
          <t>Good Model A host (fee-for-service, small-producer friendly)</t>
        </is>
      </c>
      <c r="N92" s="68" t="inlineStr">
        <is>
          <t>Plausible</t>
        </is>
      </c>
      <c r="O92" s="68" t="inlineStr">
        <is>
          <t>(507) 263-3618
lorentzmeats.com</t>
        </is>
      </c>
      <c r="P92" s="140" t="inlineStr">
        <is>
          <t>CAUTION</t>
        </is>
      </c>
      <c r="Q92" s="178" t="inlineStr">
        <is>
          <t>Back-pool — passes no current tier; see Fit and notes for what a call would need to change.</t>
        </is>
      </c>
      <c r="R92" s="179" t="inlineStr">
        <is>
          <t>—</t>
        </is>
      </c>
      <c r="S92" s="68" t="inlineStr">
        <is>
          <t>Med-High
(FSIS+MPI 8-06)</t>
        </is>
      </c>
      <c r="T92"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c r="U92" s="212" t="inlineStr">
        <is>
          <t>E-24</t>
        </is>
      </c>
      <c r="V92" s="210" t="inlineStr">
        <is>
          <t>—</t>
        </is>
      </c>
    </row>
    <row r="93" ht="179.2" customHeight="1" s="59">
      <c r="A93" s="4" t="inlineStr">
        <is>
          <t>Perry Way Foods, LLC (Sustainable Swine Resources)</t>
        </is>
      </c>
      <c r="B93" s="68" t="inlineStr">
        <is>
          <t>Watertown, WI</t>
        </is>
      </c>
      <c r="C93" s="68" t="inlineStr">
        <is>
          <t>SOW abattoir + medical tissue operation</t>
        </is>
      </c>
      <c r="D93" s="68" t="inlineStr">
        <is>
          <t>~4,250/wk (850 hd/day EMI 2017) — LIKELY HIGHER NOW (absorbed Momence volume + 2nd shift)
· HACCP Small (10-499 employees)</t>
        </is>
      </c>
      <c r="E93" s="110" t="inlineStr">
        <is>
          <t>NO
(Durham: n/m)</t>
        </is>
      </c>
      <c r="F93" s="136" t="inlineStr">
        <is>
          <t>1,250-5,000/wk (~4,250)</t>
        </is>
      </c>
      <c r="G93" s="68" t="inlineStr">
        <is>
          <t>Yes — SOW ONLY</t>
        </is>
      </c>
      <c r="H93" s="68" t="inlineStr">
        <is>
          <t>USDA ✓ M1962 + P1962</t>
        </is>
      </c>
      <c r="I93" s="68" t="inlineStr">
        <is>
          <t>See the Welfare &amp; culture column — enforcement detail is carried there for these rows</t>
        </is>
      </c>
      <c r="J93" s="68" t="inlineStr">
        <is>
          <t>Not verified — APHIS publishes no searchable list; confirm with APHIS VS</t>
        </is>
      </c>
      <c r="K93" s="68" t="inlineStr">
        <is>
          <t>NO suspension in any QER FY2024-FY2026 (no public record)</t>
        </is>
      </c>
      <c r="L93"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3" s="68" t="inlineStr">
        <is>
          <t>⚠ May be REFUSED on channel conflict</t>
        </is>
      </c>
      <c r="N93" s="68" t="inlineStr">
        <is>
          <t>Already built and running — but for their own account</t>
        </is>
      </c>
      <c r="O93" s="68" t="inlineStr">
        <is>
          <t>(920) 261-1053
1222 Perry Way, Watertown WI 53094</t>
        </is>
      </c>
      <c r="P93" s="23" t="inlineStr">
        <is>
          <t>CAUTION</t>
        </is>
      </c>
      <c r="Q93" s="178" t="inlineStr">
        <is>
          <t>Back-pool — passes no current tier; see Fit and notes for what a call would need to change.</t>
        </is>
      </c>
      <c r="R93" s="179" t="inlineStr">
        <is>
          <t>—</t>
        </is>
      </c>
      <c r="S93" s="68" t="inlineStr">
        <is>
          <t>Med-High
(study 8-03/05)</t>
        </is>
      </c>
      <c r="T93" s="68" t="inlineStr">
        <is>
          <t>⚠ STRATEGIC: SSR IS A DIRECT COMPETITOR in exactly your space, and controls TWO of the six in-band plants. Model A access may be refused for channel-conflict reasons. Approach as partner-supplier OR treat as competitive intelligence — but read them either way.</t>
        </is>
      </c>
      <c r="U93" s="212" t="inlineStr">
        <is>
          <t>E-25</t>
        </is>
      </c>
      <c r="V93" s="210" t="inlineStr">
        <is>
          <t>—</t>
        </is>
      </c>
    </row>
    <row r="94" ht="72" customHeight="1" s="59">
      <c r="A94" s="4" t="inlineStr">
        <is>
          <t>Ruthven Meat Processing</t>
        </is>
      </c>
      <c r="B94" s="68" t="inlineStr">
        <is>
          <t>Ruthven, IA</t>
        </is>
      </c>
      <c r="C94" s="68" t="inlineStr">
        <is>
          <t>USDA (Est. M2118), FSIS 'Very Small'</t>
        </is>
      </c>
      <c r="D94" s="68" t="inlineStr">
        <is>
          <t>~19-194/wk
(FSIS cat 2 ceiling)
· HACCP Very Small (&lt;10 employees or &lt;$2.5M sales)</t>
        </is>
      </c>
      <c r="E94" s="110" t="inlineStr">
        <is>
          <t>NO
(Durham: n/m)</t>
        </is>
      </c>
      <c r="F94" s="139" t="inlineStr">
        <is>
          <t>0-300/wk (≤194)</t>
        </is>
      </c>
      <c r="G94" s="68" t="inlineStr">
        <is>
          <t>NO SWINE FLAGS in FSIS —
hogs NOT confirmed</t>
        </is>
      </c>
      <c r="H94" s="68" t="inlineStr">
        <is>
          <t>USDA ✓ M2118 + P2118 + V2118</t>
        </is>
      </c>
      <c r="I94" s="68" t="inlineStr">
        <is>
          <t>None found in public sources</t>
        </is>
      </c>
      <c r="J94" s="68" t="inlineStr">
        <is>
          <t>Not on public export lists — verify</t>
        </is>
      </c>
      <c r="K94" s="68" t="inlineStr">
        <is>
          <t>Small locker</t>
        </is>
      </c>
      <c r="L94" s="68" t="inlineStr">
        <is>
          <t>Unknown</t>
        </is>
      </c>
      <c r="M94" s="68" t="inlineStr">
        <is>
          <t>Model A small batch</t>
        </is>
      </c>
      <c r="N94" s="68" t="inlineStr">
        <is>
          <t>Plausible</t>
        </is>
      </c>
      <c r="O94" s="68" t="inlineStr">
        <is>
          <t>(712) 837-5334</t>
        </is>
      </c>
      <c r="P94" s="23" t="inlineStr">
        <is>
          <t>CAUTION</t>
        </is>
      </c>
      <c r="Q94" s="178" t="inlineStr">
        <is>
          <t>Back-pool — passes no current tier; see Fit and notes for what a call would need to change.</t>
        </is>
      </c>
      <c r="R94" s="179" t="inlineStr">
        <is>
          <t>—</t>
        </is>
      </c>
      <c r="S94" s="68" t="inlineStr">
        <is>
          <t>High
(study 8-03/05)</t>
        </is>
      </c>
      <c r="T94" s="68" t="inlineStr">
        <is>
          <t>FSIS 'Very Small' volume class (fits low band) BUT swine slaughter NOT confirmed — verify it actually takes hogs before relying on it.</t>
        </is>
      </c>
      <c r="U94" s="212" t="inlineStr">
        <is>
          <t>E-26</t>
        </is>
      </c>
      <c r="V94" s="210" t="inlineStr">
        <is>
          <t>—</t>
        </is>
      </c>
    </row>
    <row r="95" ht="45.2" customHeight="1" s="59">
      <c r="A95" s="4" t="inlineStr">
        <is>
          <t>Sinclair BioResources</t>
        </is>
      </c>
      <c r="B95" s="68" t="inlineStr">
        <is>
          <t>Auxvasse, MO</t>
        </is>
      </c>
      <c r="C95" s="68" t="inlineStr">
        <is>
          <t>Minipig supplier + bio-samples</t>
        </is>
      </c>
      <c r="D95" s="68" t="inlineStr">
        <is>
          <t>n/a (research minipigs)</t>
        </is>
      </c>
      <c r="E95" s="110" t="inlineStr">
        <is>
          <t>NO
(Durham: n/m)</t>
        </is>
      </c>
      <c r="F95" s="143" t="inlineStr">
        <is>
          <t>n/a (minipigs)</t>
        </is>
      </c>
      <c r="G95" s="68" t="inlineStr">
        <is>
          <t>Yes (minipigs)</t>
        </is>
      </c>
      <c r="H95" s="68" t="inlineStr">
        <is>
          <t>unknown</t>
        </is>
      </c>
      <c r="I95" s="68" t="inlineStr">
        <is>
          <t>None found (research minipig facility)</t>
        </is>
      </c>
      <c r="J95" s="68" t="inlineStr">
        <is>
          <t>Research minipig; APHIS VS channel — verify</t>
        </is>
      </c>
      <c r="K95" s="68" t="inlineStr">
        <is>
          <t>Research-scale program</t>
        </is>
      </c>
      <c r="L95" s="68" t="inlineStr">
        <is>
          <t>Minipig tissue / bio-samples (Sinclair, Yucatan, Hanford)</t>
        </is>
      </c>
      <c r="M95" s="68" t="inlineStr">
        <is>
          <t>n/a</t>
        </is>
      </c>
      <c r="N95" s="68" t="inlineStr">
        <is>
          <t>Comparator only</t>
        </is>
      </c>
      <c r="O95" s="68" t="inlineStr">
        <is>
          <t>sinclairbioresources.com</t>
        </is>
      </c>
      <c r="P95" s="23" t="inlineStr">
        <is>
          <t>CAUTION</t>
        </is>
      </c>
      <c r="Q95" s="178" t="inlineStr">
        <is>
          <t>Back-pool — passes no current tier; see Fit and notes for what a call would need to change.</t>
        </is>
      </c>
      <c r="R95" s="179" t="inlineStr">
        <is>
          <t>—</t>
        </is>
      </c>
      <c r="S95" s="68" t="inlineStr">
        <is>
          <t>Med
(study 8-03/05)</t>
        </is>
      </c>
      <c r="T95" s="68" t="inlineStr">
        <is>
          <t>MISMATCH: research minipigs at research scale, not commercial market hogs at our volume tiers; tissue blocks would be minipig-sized. Useful as a comparator/specialty source, not a throughput abattoir.</t>
        </is>
      </c>
      <c r="U95" s="212" t="inlineStr">
        <is>
          <t>E-27</t>
        </is>
      </c>
      <c r="V95" s="210" t="inlineStr">
        <is>
          <t>—</t>
        </is>
      </c>
    </row>
    <row r="96" ht="45.2" customHeight="1" s="59">
      <c r="A96" s="4" t="inlineStr">
        <is>
          <t>Sioux-Preme Packing / Perdue</t>
        </is>
      </c>
      <c r="B96" s="68" t="inlineStr">
        <is>
          <t>Sioux Center, IA</t>
        </is>
      </c>
      <c r="C96" s="68" t="inlineStr">
        <is>
          <t>Large niche pork (Est. M5537)</t>
        </is>
      </c>
      <c r="D96" s="68" t="inlineStr">
        <is>
          <t>~4,500 / DAY
· HACCP Small (10-499 employees)</t>
        </is>
      </c>
      <c r="E96" s="110" t="inlineStr">
        <is>
          <t>NO
(Durham: n/m)</t>
        </is>
      </c>
      <c r="F96" s="195" t="inlineStr">
        <is>
          <t>5,000+/wk (~4,500/DAY)</t>
        </is>
      </c>
      <c r="G96" s="68" t="inlineStr">
        <is>
          <t>MARKET + ROASTER + boar/stag
(sow: No)</t>
        </is>
      </c>
      <c r="H96" s="68" t="inlineStr">
        <is>
          <t>USDA ✓ M5537</t>
        </is>
      </c>
      <c r="I96" s="25" t="inlineStr">
        <is>
          <t>⚠ Humane-handling: NOIE 11/2020, suspension 04/2021 (Est. M5537); PETA sought charges (none filed on record).</t>
        </is>
      </c>
      <c r="J96" s="68" t="inlineStr">
        <is>
          <t>Export status not confirmed on public lists — verify</t>
        </is>
      </c>
      <c r="K96" s="68" t="inlineStr">
        <is>
          <t>NEGATIVE signal — an animal-rights group publicly sought charges over handling</t>
        </is>
      </c>
      <c r="L96" s="68" t="inlineStr">
        <is>
          <t>No biologics program found</t>
        </is>
      </c>
      <c r="M96" s="68" t="inlineStr">
        <is>
          <t>Unlikely</t>
        </is>
      </c>
      <c r="N96" s="68" t="inlineStr">
        <is>
          <t>Unlikely</t>
        </is>
      </c>
      <c r="O96" s="68" t="inlineStr">
        <is>
          <t>(712) 722-2555</t>
        </is>
      </c>
      <c r="P96" s="23" t="inlineStr">
        <is>
          <t>CAUTION</t>
        </is>
      </c>
      <c r="Q96" s="178" t="inlineStr">
        <is>
          <t>Back-pool — passes no current tier; see Fit and notes for what a call would need to change.</t>
        </is>
      </c>
      <c r="R96" s="179" t="inlineStr">
        <is>
          <t>—</t>
        </is>
      </c>
      <c r="S96" s="68" t="inlineStr">
        <is>
          <t>High
(study 8-03/05)</t>
        </is>
      </c>
      <c r="T96" s="68" t="inlineStr">
        <is>
          <t>HIGH tier — no longer excluded on size. Held at CAUTION on WELFARE, not volume: humane-handling NOIE 11/2020 and suspension 04/2021 (Est. M5537), and PETA sought criminal charges. No organ program found. Weigh heavily against the Nahunta standard.</t>
        </is>
      </c>
      <c r="U96" s="212" t="inlineStr">
        <is>
          <t>E-28</t>
        </is>
      </c>
      <c r="V96" s="210" t="inlineStr">
        <is>
          <t>—</t>
        </is>
      </c>
    </row>
    <row r="97" ht="72" customHeight="1" s="59">
      <c r="A97" s="51" t="inlineStr">
        <is>
          <t>DeWied International</t>
        </is>
      </c>
      <c r="B97" s="53" t="inlineStr">
        <is>
          <t>San Antonio, TX</t>
        </is>
      </c>
      <c r="C97" s="53" t="inlineStr">
        <is>
          <t>NATURAL CASINGS collector — operates INSIDE third-party USDA plants</t>
        </is>
      </c>
      <c r="D97" s="53" t="inlineStr">
        <is>
          <t>n/a — collects, does not slaughter</t>
        </is>
      </c>
      <c r="E97" s="110" t="inlineStr">
        <is>
          <t>NO
(Durham: n/m)</t>
        </is>
      </c>
      <c r="F97" s="143" t="inlineStr">
        <is>
          <t>n/a — collector</t>
        </is>
      </c>
      <c r="G97" s="53" t="inlineStr">
        <is>
          <t>n/a (works on others' hog lines)</t>
        </is>
      </c>
      <c r="H97" s="53" t="inlineStr">
        <is>
          <t>USDA ✓ V27254
(voluntary grant, Certification–Export;
FSIS lists 'Oversea Dewied International LLC')</t>
        </is>
      </c>
      <c r="I97" s="53" t="inlineStr">
        <is>
          <t>Not researched — they are operators, not slaughter plants</t>
        </is>
      </c>
      <c r="J97" s="53" t="inlineStr">
        <is>
          <t>Not verified — ask directly; casings are widely exported so export documentation experience is likely</t>
        </is>
      </c>
      <c r="K97" s="53" t="inlineStr">
        <is>
          <t>Long-established casings house; merged with Oversea Casing 2018</t>
        </is>
      </c>
      <c r="L97" s="53" t="inlineStr">
        <is>
          <t>⭐ Same model: own crews recovering ONE tissue (intestine/casings) under written protocol inside third-party plants</t>
        </is>
      </c>
      <c r="M97" s="53" t="inlineStr">
        <is>
          <t>They ARE Model A — at industrial scale, already proven</t>
        </is>
      </c>
      <c r="N97" s="53" t="inlineStr">
        <is>
          <t>n/a — they are an operator, not a host</t>
        </is>
      </c>
      <c r="O97" s="53" t="inlineStr">
        <is>
          <t>San Antonio, TX (find current number via company site)</t>
        </is>
      </c>
      <c r="P97" s="54" t="inlineStr">
        <is>
          <t>★★ PRIORITY
CONTACT</t>
        </is>
      </c>
      <c r="Q97" s="178" t="inlineStr">
        <is>
          <t>Client-flagged collector to interview — they already run our Model A at industrial scale inside third-party plants.</t>
        </is>
      </c>
      <c r="R97" s="179" t="inlineStr">
        <is>
          <t>see contact column</t>
        </is>
      </c>
      <c r="S97" s="49" t="inlineStr">
        <is>
          <t>High
(study 8-03/05)</t>
        </is>
      </c>
      <c r="T97" s="49" t="inlineStr">
        <is>
          <t>NOT A SUPPLIER TO US — a MODEL and an INFORMATION SOURCE, same as SPL. Casings collectors negotiate line access at hundreds of plants; they know the commercial terms, the HACCP arrangements and which plants say yes. Interview them (Action 0c).</t>
        </is>
      </c>
      <c r="U97" s="212" t="inlineStr">
        <is>
          <t>E-29</t>
        </is>
      </c>
      <c r="V97" s="210" t="inlineStr">
        <is>
          <t>—</t>
        </is>
      </c>
    </row>
    <row r="98" ht="58.6" customHeight="1" s="59">
      <c r="A98" s="51" t="inlineStr">
        <is>
          <t>Scientific Protein Laboratories (SPL)</t>
        </is>
      </c>
      <c r="B98" s="53" t="inlineStr">
        <is>
          <t>Waunakee, WI</t>
        </is>
      </c>
      <c r="C98" s="53" t="inlineStr">
        <is>
          <t>HEPARIN / mucosa collector — operates INSIDE third-party USDA plants</t>
        </is>
      </c>
      <c r="D98" s="53" t="inlineStr">
        <is>
          <t>n/a — collects, does not slaughter</t>
        </is>
      </c>
      <c r="E98" s="110" t="inlineStr">
        <is>
          <t>NO
(Durham: n/m)</t>
        </is>
      </c>
      <c r="F98" s="143" t="inlineStr">
        <is>
          <t>n/a — collector</t>
        </is>
      </c>
      <c r="G98" s="53" t="inlineStr">
        <is>
          <t>n/a (works on others' hog lines)</t>
        </is>
      </c>
      <c r="H98" s="53" t="inlineStr">
        <is>
          <t>n/a — collects at USDA-inspected plants</t>
        </is>
      </c>
      <c r="I98" s="53" t="inlineStr">
        <is>
          <t>Not researched — they are operators, not slaughter plants</t>
        </is>
      </c>
      <c r="J98" s="53" t="inlineStr">
        <is>
          <t>Not verified — ask directly; they run an established export-grade pharma supply chain</t>
        </is>
      </c>
      <c r="K98" s="53" t="inlineStr">
        <is>
          <t>Pharma-grade operation; heparin API feeds regulated medicine supply</t>
        </is>
      </c>
      <c r="L98" s="53" t="inlineStr">
        <is>
          <t>⭐ THIS IS THE POINT: they recover porcine MUCOSA under written protocol, with their OWN CREWS, on someone else's kill floor, paying for line position</t>
        </is>
      </c>
      <c r="M98" s="53" t="inlineStr">
        <is>
          <t>They ARE Model A — at industrial scale, already proven</t>
        </is>
      </c>
      <c r="N98" s="53" t="inlineStr">
        <is>
          <t>n/a — they are an operator, not a host</t>
        </is>
      </c>
      <c r="O98" s="53" t="inlineStr">
        <is>
          <t>Waunakee, WI (find current number via company site)</t>
        </is>
      </c>
      <c r="P98" s="54" t="inlineStr">
        <is>
          <t>★★ PRIORITY
CONTACT</t>
        </is>
      </c>
      <c r="Q98" s="178" t="inlineStr">
        <is>
          <t>Client-flagged collector to interview — they already run our Model A at industrial scale inside third-party plants.</t>
        </is>
      </c>
      <c r="R98" s="179" t="inlineStr">
        <is>
          <t>see contact column</t>
        </is>
      </c>
      <c r="S98" s="49" t="inlineStr">
        <is>
          <t>Med
(study 8-03/05)</t>
        </is>
      </c>
      <c r="T98"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c r="U98" s="212" t="inlineStr">
        <is>
          <t>E-30</t>
        </is>
      </c>
      <c r="V98" s="210" t="inlineStr">
        <is>
          <t>—</t>
        </is>
      </c>
    </row>
    <row r="99" ht="19.7" customHeight="1" s="59">
      <c r="A99" s="206" t="inlineStr">
        <is>
          <t>F · EXCLUDED, DUPLICATE &amp; HISTORY — fails a gate, closed, duplicated, or a roll-up kept for the record</t>
        </is>
      </c>
      <c r="B99" s="171" t="n"/>
      <c r="C99" s="171" t="n"/>
      <c r="D99" s="171" t="n"/>
      <c r="E99" s="171" t="n"/>
      <c r="F99" s="171" t="n"/>
      <c r="G99" s="171" t="n"/>
      <c r="H99" s="171" t="n"/>
      <c r="I99" s="171" t="n"/>
      <c r="J99" s="171" t="n"/>
      <c r="K99" s="171" t="n"/>
      <c r="L99" s="171" t="n"/>
      <c r="M99" s="171" t="n"/>
      <c r="N99" s="171" t="n"/>
      <c r="O99" s="171" t="n"/>
      <c r="P99" s="171" t="n"/>
      <c r="Q99" s="171" t="n"/>
      <c r="R99" s="171" t="n"/>
      <c r="S99" s="171" t="n"/>
      <c r="T99" s="171" t="n"/>
      <c r="U99" s="171" t="n"/>
      <c r="V99" s="172" t="n"/>
    </row>
    <row r="100" ht="165.8" customHeight="1" s="59">
      <c r="A100" s="4" t="inlineStr">
        <is>
          <t>BEF Foods (Bob Evans) — Xenia</t>
        </is>
      </c>
      <c r="B100" s="68" t="inlineStr">
        <is>
          <t>Xenia, OH</t>
        </is>
      </c>
      <c r="C100" s="68" t="inlineStr">
        <is>
          <t>SOW-ONLY abattoir; Post Holdings subsidiary</t>
        </is>
      </c>
      <c r="D100" s="133" t="inlineStr">
        <is>
          <t>192–1,923/wk (FSIS cat 3)
· HACCP Small (10-499 employees)</t>
        </is>
      </c>
      <c r="E100" s="110" t="inlineStr">
        <is>
          <t>NO
(Durham: n/m)</t>
        </is>
      </c>
      <c r="F100" s="143" t="inlineStr">
        <is>
          <t>confirm (band ≤1,944)</t>
        </is>
      </c>
      <c r="G100" s="68" t="inlineStr">
        <is>
          <t>Yes — SOW ONLY</t>
        </is>
      </c>
      <c r="H100" s="68" t="inlineStr">
        <is>
          <t>USDA ✓ M6785 (grant 2020)</t>
        </is>
      </c>
      <c r="I100" s="68" t="inlineStr">
        <is>
          <t>See the Welfare &amp; culture column — enforcement detail is carried there for these rows</t>
        </is>
      </c>
      <c r="J100" s="68" t="inlineStr">
        <is>
          <t>Not verified — APHIS publishes no searchable list; confirm with APHIS VS</t>
        </is>
      </c>
      <c r="K100"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00" s="68" t="inlineStr">
        <is>
          <t>None found</t>
        </is>
      </c>
      <c r="M100" s="68" t="inlineStr">
        <is>
          <t>WEAK-MEDIUM — big-corporate parent means legal/insurance friction for third-party staff on the kill floor</t>
        </is>
      </c>
      <c r="N100" s="68" t="inlineStr">
        <is>
          <t>MEDIUM</t>
        </is>
      </c>
      <c r="O100" s="68" t="inlineStr">
        <is>
          <t>(937) 372-4494
640 Birch Rd, Xenia OH 45385</t>
        </is>
      </c>
      <c r="P100" s="23" t="inlineStr">
        <is>
          <t>DUPLICATE</t>
        </is>
      </c>
      <c r="Q100" s="178" t="inlineStr">
        <is>
          <t>Back-pool — passes no current tier; see Fit and notes for what a call would need to change.</t>
        </is>
      </c>
      <c r="R100" s="179" t="inlineStr">
        <is>
          <t>—</t>
        </is>
      </c>
      <c r="S100" s="68" t="inlineStr">
        <is>
          <t>Med-High
(study 8-03/05)</t>
        </is>
      </c>
      <c r="T100"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
DUPLICATE (2026-09-30): the same establishment appears again in a later pass — the later row is kept; this one is retained for its history only.</t>
        </is>
      </c>
      <c r="U100" s="212" t="inlineStr">
        <is>
          <t>F-01</t>
        </is>
      </c>
      <c r="V100" s="210" t="inlineStr">
        <is>
          <t>—</t>
        </is>
      </c>
    </row>
    <row r="101" ht="72" customHeight="1" s="59">
      <c r="A101" s="4" t="inlineStr">
        <is>
          <t>Fauquier's Finest Custom Meat</t>
        </is>
      </c>
      <c r="B101" s="68" t="inlineStr">
        <is>
          <t>Bealeton, VA</t>
        </is>
      </c>
      <c r="C101" s="68" t="inlineStr">
        <is>
          <t>USDA/FSIS slaughter + processing</t>
        </is>
      </c>
      <c r="D101" s="68" t="inlineStr">
        <is>
          <t>unknown</t>
        </is>
      </c>
      <c r="E101" s="110" t="inlineStr">
        <is>
          <t>NO · ~233 mi ≈</t>
        </is>
      </c>
      <c r="F101" s="143" t="inlineStr">
        <is>
          <t>confirm (data anomaly)</t>
        </is>
      </c>
      <c r="G101" s="68" t="inlineStr">
        <is>
          <t>Yes</t>
        </is>
      </c>
      <c r="H101" s="68" t="inlineStr">
        <is>
          <t>USDA ✓ (FSIS
slaughter listed)</t>
        </is>
      </c>
      <c r="I101" s="25" t="inlineStr">
        <is>
          <t>⚠ REPEAT humane-handling suspensions 2021 &amp; Dec 2024 (+ a 2018 violation). Est. M33940.</t>
        </is>
      </c>
      <c r="J101" s="68" t="inlineStr">
        <is>
          <t>FSIS Est. M33940; not on public export lists — verify</t>
        </is>
      </c>
      <c r="K101" s="68" t="inlineStr">
        <is>
          <t>Not noted</t>
        </is>
      </c>
      <c r="L101" s="68" t="inlineStr">
        <is>
          <t>Not noted</t>
        </is>
      </c>
      <c r="M101" s="68" t="inlineStr">
        <is>
          <t>Worth asking (A)</t>
        </is>
      </c>
      <c r="N101" s="68" t="inlineStr">
        <is>
          <t>Strong B</t>
        </is>
      </c>
      <c r="O101" s="68" t="inlineStr">
        <is>
          <t>540-439-7227
finestbutcher.com</t>
        </is>
      </c>
      <c r="P101" s="23" t="inlineStr">
        <is>
          <t>DUPLICATE</t>
        </is>
      </c>
      <c r="Q101" s="178" t="inlineStr">
        <is>
          <t>Back-pool — passes no current tier; see Fit and notes for what a call would need to change.</t>
        </is>
      </c>
      <c r="R101" s="179" t="inlineStr">
        <is>
          <t>—</t>
        </is>
      </c>
      <c r="S101" s="68" t="inlineStr">
        <is>
          <t>Med-High
(study 8-03/05)</t>
        </is>
      </c>
      <c r="T101" s="68" t="inlineStr">
        <is>
          <t>FSIS-listed for BOTH slaughter &amp; processing incl. hogs — BUT see enforcement: REPEAT humane-handling suspensions (2018, 2021, Dec 2024). A pattern that cuts against the welfare requirement — vet carefully before pursuing.
DUPLICATE (2026-09-30): the same establishment appears again in a later pass — the later row is kept; this one is retained for its history only.</t>
        </is>
      </c>
      <c r="U101" s="212" t="inlineStr">
        <is>
          <t>F-02</t>
        </is>
      </c>
      <c r="V101" s="210" t="inlineStr">
        <is>
          <t>—</t>
        </is>
      </c>
    </row>
    <row r="102" ht="72" customHeight="1" s="59">
      <c r="A102" s="138" t="inlineStr">
        <is>
          <t>George Flowers Slaughter House
⟵ DUPLICATE ENTRY</t>
        </is>
      </c>
      <c r="B102" s="68" t="inlineStr">
        <is>
          <t>Sims, NC</t>
        </is>
      </c>
      <c r="C102" s="68" t="inlineStr">
        <is>
          <t>Slaughter</t>
        </is>
      </c>
      <c r="D102" s="68" t="inlineStr">
        <is>
          <t>see 'Flowers Slaughter House' below</t>
        </is>
      </c>
      <c r="E102" s="109" t="inlineStr">
        <is>
          <t>YES · ~45 mi
(Durham: n/m)</t>
        </is>
      </c>
      <c r="F102" s="143" t="inlineStr">
        <is>
          <t>n/a — duplicate</t>
        </is>
      </c>
      <c r="G102" s="68" t="inlineStr">
        <is>
          <t>see row below</t>
        </is>
      </c>
      <c r="H102" s="68" t="inlineStr">
        <is>
          <t>USDA ✓ M21747 + P21747</t>
        </is>
      </c>
      <c r="I102" s="68" t="inlineStr">
        <is>
          <t>None found (Est. M21747)</t>
        </is>
      </c>
      <c r="J102" s="68" t="inlineStr">
        <is>
          <t>Not on public export lists — verify</t>
        </is>
      </c>
      <c r="K102" s="68" t="inlineStr">
        <is>
          <t>unknown</t>
        </is>
      </c>
      <c r="L102" s="68" t="inlineStr">
        <is>
          <t>Plausible; skin-and-scald</t>
        </is>
      </c>
      <c r="M102" s="68" t="inlineStr">
        <is>
          <t>Plausible</t>
        </is>
      </c>
      <c r="N102" s="68" t="inlineStr">
        <is>
          <t>Plausible</t>
        </is>
      </c>
      <c r="O102" s="68" t="inlineStr">
        <is>
          <t>(252) 237-2982</t>
        </is>
      </c>
      <c r="P102" s="141" t="inlineStr">
        <is>
          <t>DUPLICATE</t>
        </is>
      </c>
      <c r="Q102" s="178" t="inlineStr">
        <is>
          <t>Duplicate entry — use the verified row for this establishment elsewhere on the sheet.</t>
        </is>
      </c>
      <c r="R102" s="179" t="inlineStr">
        <is>
          <t>—</t>
        </is>
      </c>
      <c r="S102" s="68" t="inlineStr">
        <is>
          <t>High
(FSIS+MPI 8-06)</t>
        </is>
      </c>
      <c r="T10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c r="U102" s="212" t="inlineStr">
        <is>
          <t>F-03</t>
        </is>
      </c>
      <c r="V102" s="210" t="inlineStr">
        <is>
          <t>—</t>
        </is>
      </c>
    </row>
    <row r="103" ht="58.6" customHeight="1" s="59">
      <c r="A103" s="4" t="inlineStr">
        <is>
          <t>Leidy's, LLC</t>
        </is>
      </c>
      <c r="B103" s="68" t="inlineStr">
        <is>
          <t>Souderton, PA</t>
        </is>
      </c>
      <c r="C103" s="68" t="inlineStr">
        <is>
          <t>USDA federal — MARKET hogs</t>
        </is>
      </c>
      <c r="D103" s="68" t="inlineStr">
        <is>
          <t>~6,750/wk (1,350 hd/day EMI 2017)
· HACCP Small (10-499 employees)</t>
        </is>
      </c>
      <c r="E103" s="110" t="inlineStr">
        <is>
          <t>NO
(Durham: n/m)</t>
        </is>
      </c>
      <c r="F103" s="195" t="inlineStr">
        <is>
          <t>5,000+/wk (~5,000-7,000)</t>
        </is>
      </c>
      <c r="G103" s="68" t="inlineStr">
        <is>
          <t>Yes — MARKET</t>
        </is>
      </c>
      <c r="H103" s="68" t="inlineStr">
        <is>
          <t>USDA ✓ M9520+P9520+V9520
✅ EXPORT-CERTIFIED</t>
        </is>
      </c>
      <c r="I103" s="68" t="inlineStr">
        <is>
          <t>See the Welfare &amp; culture column — enforcement detail is carried there for these rows</t>
        </is>
      </c>
      <c r="J103" s="68" t="inlineStr">
        <is>
          <t>Not verified — APHIS publishes no searchable list; confirm with APHIS VS</t>
        </is>
      </c>
      <c r="K103" s="68" t="inlineStr">
        <is>
          <t>No QER suspension FY2024-FY2026 (no public record)</t>
        </is>
      </c>
      <c r="L103" s="68" t="inlineStr">
        <is>
          <t>unknown</t>
        </is>
      </c>
      <c r="M103" s="68" t="inlineStr">
        <is>
          <t>Plausible</t>
        </is>
      </c>
      <c r="N103" s="68" t="inlineStr">
        <is>
          <t>Plausible</t>
        </is>
      </c>
      <c r="O103" s="68" t="inlineStr">
        <is>
          <t>(215) 723-4606</t>
        </is>
      </c>
      <c r="P103" s="23" t="inlineStr">
        <is>
          <t>DUPLICATE</t>
        </is>
      </c>
      <c r="Q103" s="178" t="inlineStr">
        <is>
          <t>Back-pool — passes no current tier; see Fit and notes for what a call would need to change.</t>
        </is>
      </c>
      <c r="R103" s="179" t="inlineStr">
        <is>
          <t>—</t>
        </is>
      </c>
      <c r="S103" s="68" t="inlineStr">
        <is>
          <t>Med
(study 8-03/05)</t>
        </is>
      </c>
      <c r="T103" s="68" t="inlineStr">
        <is>
          <t>MID-ATLANTIC and EXPORT-CERTIFIED — relevant to the Pennsylvania-abattoir lead from Animal Biotech. Closest large export-capable plant to the NC operation.
DUPLICATE (2026-09-30): the same establishment appears again in a later pass — the later row is kept; this one is retained for its history only.</t>
        </is>
      </c>
      <c r="U103" s="212" t="inlineStr">
        <is>
          <t>F-04</t>
        </is>
      </c>
      <c r="V103" s="210" t="inlineStr">
        <is>
          <t>—</t>
        </is>
      </c>
    </row>
    <row r="104" ht="112.2" customHeight="1" s="59">
      <c r="A104" s="138" t="inlineStr">
        <is>
          <t>Smithfield / KC Sausage (sow plant)
⟵ DUPLICATE ENTRY</t>
        </is>
      </c>
      <c r="B104" s="68" t="inlineStr">
        <is>
          <t>Godwin, NC</t>
        </is>
      </c>
      <c r="C104" s="68" t="inlineStr">
        <is>
          <t>Industrial sow slaughter</t>
        </is>
      </c>
      <c r="D104" s="68" t="inlineStr">
        <is>
          <t>see 'Kansas City Sausage / Coastal Protein' below</t>
        </is>
      </c>
      <c r="E104" s="109" t="inlineStr">
        <is>
          <t>YES · ~45 mi
(Durham: n/m)</t>
        </is>
      </c>
      <c r="F104" s="143" t="inlineStr">
        <is>
          <t>n/a — duplicate</t>
        </is>
      </c>
      <c r="G104" s="68" t="inlineStr">
        <is>
          <t>see row below</t>
        </is>
      </c>
      <c r="H104" s="68" t="inlineStr">
        <is>
          <t>USDA ✓</t>
        </is>
      </c>
      <c r="I104" s="68" t="inlineStr">
        <is>
          <t>None found for the Godwin plant specifically</t>
        </is>
      </c>
      <c r="J104" s="68" t="inlineStr">
        <is>
          <t>FSIS-inspected; export not confirmed</t>
        </is>
      </c>
      <c r="K104" s="68" t="inlineStr">
        <is>
          <t>Industrial / corporate-owned</t>
        </is>
      </c>
      <c r="L104" s="68" t="inlineStr">
        <is>
          <t>Sow/organ-relevant but industrial scale</t>
        </is>
      </c>
      <c r="M104" s="68" t="inlineStr">
        <is>
          <t>Unlikely</t>
        </is>
      </c>
      <c r="N104" s="68" t="inlineStr">
        <is>
          <t>Unlikely</t>
        </is>
      </c>
      <c r="O104" s="68" t="inlineStr">
        <is>
          <t>—</t>
        </is>
      </c>
      <c r="P104" s="141" t="inlineStr">
        <is>
          <t>DUPLICATE</t>
        </is>
      </c>
      <c r="Q104" s="178" t="inlineStr">
        <is>
          <t>Duplicate entry — use the verified row for this establishment elsewhere on the sheet.</t>
        </is>
      </c>
      <c r="R104" s="179" t="inlineStr">
        <is>
          <t>—</t>
        </is>
      </c>
      <c r="S104" s="68" t="inlineStr">
        <is>
          <t>High
(FSIS+MPI 8-06)</t>
        </is>
      </c>
      <c r="T104"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c r="U104" s="212" t="inlineStr">
        <is>
          <t>F-05</t>
        </is>
      </c>
      <c r="V104" s="210" t="inlineStr">
        <is>
          <t>—</t>
        </is>
      </c>
    </row>
    <row r="105" ht="58.6" customHeight="1" s="59">
      <c r="A105" s="4" t="inlineStr">
        <is>
          <t>Swaggerty Sausage Co.</t>
        </is>
      </c>
      <c r="B105" s="68" t="inlineStr">
        <is>
          <t>Kodak, TN (Sevier)</t>
        </is>
      </c>
      <c r="C105" s="68" t="inlineStr">
        <is>
          <t>USDA federal — PRIMARILY SOWS</t>
        </is>
      </c>
      <c r="D105" s="68" t="inlineStr">
        <is>
          <t>~4,250/wk (850 hd/day)
· HACCP Large (500+ employees)</t>
        </is>
      </c>
      <c r="E105" s="110" t="inlineStr">
        <is>
          <t>NO · ~325 mi ≈</t>
        </is>
      </c>
      <c r="F105" s="136" t="inlineStr">
        <is>
          <t>1,250-5,000/wk (~4,250)</t>
        </is>
      </c>
      <c r="G105" s="68" t="inlineStr">
        <is>
          <t>Yes — SOWS</t>
        </is>
      </c>
      <c r="H105" s="68" t="inlineStr">
        <is>
          <t>USDA ✓ M8314 + V8314</t>
        </is>
      </c>
      <c r="I105" s="25" t="inlineStr">
        <is>
          <t>⚠ Two TN OSHA machine-guarding actions (2018 complaint-driven, 2024 planned; same 1910.212(a)(1) standard 6 yrs apart)</t>
        </is>
      </c>
      <c r="J105" s="68" t="inlineStr">
        <is>
          <t>Federal (M8314). Not confirmed on public export lists</t>
        </is>
      </c>
      <c r="K105" s="68" t="inlineStr">
        <is>
          <t>⚠ Two TN OSHA machine-guarding actions 6 yrs apart (2018, 2024, same standard) — worker-welfare flag</t>
        </is>
      </c>
      <c r="L105" s="68" t="inlineStr">
        <is>
          <t>No existing organ programme — would have to be BUILT</t>
        </is>
      </c>
      <c r="M105" s="68" t="inlineStr">
        <is>
          <t>Possible</t>
        </is>
      </c>
      <c r="N105" s="68" t="inlineStr">
        <is>
          <t>Plausible</t>
        </is>
      </c>
      <c r="O105" s="68" t="inlineStr">
        <is>
          <t>2827 Swaggerty Rd, Kodak TN 37764</t>
        </is>
      </c>
      <c r="P105" s="23" t="inlineStr">
        <is>
          <t>DUPLICATE</t>
        </is>
      </c>
      <c r="Q105" s="178" t="inlineStr">
        <is>
          <t>Back-pool — passes no current tier; see Fit and notes for what a call would need to change.</t>
        </is>
      </c>
      <c r="R105" s="179" t="inlineStr">
        <is>
          <t>—</t>
        </is>
      </c>
      <c r="S105" s="68" t="inlineStr">
        <is>
          <t>Med
(study 8-03/05)</t>
        </is>
      </c>
      <c r="T105" s="68" t="inlineStr">
        <is>
          <t>#7 US SOW plant; 50,000 sq ft expansion recently online. MEDIUM-HIGH tier. Sow anatomy is closer to adult human scale — potentially an ADVANTAGE for pelvic/bariatric blocks. Confirm against the anatomical spec.
DUPLICATE (2026-09-30): the same establishment appears again in a later pass — the later row is kept; this one is retained for its history only.</t>
        </is>
      </c>
      <c r="U105" s="212" t="inlineStr">
        <is>
          <t>F-06</t>
        </is>
      </c>
      <c r="V105" s="210" t="inlineStr">
        <is>
          <t>—</t>
        </is>
      </c>
    </row>
    <row r="106" ht="72" customHeight="1" s="59">
      <c r="A106" s="138" t="inlineStr">
        <is>
          <t>AAA Abattoir</t>
        </is>
      </c>
      <c r="B106" s="68" t="inlineStr">
        <is>
          <t>Graham, NC (Alamance Co.)</t>
        </is>
      </c>
      <c r="C106" s="68" t="inlineStr">
        <is>
          <t>custom-exempt (no continuous inspection)</t>
        </is>
      </c>
      <c r="D106" s="68" t="inlineStr">
        <is>
          <t>n/a</t>
        </is>
      </c>
      <c r="E106" s="88" t="inlineStr">
        <is>
          <t>YES · ~32 mi
(Pikeville: n/m)</t>
        </is>
      </c>
      <c r="F106" s="143" t="inlineStr">
        <is>
          <t>n/a</t>
        </is>
      </c>
      <c r="G106" s="68" t="inlineStr">
        <is>
          <t>swine listed (NCDA species C)</t>
        </is>
      </c>
      <c r="H106" s="68" t="inlineStr">
        <is>
          <t>CUSTOM-EXEMPT (NCDA&amp;CS directory 2026-09-18)</t>
        </is>
      </c>
      <c r="I106" s="25" t="inlineStr">
        <is>
          <t>n/a</t>
        </is>
      </c>
      <c r="J106" s="68" t="inlineStr">
        <is>
          <t>NONE — custom-exempt product cannot be sold; no EU path</t>
        </is>
      </c>
      <c r="K106" s="68" t="inlineStr">
        <is>
          <t>n/a</t>
        </is>
      </c>
      <c r="L106" s="68" t="inlineStr">
        <is>
          <t>n/a</t>
        </is>
      </c>
      <c r="M106" s="68" t="inlineStr">
        <is>
          <t>NO</t>
        </is>
      </c>
      <c r="N106" s="68" t="inlineStr">
        <is>
          <t>NO</t>
        </is>
      </c>
      <c r="O106" s="68" t="inlineStr">
        <is>
          <t>717-405-8137 · 2301 Austin Quarter Road, Graham, NC 27253</t>
        </is>
      </c>
      <c r="P106" s="141" t="inlineStr">
        <is>
          <t>OUT / FLAG</t>
        </is>
      </c>
      <c r="Q106" s="178" t="inlineStr">
        <is>
          <t>Custom-exempt = fails hard gate G1 (no ante-/post-mortem inspection, no resale). Listed only because Beebop's plan carries it (rank #21) — do not call for supply. Very local (32 mi) but custom-only.</t>
        </is>
      </c>
      <c r="R106" s="179" t="inlineStr">
        <is>
          <t>n/a</t>
        </is>
      </c>
      <c r="S106" s="68" t="inlineStr">
        <is>
          <t>High (NCDA 9-18)</t>
        </is>
      </c>
      <c r="T106" s="68" t="inlineStr">
        <is>
          <t>Added 2026-09-28 for the record; 10 more custom-exempt swine plants from the 9-18 directory are listed on Sources &amp; Confidence, not here.</t>
        </is>
      </c>
      <c r="U106" s="212" t="inlineStr">
        <is>
          <t>F-07</t>
        </is>
      </c>
      <c r="V106" s="210" t="inlineStr">
        <is>
          <t>—</t>
        </is>
      </c>
    </row>
    <row r="107" ht="58.6" customHeight="1" s="59">
      <c r="A107" s="4" t="inlineStr">
        <is>
          <t>Assured Community Processing LLC</t>
        </is>
      </c>
      <c r="B107" s="68" t="inlineStr">
        <is>
          <t>Micro, NC (Johnston)</t>
        </is>
      </c>
      <c r="C107" s="68" t="inlineStr">
        <is>
          <t>USDA federal, FSIS 'Very Small'</t>
        </is>
      </c>
      <c r="D107" s="68" t="inlineStr">
        <is>
          <t>n/a — CLOSED</t>
        </is>
      </c>
      <c r="E107" s="88" t="inlineStr">
        <is>
          <t>YES · ~64 mi ≈
(Pikeville: ~40 mi)</t>
        </is>
      </c>
      <c r="F107" s="143" t="inlineStr">
        <is>
          <t>n/a — closed</t>
        </is>
      </c>
      <c r="G107" s="68" t="inlineStr">
        <is>
          <t>CONFIRM SWINE</t>
        </is>
      </c>
      <c r="H107" s="68" t="inlineStr">
        <is>
          <t>⚠ M2123 went FSIS-INACTIVE
11/10/2025</t>
        </is>
      </c>
      <c r="I107" s="68" t="inlineStr">
        <is>
          <t>None found in the FSIS QERs through Q3 FY2026 (narrow negative — routine NRs are not published)</t>
        </is>
      </c>
      <c r="J107" s="68" t="inlineStr">
        <is>
          <t>Federal grant — export structurally possible. Not on public export lists</t>
        </is>
      </c>
      <c r="K107" s="68" t="inlineStr">
        <is>
          <t>None found in the FSIS QERs through Q3 FY2026 (narrow negative — routine NRs are not published)</t>
        </is>
      </c>
      <c r="L107" s="68" t="inlineStr">
        <is>
          <t>unknown</t>
        </is>
      </c>
      <c r="M107" s="68" t="inlineStr">
        <is>
          <t>No</t>
        </is>
      </c>
      <c r="N107" s="68" t="inlineStr">
        <is>
          <t>No</t>
        </is>
      </c>
      <c r="O107" s="68" t="inlineStr">
        <is>
          <t>(919) 284-0064</t>
        </is>
      </c>
      <c r="P107" s="141" t="inlineStr">
        <is>
          <t>OUT / FLAG</t>
        </is>
      </c>
      <c r="Q107" s="178" t="inlineStr">
        <is>
          <t>Not a candidate — closed / no inspected operation (see notes).</t>
        </is>
      </c>
      <c r="R107" s="179" t="inlineStr">
        <is>
          <t>—</t>
        </is>
      </c>
      <c r="S107" s="68" t="inlineStr">
        <is>
          <t>High
(FSIS+NCDA 8-17)</t>
        </is>
      </c>
      <c r="T107"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c r="U107" s="212" t="inlineStr">
        <is>
          <t>F-08</t>
        </is>
      </c>
      <c r="V107" s="210" t="inlineStr">
        <is>
          <t>—</t>
        </is>
      </c>
    </row>
    <row r="108" ht="72" customHeight="1" s="59">
      <c r="A108" s="138" t="inlineStr">
        <is>
          <t>Coletown</t>
        </is>
      </c>
      <c r="B108" s="68" t="inlineStr">
        <is>
          <t>Lexington, NC (Davidson Co.)</t>
        </is>
      </c>
      <c r="C108" s="68" t="inlineStr">
        <is>
          <t>custom-exempt (no continuous inspection)</t>
        </is>
      </c>
      <c r="D108" s="68" t="inlineStr">
        <is>
          <t>n/a</t>
        </is>
      </c>
      <c r="E108" s="88" t="inlineStr">
        <is>
          <t>YES · ~90 mi
(Pikeville: n/m)</t>
        </is>
      </c>
      <c r="F108" s="143" t="inlineStr">
        <is>
          <t>n/a</t>
        </is>
      </c>
      <c r="G108" s="68" t="inlineStr">
        <is>
          <t>swine listed (NCDA species C)</t>
        </is>
      </c>
      <c r="H108" s="68" t="inlineStr">
        <is>
          <t>CUSTOM-EXEMPT (NCDA&amp;CS directory 2026-09-18)</t>
        </is>
      </c>
      <c r="I108" s="25" t="inlineStr">
        <is>
          <t>n/a</t>
        </is>
      </c>
      <c r="J108" s="68" t="inlineStr">
        <is>
          <t>NONE — custom-exempt product cannot be sold; no EU path</t>
        </is>
      </c>
      <c r="K108" s="68" t="inlineStr">
        <is>
          <t>n/a</t>
        </is>
      </c>
      <c r="L108" s="68" t="inlineStr">
        <is>
          <t>n/a</t>
        </is>
      </c>
      <c r="M108" s="68" t="inlineStr">
        <is>
          <t>NO</t>
        </is>
      </c>
      <c r="N108" s="68" t="inlineStr">
        <is>
          <t>NO</t>
        </is>
      </c>
      <c r="O108" s="68" t="inlineStr">
        <is>
          <t>336-596-0826 · 4611 NC Highway 47, Lexington, NC 27292</t>
        </is>
      </c>
      <c r="P108" s="141" t="inlineStr">
        <is>
          <t>OUT / FLAG</t>
        </is>
      </c>
      <c r="Q108" s="178" t="inlineStr">
        <is>
          <t>Custom-exempt = fails hard gate G1 (no ante-/post-mortem inspection, no resale). Listed only because Beebop's plan carries it (rank #22) — do not call for supply. Custom-only; deer-season workload; pork listed alongside game.</t>
        </is>
      </c>
      <c r="R108" s="179" t="inlineStr">
        <is>
          <t>n/a</t>
        </is>
      </c>
      <c r="S108" s="68" t="inlineStr">
        <is>
          <t>High (NCDA 9-18)</t>
        </is>
      </c>
      <c r="T108" s="68" t="inlineStr">
        <is>
          <t>Added 2026-09-28 for the record; 10 more custom-exempt swine plants from the 9-18 directory are listed on Sources &amp; Confidence, not here.</t>
        </is>
      </c>
      <c r="U108" s="212" t="inlineStr">
        <is>
          <t>F-09</t>
        </is>
      </c>
      <c r="V108" s="210" t="inlineStr">
        <is>
          <t>—</t>
        </is>
      </c>
    </row>
    <row r="109" ht="72" customHeight="1" s="59">
      <c r="A109" s="4" t="inlineStr">
        <is>
          <t>Country Slaughter and Meats</t>
        </is>
      </c>
      <c r="B109" s="68" t="inlineStr">
        <is>
          <t>Rockingham, NC (Richmond)</t>
        </is>
      </c>
      <c r="C109" s="68" t="inlineStr">
        <is>
          <t>USDA federal, FSIS 'Very Small'</t>
        </is>
      </c>
      <c r="D109" s="68" t="inlineStr">
        <is>
          <t>n/a — CLOSED</t>
        </is>
      </c>
      <c r="E109" s="88" t="inlineStr">
        <is>
          <t>YES · ~66 mi ≈
(Pikeville: ~137 mi)</t>
        </is>
      </c>
      <c r="F109" s="143" t="inlineStr">
        <is>
          <t>n/a — closed</t>
        </is>
      </c>
      <c r="G109" s="68" t="inlineStr">
        <is>
          <t>CONFIRM SWINE</t>
        </is>
      </c>
      <c r="H109" s="68" t="inlineStr">
        <is>
          <t>⚠ M32012 went FSIS-INACTIVE
6/24/2025</t>
        </is>
      </c>
      <c r="I109" s="68" t="inlineStr">
        <is>
          <t>None found in the FSIS QERs through Q3 FY2026 (narrow negative — routine NRs are not published)</t>
        </is>
      </c>
      <c r="J109" s="68" t="inlineStr">
        <is>
          <t>Federal grant. Not on public export lists</t>
        </is>
      </c>
      <c r="K109" s="68" t="inlineStr">
        <is>
          <t>None found in the FSIS QERs through Q3 FY2026 (narrow negative — routine NRs are not published)</t>
        </is>
      </c>
      <c r="L109" s="68" t="inlineStr">
        <is>
          <t>unknown</t>
        </is>
      </c>
      <c r="M109" s="68" t="inlineStr">
        <is>
          <t>No</t>
        </is>
      </c>
      <c r="N109" s="68" t="inlineStr">
        <is>
          <t>No</t>
        </is>
      </c>
      <c r="O109" s="68" t="inlineStr">
        <is>
          <t>(910) 895-0838</t>
        </is>
      </c>
      <c r="P109" s="141" t="inlineStr">
        <is>
          <t>OUT / FLAG</t>
        </is>
      </c>
      <c r="Q109" s="178" t="inlineStr">
        <is>
          <t>Not a candidate — closed / no inspected operation (see notes).</t>
        </is>
      </c>
      <c r="R109" s="179" t="inlineStr">
        <is>
          <t>—</t>
        </is>
      </c>
      <c r="S109" s="68" t="inlineStr">
        <is>
          <t>High
(FSIS+NCDA 8-17)</t>
        </is>
      </c>
      <c r="T109"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c r="U109" s="212" t="inlineStr">
        <is>
          <t>F-10</t>
        </is>
      </c>
      <c r="V109" s="210" t="inlineStr">
        <is>
          <t>—</t>
        </is>
      </c>
    </row>
    <row r="110" ht="45.2" customHeight="1" s="59">
      <c r="A110" s="4" t="inlineStr">
        <is>
          <t>Deer Shack Processing</t>
        </is>
      </c>
      <c r="B110" s="68" t="inlineStr">
        <is>
          <t>Mount Holly, NC (Gaston)</t>
        </is>
      </c>
      <c r="C110" s="68" t="inlineStr">
        <is>
          <t>CUSTOM-EXEMPT</t>
        </is>
      </c>
      <c r="D110" s="68" t="inlineStr">
        <is>
          <t>unknown</t>
        </is>
      </c>
      <c r="E110" s="110" t="inlineStr">
        <is>
          <t>NO · ~148 mi ≈
(Pikeville: ~223 mi)</t>
        </is>
      </c>
      <c r="F110" s="143" t="inlineStr">
        <is>
          <t>n/a — custom-exempt</t>
        </is>
      </c>
      <c r="G110" s="68" t="inlineStr">
        <is>
          <t>Yes — SWINE-ONLY</t>
        </is>
      </c>
      <c r="H110" s="68" t="inlineStr">
        <is>
          <t>CUSTOM-EXEMPT
(no inspection, no sale)</t>
        </is>
      </c>
      <c r="I110" s="68" t="inlineStr">
        <is>
          <t>Custom-exempt — outside FSIS enforcement</t>
        </is>
      </c>
      <c r="J110" s="68" t="inlineStr">
        <is>
          <t>Custom-exempt — not saleable, not exportable</t>
        </is>
      </c>
      <c r="K110" s="68" t="inlineStr">
        <is>
          <t>n/a</t>
        </is>
      </c>
      <c r="L110" s="68" t="inlineStr">
        <is>
          <t>n/a</t>
        </is>
      </c>
      <c r="M110" s="68" t="inlineStr">
        <is>
          <t>Not usable for a regulated chain</t>
        </is>
      </c>
      <c r="N110" s="68" t="inlineStr">
        <is>
          <t>No</t>
        </is>
      </c>
      <c r="O110" s="68" t="inlineStr">
        <is>
          <t>(704) 718-9135</t>
        </is>
      </c>
      <c r="P110" s="28" t="inlineStr">
        <is>
          <t>OUT / FLAG</t>
        </is>
      </c>
      <c r="Q110" s="178" t="inlineStr">
        <is>
          <t>Not a candidate — fails a hard gate or adds nothing vs the base (see notes).</t>
        </is>
      </c>
      <c r="R110" s="179" t="inlineStr">
        <is>
          <t>—</t>
        </is>
      </c>
      <c r="S110" s="68" t="inlineStr">
        <is>
          <t>Med
(study 8-03/05)</t>
        </is>
      </c>
      <c r="T110" s="68" t="inlineStr">
        <is>
          <t>Custom-exempt: owner-return only, product cannot be sold. Listed for completeness.</t>
        </is>
      </c>
      <c r="U110" s="212" t="inlineStr">
        <is>
          <t>F-11</t>
        </is>
      </c>
      <c r="V110" s="210" t="inlineStr">
        <is>
          <t>—</t>
        </is>
      </c>
    </row>
    <row r="111" ht="85.40000000000001" customHeight="1" s="59">
      <c r="A111" s="4" t="inlineStr">
        <is>
          <t>Gunnoe Sausage Co.</t>
        </is>
      </c>
      <c r="B111" s="68" t="inlineStr">
        <is>
          <t>Goode, VA (Bedford)</t>
        </is>
      </c>
      <c r="C111" s="68" t="inlineStr">
        <is>
          <t>Dedicated SOW slaughterhouse since 1965</t>
        </is>
      </c>
      <c r="D111" s="68" t="inlineStr">
        <is>
          <t>~450/wk (110 hd/day 2016 → 90/day 2017, DECLINING)</t>
        </is>
      </c>
      <c r="E111" s="110" t="inlineStr">
        <is>
          <t>NO · ~130 mi ≈ (borderline)</t>
        </is>
      </c>
      <c r="F111" s="143" t="inlineStr">
        <is>
          <t>confirm</t>
        </is>
      </c>
      <c r="G111" s="68" t="inlineStr">
        <is>
          <t>Yes — SOWS</t>
        </is>
      </c>
      <c r="H111" s="68" t="inlineStr">
        <is>
          <t>unknown — est. no. NOT captured</t>
        </is>
      </c>
      <c r="I111" s="68" t="inlineStr">
        <is>
          <t>None found in the FSIS QERs through Q3 FY2026 (narrow negative — routine NRs are not published)</t>
        </is>
      </c>
      <c r="J111" s="68" t="inlineStr">
        <is>
          <t>Establishment number not captured — inspection + export status UNKNOWN</t>
        </is>
      </c>
      <c r="K111" s="68" t="inlineStr">
        <is>
          <t>None found</t>
        </is>
      </c>
      <c r="L111" s="68" t="inlineStr">
        <is>
          <t>unknown</t>
        </is>
      </c>
      <c r="M111" s="68" t="inlineStr">
        <is>
          <t>Plausible (small family op)</t>
        </is>
      </c>
      <c r="N111" s="68" t="inlineStr">
        <is>
          <t>Plausible</t>
        </is>
      </c>
      <c r="O111" s="68" t="inlineStr">
        <is>
          <t>(540) 586-1091
3989 Cifax Rd · gunnoesausage.com</t>
        </is>
      </c>
      <c r="P111" s="141" t="inlineStr">
        <is>
          <t>OUT / FLAG</t>
        </is>
      </c>
      <c r="Q111" s="178" t="inlineStr">
        <is>
          <t>Not a candidate — fails a hard gate or adds nothing vs the base (see notes).</t>
        </is>
      </c>
      <c r="R111" s="179" t="inlineStr">
        <is>
          <t>—</t>
        </is>
      </c>
      <c r="S111" s="68" t="inlineStr">
        <is>
          <t>High
(FSIS+MPI 8-06)</t>
        </is>
      </c>
      <c r="T111"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c r="U111" s="212" t="inlineStr">
        <is>
          <t>F-12</t>
        </is>
      </c>
      <c r="V111" s="210" t="inlineStr">
        <is>
          <t>—</t>
        </is>
      </c>
    </row>
    <row r="112" ht="85.40000000000001" customHeight="1" s="59">
      <c r="A112" s="4" t="inlineStr">
        <is>
          <t>Gunnoe Sausage Co. — REFUTED</t>
        </is>
      </c>
      <c r="B112" s="68" t="inlineStr">
        <is>
          <t>Goode, VA</t>
        </is>
      </c>
      <c r="C112" s="68" t="inlineStr">
        <is>
          <t>NO ACTIVE FSIS ESTABLISHMENT</t>
        </is>
      </c>
      <c r="D112" s="68" t="inlineStr">
        <is>
          <t>n/a</t>
        </is>
      </c>
      <c r="E112" s="110" t="inlineStr">
        <is>
          <t>NO · ~130 mi ≈ (borderline)</t>
        </is>
      </c>
      <c r="F112" s="143" t="inlineStr">
        <is>
          <t>confirm</t>
        </is>
      </c>
      <c r="G112" s="68" t="inlineStr">
        <is>
          <t>n/a</t>
        </is>
      </c>
      <c r="H112" s="68" t="inlineStr">
        <is>
          <t>No active FSIS establishment found</t>
        </is>
      </c>
      <c r="I112" s="68" t="inlineStr">
        <is>
          <t>See the Welfare &amp; culture column — enforcement detail is carried there for these rows</t>
        </is>
      </c>
      <c r="J112" s="68" t="inlineStr">
        <is>
          <t>Not verified — APHIS publishes no searchable list; confirm with APHIS VS</t>
        </is>
      </c>
      <c r="K112" s="68" t="inlineStr">
        <is>
          <t>n/a</t>
        </is>
      </c>
      <c r="L112" s="68" t="inlineStr">
        <is>
          <t>n/a</t>
        </is>
      </c>
      <c r="M112" s="68" t="inlineStr">
        <is>
          <t>No</t>
        </is>
      </c>
      <c r="N112" s="68" t="inlineStr">
        <is>
          <t>No</t>
        </is>
      </c>
      <c r="O112" s="68" t="inlineStr">
        <is>
          <t>—</t>
        </is>
      </c>
      <c r="P112" s="28" t="inlineStr">
        <is>
          <t>OUT / FLAG</t>
        </is>
      </c>
      <c r="Q112" s="178" t="inlineStr">
        <is>
          <t>Not a candidate — fails a hard gate or adds nothing vs the base (see notes).</t>
        </is>
      </c>
      <c r="R112" s="179" t="inlineStr">
        <is>
          <t>—</t>
        </is>
      </c>
      <c r="S112" s="68" t="inlineStr">
        <is>
          <t>Med-High
(study 8-03/05)</t>
        </is>
      </c>
      <c r="T112"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c r="U112" s="212" t="inlineStr">
        <is>
          <t>F-13</t>
        </is>
      </c>
      <c r="V112" s="210" t="inlineStr">
        <is>
          <t>—</t>
        </is>
      </c>
    </row>
    <row r="113" ht="85.40000000000001" customHeight="1" s="59">
      <c r="A113" s="138" t="inlineStr">
        <is>
          <t>Homestead Custom Meat Processing (mobile)</t>
        </is>
      </c>
      <c r="B113" s="68" t="inlineStr">
        <is>
          <t>Archdale, NC (Randolph Co. — MOBILE service, no fixed plant)</t>
        </is>
      </c>
      <c r="C113" s="68" t="inlineStr">
        <is>
          <t>custom-exempt (no continuous inspection)</t>
        </is>
      </c>
      <c r="D113" s="68" t="inlineStr">
        <is>
          <t>n/a</t>
        </is>
      </c>
      <c r="E113" s="88" t="inlineStr">
        <is>
          <t>YES · ~70 mi
(Pikeville: n/m)</t>
        </is>
      </c>
      <c r="F113" s="143" t="inlineStr">
        <is>
          <t>n/a</t>
        </is>
      </c>
      <c r="G113" s="68" t="inlineStr">
        <is>
          <t>swine listed (NCDA species C)</t>
        </is>
      </c>
      <c r="H113" s="68" t="inlineStr">
        <is>
          <t>CUSTOM / mobile — not a listed plant</t>
        </is>
      </c>
      <c r="I113" s="25" t="inlineStr">
        <is>
          <t>n/a</t>
        </is>
      </c>
      <c r="J113" s="68" t="inlineStr">
        <is>
          <t>NONE — custom-exempt product cannot be sold; no EU path</t>
        </is>
      </c>
      <c r="K113" s="68" t="inlineStr">
        <is>
          <t>n/a</t>
        </is>
      </c>
      <c r="L113" s="68" t="inlineStr">
        <is>
          <t>n/a</t>
        </is>
      </c>
      <c r="M113" s="68" t="inlineStr">
        <is>
          <t>NO</t>
        </is>
      </c>
      <c r="N113" s="68" t="inlineStr">
        <is>
          <t>NO</t>
        </is>
      </c>
      <c r="O113" s="68" t="inlineStr">
        <is>
          <t>336-689-6232 · 6192 Muddy Creek Road, Archdale, NC 27263</t>
        </is>
      </c>
      <c r="P113" s="141" t="inlineStr">
        <is>
          <t>OUT / FLAG</t>
        </is>
      </c>
      <c r="Q113" s="178" t="inlineStr">
        <is>
          <t>Custom-exempt = fails hard gate G1 (no ante-/post-mortem inspection, no resale). Listed only because Beebop's plan carries it (rank #23) — do not call for supply. Mobile on-farm service (Facebook); a 440 lb customer pig documented; no fixed site, no inspection.</t>
        </is>
      </c>
      <c r="R113" s="179" t="inlineStr">
        <is>
          <t>n/a</t>
        </is>
      </c>
      <c r="S113" s="68" t="inlineStr">
        <is>
          <t>High (NCDA 9-18)</t>
        </is>
      </c>
      <c r="T113" s="68" t="inlineStr">
        <is>
          <t>Added 2026-09-28 for the record; 10 more custom-exempt swine plants from the 9-18 directory are listed on Sources &amp; Confidence, not here.</t>
        </is>
      </c>
      <c r="U113" s="212" t="inlineStr">
        <is>
          <t>F-14</t>
        </is>
      </c>
      <c r="V113" s="210" t="inlineStr">
        <is>
          <t>—</t>
        </is>
      </c>
    </row>
    <row r="114" ht="206" customHeight="1" s="59">
      <c r="A114" s="138" t="inlineStr">
        <is>
          <t>Kansas City Sausage / Coastal Protein — RESOLVED NEGATIVE (CLOSED)</t>
        </is>
      </c>
      <c r="B114" s="68" t="inlineStr">
        <is>
          <t>Godwin, NC</t>
        </is>
      </c>
      <c r="C114" s="68" t="inlineStr">
        <is>
          <t>NO ACTIVE OR INACTIVE FSIS ESTABLISHMENT AT THE SITE</t>
        </is>
      </c>
      <c r="D114" s="68" t="inlineStr">
        <is>
          <t>n/a — dead as an inspected source</t>
        </is>
      </c>
      <c r="E114" s="88" t="inlineStr">
        <is>
          <t>YES · ~73 mi ≈
(Pikeville: ~45 mi)</t>
        </is>
      </c>
      <c r="F114" s="143" t="inlineStr">
        <is>
          <t>n/a — dead</t>
        </is>
      </c>
      <c r="G114" s="68" t="inlineStr">
        <is>
          <t>n/a</t>
        </is>
      </c>
      <c r="H114"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14" s="68" t="inlineStr">
        <is>
          <t>See the Welfare &amp; culture column — enforcement detail is carried there for these rows</t>
        </is>
      </c>
      <c r="J114" s="68" t="inlineStr">
        <is>
          <t>Not verified — APHIS publishes no searchable list; confirm with APHIS VS</t>
        </is>
      </c>
      <c r="K114" s="68" t="inlineStr">
        <is>
          <t>n/a</t>
        </is>
      </c>
      <c r="L114" s="68" t="inlineStr">
        <is>
          <t>n/a</t>
        </is>
      </c>
      <c r="M114" s="68" t="inlineStr">
        <is>
          <t>No</t>
        </is>
      </c>
      <c r="N114" s="68" t="inlineStr">
        <is>
          <t>No</t>
        </is>
      </c>
      <c r="O114" s="68" t="inlineStr">
        <is>
          <t>—</t>
        </is>
      </c>
      <c r="P114" s="141" t="inlineStr">
        <is>
          <t>OUT / FLAG</t>
        </is>
      </c>
      <c r="Q114" s="178" t="inlineStr">
        <is>
          <t>Not a candidate — closed / no inspected operation (see notes).</t>
        </is>
      </c>
      <c r="R114" s="179" t="inlineStr">
        <is>
          <t>—</t>
        </is>
      </c>
      <c r="S114" s="68" t="inlineStr">
        <is>
          <t>High
(FSIS+NCDA 8-17)</t>
        </is>
      </c>
      <c r="T114"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c r="U114" s="212" t="inlineStr">
        <is>
          <t>F-15</t>
        </is>
      </c>
      <c r="V114" s="210" t="inlineStr">
        <is>
          <t>—</t>
        </is>
      </c>
    </row>
    <row r="115" ht="72" customHeight="1" s="59">
      <c r="A115" s="138" t="inlineStr">
        <is>
          <t>Miller Meat Processing</t>
        </is>
      </c>
      <c r="B115" s="68" t="inlineStr">
        <is>
          <t>Seaboard, NC (Northampton Co.)</t>
        </is>
      </c>
      <c r="C115" s="68" t="inlineStr">
        <is>
          <t>custom-exempt (no continuous inspection)</t>
        </is>
      </c>
      <c r="D115" s="68" t="inlineStr">
        <is>
          <t>n/a</t>
        </is>
      </c>
      <c r="E115" s="88" t="inlineStr">
        <is>
          <t>YES · ~103 mi
(Pikeville: n/m)</t>
        </is>
      </c>
      <c r="F115" s="143" t="inlineStr">
        <is>
          <t>n/a</t>
        </is>
      </c>
      <c r="G115" s="68" t="inlineStr">
        <is>
          <t>swine listed (NCDA species C)</t>
        </is>
      </c>
      <c r="H115" s="68" t="inlineStr">
        <is>
          <t>CUSTOM-EXEMPT (NCDA&amp;CS directory 2026-09-18)</t>
        </is>
      </c>
      <c r="I115" s="25" t="inlineStr">
        <is>
          <t>n/a</t>
        </is>
      </c>
      <c r="J115" s="68" t="inlineStr">
        <is>
          <t>NONE — custom-exempt product cannot be sold; no EU path</t>
        </is>
      </c>
      <c r="K115" s="68" t="inlineStr">
        <is>
          <t>n/a</t>
        </is>
      </c>
      <c r="L115" s="68" t="inlineStr">
        <is>
          <t>n/a</t>
        </is>
      </c>
      <c r="M115" s="68" t="inlineStr">
        <is>
          <t>NO</t>
        </is>
      </c>
      <c r="N115" s="68" t="inlineStr">
        <is>
          <t>NO</t>
        </is>
      </c>
      <c r="O115" s="68" t="inlineStr">
        <is>
          <t>252-589-0004 · 2381 Big Johns Store Road, Seaboard, NC 27876</t>
        </is>
      </c>
      <c r="P115" s="141" t="inlineStr">
        <is>
          <t>OUT / FLAG</t>
        </is>
      </c>
      <c r="Q115" s="178" t="inlineStr">
        <is>
          <t>Custom-exempt = fails hard gate G1 (no ante-/post-mortem inspection, no resale). Listed only because Beebop's plan carries it (rank #24) — do not call for supply. Custom-only; game-processing listing.</t>
        </is>
      </c>
      <c r="R115" s="179" t="inlineStr">
        <is>
          <t>n/a</t>
        </is>
      </c>
      <c r="S115" s="68" t="inlineStr">
        <is>
          <t>High (NCDA 9-18)</t>
        </is>
      </c>
      <c r="T115" s="68" t="inlineStr">
        <is>
          <t>Added 2026-09-28 for the record; 10 more custom-exempt swine plants from the 9-18 directory are listed on Sources &amp; Confidence, not here.</t>
        </is>
      </c>
      <c r="U115" s="212" t="inlineStr">
        <is>
          <t>F-16</t>
        </is>
      </c>
      <c r="V115" s="210" t="inlineStr">
        <is>
          <t>—</t>
        </is>
      </c>
    </row>
    <row r="116" ht="72" customHeight="1" s="59">
      <c r="A116" s="138" t="inlineStr">
        <is>
          <t>Neese Country Sausage, Inc. — Burlington (M8341)</t>
        </is>
      </c>
      <c r="B116" s="68" t="inlineStr">
        <is>
          <t>Burlington, NC (Alamance Co.)</t>
        </is>
      </c>
      <c r="C116" s="68" t="inlineStr">
        <is>
          <t>exited slaughter — FSIS INACTIVE</t>
        </is>
      </c>
      <c r="D116" s="68" t="inlineStr">
        <is>
          <t>n/a</t>
        </is>
      </c>
      <c r="E116" s="88" t="inlineStr">
        <is>
          <t>YES · ~33 mi
(Pikeville: n/m)</t>
        </is>
      </c>
      <c r="F116" s="143" t="inlineStr">
        <is>
          <t>n/a</t>
        </is>
      </c>
      <c r="G116" s="68" t="inlineStr">
        <is>
          <t>sow kill (historic; cat 1)</t>
        </is>
      </c>
      <c r="H116" s="68" t="inlineStr">
        <is>
          <t>⚠ INACTIVE — M8341 (Burlington) and M8341A (Greensboro) inactive effective 2026-07-02 (FSIS Inactive Directory)</t>
        </is>
      </c>
      <c r="I116" s="25" t="inlineStr">
        <is>
          <t>n/a</t>
        </is>
      </c>
      <c r="J116" s="68" t="inlineStr">
        <is>
          <t>n/a</t>
        </is>
      </c>
      <c r="K116" s="68" t="inlineStr">
        <is>
          <t>n/a</t>
        </is>
      </c>
      <c r="L116" s="68" t="inlineStr">
        <is>
          <t>n/a</t>
        </is>
      </c>
      <c r="M116" s="68" t="inlineStr">
        <is>
          <t>NO</t>
        </is>
      </c>
      <c r="N116" s="68" t="inlineStr">
        <is>
          <t>NO</t>
        </is>
      </c>
      <c r="O116" s="68" t="inlineStr">
        <is>
          <t>336-227-0211 (historic)</t>
        </is>
      </c>
      <c r="P116" s="141" t="inlineStr">
        <is>
          <t>OUT / FLAG</t>
        </is>
      </c>
      <c r="Q116" s="178" t="inlineStr">
        <is>
          <t>Beebop's #20 rests on a stale federal listing: both Neese grants went inactive on 2026-07-02. Dead lead — recorded so nobody re-researches it.</t>
        </is>
      </c>
      <c r="R116" s="179" t="inlineStr">
        <is>
          <t>neesesausage.com (brand site)</t>
        </is>
      </c>
      <c r="S116" s="68" t="inlineStr">
        <is>
          <t>High (FSIS inactive directory 9-03)</t>
        </is>
      </c>
      <c r="T116"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c r="U116" s="212" t="inlineStr">
        <is>
          <t>F-17</t>
        </is>
      </c>
      <c r="V116" s="210" t="inlineStr">
        <is>
          <t>—</t>
        </is>
      </c>
    </row>
    <row r="117" ht="72" customHeight="1" s="59">
      <c r="A117" s="4" t="inlineStr">
        <is>
          <t>Palmetto Fresh Meats</t>
        </is>
      </c>
      <c r="B117" s="68" t="inlineStr">
        <is>
          <t>Aynor, SC</t>
        </is>
      </c>
      <c r="C117" s="68" t="inlineStr">
        <is>
          <t>USDA slaughter (Est. M47715) — SUSPENDED</t>
        </is>
      </c>
      <c r="D117" s="68" t="inlineStr">
        <is>
          <t>&lt;19/wk
(FSIS cat 1)</t>
        </is>
      </c>
      <c r="E117" s="110" t="inlineStr">
        <is>
          <t>NO · ~184 mi ≈</t>
        </is>
      </c>
      <c r="F117" s="139" t="inlineStr">
        <is>
          <t>0-300/wk (&lt;19)</t>
        </is>
      </c>
      <c r="G117" s="68" t="inlineStr">
        <is>
          <t>MARKET + SOW + ROASTER + boar/stag
(all four classes)</t>
        </is>
      </c>
      <c r="H117" s="68" t="inlineStr">
        <is>
          <t>USDA ✓ but
SUSPENDED 2022</t>
        </is>
      </c>
      <c r="I117" s="25" t="inlineStr">
        <is>
          <t>⚠ Humane-handling NOS Feb &amp; Mar 2022 (Est. M47715); PETA sought criminal probe. Also the slaughter suspension.</t>
        </is>
      </c>
      <c r="J117" s="68" t="inlineStr">
        <is>
          <t>Not on public export lists — verify (slaughter susp. 2022)</t>
        </is>
      </c>
      <c r="K117" s="68" t="inlineStr">
        <is>
          <t>unknown</t>
        </is>
      </c>
      <c r="L117" s="68" t="inlineStr">
        <is>
          <t>Not noted</t>
        </is>
      </c>
      <c r="M117" s="68" t="inlineStr">
        <is>
          <t>Unknown</t>
        </is>
      </c>
      <c r="N117" s="68" t="inlineStr">
        <is>
          <t>Unknown</t>
        </is>
      </c>
      <c r="O117" s="68" t="inlineStr">
        <is>
          <t>—</t>
        </is>
      </c>
      <c r="P117" s="28" t="inlineStr">
        <is>
          <t>OUT / FLAG</t>
        </is>
      </c>
      <c r="Q117" s="178" t="inlineStr">
        <is>
          <t>Not a candidate — fails a hard gate or adds nothing vs the base (see notes).</t>
        </is>
      </c>
      <c r="R117" s="179" t="inlineStr">
        <is>
          <t>—</t>
        </is>
      </c>
      <c r="S117" s="68" t="inlineStr">
        <is>
          <t>High
(FSIS+MPI 8-06)</t>
        </is>
      </c>
      <c r="T117"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c r="U117" s="212" t="inlineStr">
        <is>
          <t>F-18</t>
        </is>
      </c>
      <c r="V117" s="210" t="inlineStr">
        <is>
          <t>—</t>
        </is>
      </c>
    </row>
    <row r="118" ht="72" customHeight="1" s="59">
      <c r="A118" s="4" t="inlineStr">
        <is>
          <t>Plants that no longer slaughter — REFUTED</t>
        </is>
      </c>
      <c r="B118" s="68" t="inlineStr">
        <is>
          <t>OR / TX / IL</t>
        </is>
      </c>
      <c r="C118" s="68" t="inlineStr">
        <is>
          <t>exited slaughter or no establishment</t>
        </is>
      </c>
      <c r="D118" s="68" t="inlineStr">
        <is>
          <t>n/a</t>
        </is>
      </c>
      <c r="E118" s="110" t="inlineStr">
        <is>
          <t>NO
(Durham: n/m)</t>
        </is>
      </c>
      <c r="F118" s="143" t="inlineStr">
        <is>
          <t>n/a — closed</t>
        </is>
      </c>
      <c r="G118" s="68" t="inlineStr">
        <is>
          <t>n/a</t>
        </is>
      </c>
      <c r="H118" s="68" t="inlineStr">
        <is>
          <t>n/a</t>
        </is>
      </c>
      <c r="I118" s="68" t="inlineStr">
        <is>
          <t>See the Welfare &amp; culture column — enforcement detail is carried there for these rows</t>
        </is>
      </c>
      <c r="J118" s="68" t="inlineStr">
        <is>
          <t>Not verified — APHIS publishes no searchable list; confirm with APHIS VS</t>
        </is>
      </c>
      <c r="K118" s="68" t="inlineStr">
        <is>
          <t>n/a</t>
        </is>
      </c>
      <c r="L118" s="68" t="inlineStr">
        <is>
          <t>n/a</t>
        </is>
      </c>
      <c r="M118" s="68" t="inlineStr">
        <is>
          <t>No</t>
        </is>
      </c>
      <c r="N118" s="68" t="inlineStr">
        <is>
          <t>No</t>
        </is>
      </c>
      <c r="O118" s="68" t="inlineStr">
        <is>
          <t>—</t>
        </is>
      </c>
      <c r="P118" s="28" t="inlineStr">
        <is>
          <t>OUT / FLAG</t>
        </is>
      </c>
      <c r="Q118" s="178" t="inlineStr">
        <is>
          <t>Not a candidate — fails a hard gate or adds nothing vs the base (see notes).</t>
        </is>
      </c>
      <c r="R118" s="179" t="inlineStr">
        <is>
          <t>—</t>
        </is>
      </c>
      <c r="S118" s="68" t="inlineStr">
        <is>
          <t>High
(study 8-03/05)</t>
        </is>
      </c>
      <c r="T118"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c r="U118" s="212" t="inlineStr">
        <is>
          <t>F-19</t>
        </is>
      </c>
      <c r="V118" s="210" t="inlineStr">
        <is>
          <t>—</t>
        </is>
      </c>
    </row>
    <row r="119" ht="58.6" customHeight="1" s="59">
      <c r="A119" s="4" t="inlineStr">
        <is>
          <t>Randolph Packing / Harpley's</t>
        </is>
      </c>
      <c r="B119" s="68" t="inlineStr">
        <is>
          <t>Asheboro, NC</t>
        </is>
      </c>
      <c r="C119" s="68" t="inlineStr">
        <is>
          <t>BEEF packer — EXCLUDED</t>
        </is>
      </c>
      <c r="D119" s="68" t="inlineStr">
        <is>
          <t>n/a — ~350-400 CATTLE/day
· HACCP Small (10-499 employees)</t>
        </is>
      </c>
      <c r="E119" s="88" t="inlineStr">
        <is>
          <t>YES · ~78 mi ≈</t>
        </is>
      </c>
      <c r="F119" s="143" t="inlineStr">
        <is>
          <t>n/a — beef only</t>
        </is>
      </c>
      <c r="G119" s="68" t="inlineStr">
        <is>
          <t>NO SWINE FLAGS in FSIS
— confirms BEEF ONLY</t>
        </is>
      </c>
      <c r="H119" s="68" t="inlineStr">
        <is>
          <t>USDA ✓ M6590
(Harpley's Meat Packing Inc.)</t>
        </is>
      </c>
      <c r="I119" s="68" t="inlineStr">
        <is>
          <t>n/a — beef plant, excluded</t>
        </is>
      </c>
      <c r="J119" s="68" t="inlineStr">
        <is>
          <t>n/a</t>
        </is>
      </c>
      <c r="K119" s="68" t="inlineStr">
        <is>
          <t>n/a</t>
        </is>
      </c>
      <c r="L119" s="68" t="inlineStr">
        <is>
          <t>n/a</t>
        </is>
      </c>
      <c r="M119" s="68" t="inlineStr">
        <is>
          <t>No</t>
        </is>
      </c>
      <c r="N119" s="68" t="inlineStr">
        <is>
          <t>No</t>
        </is>
      </c>
      <c r="O119" s="68" t="inlineStr">
        <is>
          <t>—</t>
        </is>
      </c>
      <c r="P119" s="28" t="inlineStr">
        <is>
          <t>OUT / FLAG</t>
        </is>
      </c>
      <c r="Q119" s="178" t="inlineStr">
        <is>
          <t>Not a candidate — fails a hard gate or adds nothing vs the base (see notes).</t>
        </is>
      </c>
      <c r="R119" s="179" t="inlineStr">
        <is>
          <t>—</t>
        </is>
      </c>
      <c r="S119" s="68" t="inlineStr">
        <is>
          <t>High
(FSIS+MPI 8-06)</t>
        </is>
      </c>
      <c r="T119"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c r="U119" s="212" t="inlineStr">
        <is>
          <t>F-20</t>
        </is>
      </c>
      <c r="V119" s="210" t="inlineStr">
        <is>
          <t>—</t>
        </is>
      </c>
    </row>
    <row r="120" ht="125.6" customHeight="1" s="59">
      <c r="A120" s="4" t="inlineStr">
        <is>
          <t>Triad Meat Custom Processing</t>
        </is>
      </c>
      <c r="B120" s="68" t="inlineStr">
        <is>
          <t>Madison, NC</t>
        </is>
      </c>
      <c r="C120" s="68" t="inlineStr">
        <is>
          <t>Slaughter</t>
        </is>
      </c>
      <c r="D120" s="68" t="inlineStr">
        <is>
          <t>n/a — no swine
· HACCP Very Small (&lt;10 employees or &lt;$2.5M sales)</t>
        </is>
      </c>
      <c r="E120" s="110" t="inlineStr">
        <is>
          <t>NO · ~248 mi ≈
(Pikeville: ~159 mi)</t>
        </is>
      </c>
      <c r="F120" s="143" t="inlineStr">
        <is>
          <t>n/a — no swine</t>
        </is>
      </c>
      <c r="G120" s="68" t="inlineStr">
        <is>
          <t>NO SWINE FLAGS</t>
        </is>
      </c>
      <c r="H120" s="68" t="inlineStr">
        <is>
          <t>USDA ✓ M46085 + P46085
(FSIS lists Triad Halal Meats LLC)</t>
        </is>
      </c>
      <c r="I120" s="25" t="inlineStr">
        <is>
          <t>⚠ FSIS suspension ~Dec 2025 (Est. M46085; cause unspecified in public snippets)</t>
        </is>
      </c>
      <c r="J120" s="68" t="inlineStr">
        <is>
          <t>Not on public export lists — verify</t>
        </is>
      </c>
      <c r="K120" s="68" t="inlineStr">
        <is>
          <t>AWA (welfare signal)</t>
        </is>
      </c>
      <c r="L120" s="68" t="inlineStr">
        <is>
          <t>Plausible</t>
        </is>
      </c>
      <c r="M120" s="68" t="inlineStr">
        <is>
          <t>No — no swine slaughter</t>
        </is>
      </c>
      <c r="N120" s="68" t="inlineStr">
        <is>
          <t>No</t>
        </is>
      </c>
      <c r="O120" s="68" t="inlineStr">
        <is>
          <t>(336) 949-9696</t>
        </is>
      </c>
      <c r="P120" s="141" t="inlineStr">
        <is>
          <t>OUT / FLAG</t>
        </is>
      </c>
      <c r="Q120" s="178" t="inlineStr">
        <is>
          <t>Not a candidate — fails a hard gate or adds nothing vs the base (see notes).</t>
        </is>
      </c>
      <c r="R120" s="179" t="inlineStr">
        <is>
          <t>—</t>
        </is>
      </c>
      <c r="S120" s="68" t="inlineStr">
        <is>
          <t>Med-High
(FSIS+MPI 8-06)</t>
        </is>
      </c>
      <c r="T120"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
SOCIAL/OTHER 9-30: the (undated) Rockingham county directory still lists this address as 'Stevens Abattoir, Inc' (Darren Stevens) slaughtering hogs and selling outside NC — that is the PREVIOUS identity of the same 281 Sisk Mill Loop plant. The 2026-09-18 state directory shows it as Triad Halal Meats TA-46085 with species A, B, D, E — no swine. Exclusion on species stands; not a new lead.</t>
        </is>
      </c>
      <c r="U120" s="212" t="inlineStr">
        <is>
          <t>F-21</t>
        </is>
      </c>
      <c r="V120" s="210" t="inlineStr">
        <is>
          <t>—</t>
        </is>
      </c>
    </row>
    <row r="121" ht="112.2" customHeight="1" s="59">
      <c r="A121" s="146" t="inlineStr">
        <is>
          <t>Western NC micro federal plants (roll-up)</t>
        </is>
      </c>
      <c r="B121" s="83" t="inlineStr">
        <is>
          <t>Marion / Rutherfordton / Marshville / Yadkinville, NC</t>
        </is>
      </c>
      <c r="C121" s="83" t="inlineStr">
        <is>
          <t>4 small USDA federal plants, all cat 1</t>
        </is>
      </c>
      <c r="D121" s="83" t="inlineStr">
        <is>
          <t>&lt;19/wk each
(FSIS cat 1)</t>
        </is>
      </c>
      <c r="E121" s="88" t="inlineStr">
        <is>
          <t>YES · ~32 mi ≈</t>
        </is>
      </c>
      <c r="F121" s="139" t="inlineStr">
        <is>
          <t>0-300/wk (&lt;19 each)</t>
        </is>
      </c>
      <c r="G121" s="134" t="inlineStr">
        <is>
          <t>Mixed (market; some sow/boar)</t>
        </is>
      </c>
      <c r="H121" s="83" t="inlineStr">
        <is>
          <t>USDA ✓ — Blueridge Processing M2225 (Marion);
Circle S Meats M1916 (Rutherfordton);
Plantation Processing M790 (Marshville);
Cool Springs M1041 (Yadkinville)</t>
        </is>
      </c>
      <c r="I121" s="83" t="inlineStr">
        <is>
          <t>None found</t>
        </is>
      </c>
      <c r="J121" s="83" t="inlineStr">
        <is>
          <t>Federal grants → harvest-path eligible</t>
        </is>
      </c>
      <c r="K121" s="83" t="inlineStr">
        <is>
          <t>None found</t>
        </is>
      </c>
      <c r="L121" s="83" t="inlineStr">
        <is>
          <t>n/a at this volume</t>
        </is>
      </c>
      <c r="M121" s="83" t="inlineStr">
        <is>
          <t>No — too small, too far</t>
        </is>
      </c>
      <c r="N121" s="83" t="inlineStr">
        <is>
          <t>No</t>
        </is>
      </c>
      <c r="O121" s="83" t="inlineStr">
        <is>
          <t>Blueridge (828) 803-1264 · Circle S (828) 429-3047
(FSIS lists a typo'd number) ·
Plantation (704) 385-9429 · Cool Springs (336) 835-5377</t>
        </is>
      </c>
      <c r="P121" s="141" t="inlineStr">
        <is>
          <t>OUT / FLAG</t>
        </is>
      </c>
      <c r="Q121" s="178" t="inlineStr">
        <is>
          <t>Not a candidate — fails a hard gate or adds nothing vs the base (see notes).</t>
        </is>
      </c>
      <c r="R121" s="179" t="inlineStr">
        <is>
          <t>—</t>
        </is>
      </c>
      <c r="S121" s="83" t="inlineStr">
        <is>
          <t>High
(FSIS+NCDA 8-17)</t>
        </is>
      </c>
      <c r="T121"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c r="U121" s="212" t="inlineStr">
        <is>
          <t>F-22</t>
        </is>
      </c>
      <c r="V121" s="210" t="inlineStr">
        <is>
          <t>—</t>
        </is>
      </c>
    </row>
    <row r="122" ht="125.6" customHeight="1" s="59">
      <c r="A122" s="146" t="inlineStr">
        <is>
          <t>⚠ CLOSURES 2025-26 (roll-up) — the small-plant pool is SHRINKING</t>
        </is>
      </c>
      <c r="B122" s="83" t="inlineStr">
        <is>
          <t>across NC</t>
        </is>
      </c>
      <c r="C122" s="83" t="inlineStr">
        <is>
          <t>FSIS-inactive establishments</t>
        </is>
      </c>
      <c r="D122" s="83" t="inlineStr">
        <is>
          <t>n/a</t>
        </is>
      </c>
      <c r="E122" s="88" t="inlineStr">
        <is>
          <t>YES · ~95 mi ≈</t>
        </is>
      </c>
      <c r="F122" s="143" t="inlineStr">
        <is>
          <t>n/a</t>
        </is>
      </c>
      <c r="G122" s="134" t="inlineStr">
        <is>
          <t>n/a</t>
        </is>
      </c>
      <c r="H122" s="83" t="inlineStr">
        <is>
          <t>All confirmed on the FSIS INACTIVE
directory retrieved 2026-08-17</t>
        </is>
      </c>
      <c r="I122" s="83" t="inlineStr">
        <is>
          <t>n/a</t>
        </is>
      </c>
      <c r="J122" s="83" t="inlineStr">
        <is>
          <t>n/a</t>
        </is>
      </c>
      <c r="K122" s="83" t="inlineStr">
        <is>
          <t>n/a</t>
        </is>
      </c>
      <c r="L122" s="83" t="inlineStr">
        <is>
          <t>n/a</t>
        </is>
      </c>
      <c r="M122" s="83" t="inlineStr">
        <is>
          <t>n/a</t>
        </is>
      </c>
      <c r="N122" s="83" t="inlineStr">
        <is>
          <t>n/a</t>
        </is>
      </c>
      <c r="O122" s="83" t="inlineStr">
        <is>
          <t>—</t>
        </is>
      </c>
      <c r="P122" s="141" t="inlineStr">
        <is>
          <t>OUT / FLAG</t>
        </is>
      </c>
      <c r="Q122" s="178" t="inlineStr">
        <is>
          <t>Not a candidate — closed / no inspected operation (see notes).</t>
        </is>
      </c>
      <c r="R122" s="179" t="inlineStr">
        <is>
          <t>—</t>
        </is>
      </c>
      <c r="S122" s="83" t="inlineStr">
        <is>
          <t>High
(FSIS+NCDA 8-17)</t>
        </is>
      </c>
      <c r="T122"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c r="U122" s="212" t="inlineStr">
        <is>
          <t>F-23</t>
        </is>
      </c>
      <c r="V122" s="210" t="inlineStr">
        <is>
          <t>—</t>
        </is>
      </c>
    </row>
    <row r="123" ht="98.8" customHeight="1" s="59">
      <c r="A123" s="4" t="inlineStr">
        <is>
          <t>13 multi-species TA plants (roll-up)</t>
        </is>
      </c>
      <c r="B123" s="68" t="inlineStr">
        <is>
          <t>across NC</t>
        </is>
      </c>
      <c r="C123" s="68" t="inlineStr">
        <is>
          <t>Talmadge-Aiken multi-species (incl. swine)</t>
        </is>
      </c>
      <c r="D123" s="68" t="inlineStr">
        <is>
          <t>unknown — est. 10-80 hogs/wk each</t>
        </is>
      </c>
      <c r="E123" s="88" t="inlineStr">
        <is>
          <t>YES · ~95 mi ≈</t>
        </is>
      </c>
      <c r="F123" s="143" t="inlineStr">
        <is>
          <t>confirm</t>
        </is>
      </c>
      <c r="G123" s="68" t="inlineStr">
        <is>
          <t>Yes (C among A-E)</t>
        </is>
      </c>
      <c r="H123" s="68" t="inlineStr">
        <is>
          <t>USDA ✓ Talmadge-Aiken
(interstate/export eligible)</t>
        </is>
      </c>
      <c r="I123" s="68" t="inlineStr">
        <is>
          <t>Not individually researched — Wayne Mays and Wilkes/Thomas Bros carry actions (see their own rows)</t>
        </is>
      </c>
      <c r="J123" s="68" t="inlineStr">
        <is>
          <t>All Talmadge-Aiken = federal-equivalent, so interstate/export eligible in structure. APHIS listing unverified for all</t>
        </is>
      </c>
      <c r="K123" s="68" t="inlineStr">
        <is>
          <t>None found in the FSIS QERs through Q3 FY2026 (narrow negative — routine NRs are not published)</t>
        </is>
      </c>
      <c r="L123" s="68" t="inlineStr">
        <is>
          <t>unknown</t>
        </is>
      </c>
      <c r="M123" s="68" t="inlineStr">
        <is>
          <t>Plausible (Model A / aggregation)</t>
        </is>
      </c>
      <c r="N123" s="68" t="inlineStr">
        <is>
          <t>Weak — low hog share</t>
        </is>
      </c>
      <c r="O123" s="68" t="inlineStr">
        <is>
          <t>see notes →</t>
        </is>
      </c>
      <c r="P123" s="23" t="inlineStr">
        <is>
          <t>POSSIBLE</t>
        </is>
      </c>
      <c r="Q123" s="178" t="inlineStr">
        <is>
          <t>Context roll-up — not an individual candidate.</t>
        </is>
      </c>
      <c r="R123" s="179" t="inlineStr">
        <is>
          <t>—</t>
        </is>
      </c>
      <c r="S123" s="68" t="inlineStr">
        <is>
          <t>Med
(study 8-03/05)</t>
        </is>
      </c>
      <c r="T12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c r="U123" s="212" t="inlineStr">
        <is>
          <t>F-24</t>
        </is>
      </c>
      <c r="V123" s="210" t="inlineStr">
        <is>
          <t>—</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c r="U124" s="212" t="inlineStr">
        <is>
          <t>F-25</t>
        </is>
      </c>
      <c r="V124" s="210" t="inlineStr">
        <is>
          <t>—</t>
        </is>
      </c>
    </row>
    <row r="125" ht="72" customHeight="1" s="59">
      <c r="A125" s="4" t="inlineStr">
        <is>
          <t>NC state-inspected multi-species (roll-up)</t>
        </is>
      </c>
      <c r="B125" s="68" t="inlineStr">
        <is>
          <t>across NC</t>
        </is>
      </c>
      <c r="C125" s="68" t="inlineStr">
        <is>
          <t>NC STATE-inspected (intrastate only)</t>
        </is>
      </c>
      <c r="D125" s="68" t="inlineStr">
        <is>
          <t>unknown (est. SMALL)</t>
        </is>
      </c>
      <c r="E125" s="88" t="inlineStr">
        <is>
          <t>YES · ~95 mi ≈</t>
        </is>
      </c>
      <c r="F125" s="143" t="inlineStr">
        <is>
          <t>confirm</t>
        </is>
      </c>
      <c r="G125" s="68" t="inlineStr">
        <is>
          <t>Yes</t>
        </is>
      </c>
      <c r="H125" s="68" t="inlineStr">
        <is>
          <t>STATE only
(NOT USDA — FLAG)</t>
        </is>
      </c>
      <c r="I125" s="68" t="inlineStr">
        <is>
          <t>State-inspected — not in FSIS data by construction</t>
        </is>
      </c>
      <c r="J125" s="68" t="inlineStr">
        <is>
          <t>State-inspected — intrastate NC only (FLAG for export)</t>
        </is>
      </c>
      <c r="K125" s="68" t="inlineStr">
        <is>
          <t>Not in FSIS data by construction</t>
        </is>
      </c>
      <c r="L125" s="68" t="inlineStr">
        <is>
          <t>unknown</t>
        </is>
      </c>
      <c r="M125" s="68" t="inlineStr">
        <is>
          <t>Plausible</t>
        </is>
      </c>
      <c r="N125" s="68" t="inlineStr">
        <is>
          <t>Implausible</t>
        </is>
      </c>
      <c r="O125" s="68" t="inlineStr">
        <is>
          <t>see notes →</t>
        </is>
      </c>
      <c r="P125" s="23" t="inlineStr">
        <is>
          <t>CAUTION</t>
        </is>
      </c>
      <c r="Q125" s="178" t="inlineStr">
        <is>
          <t>Context roll-up — not an individual candidate.</t>
        </is>
      </c>
      <c r="R125" s="179" t="inlineStr">
        <is>
          <t>—</t>
        </is>
      </c>
      <c r="S125" s="68" t="inlineStr">
        <is>
          <t>Med
(study 8-03/05)</t>
        </is>
      </c>
      <c r="T125"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c r="U125" s="212" t="inlineStr">
        <is>
          <t>F-26</t>
        </is>
      </c>
      <c r="V125" s="210" t="inlineStr">
        <is>
          <t>—</t>
        </is>
      </c>
    </row>
    <row r="126" ht="45.2" customHeight="1" s="59">
      <c r="A126" s="4" t="inlineStr">
        <is>
          <t>Other large regional (context)</t>
        </is>
      </c>
      <c r="B126" s="68" t="inlineStr">
        <is>
          <t>IA / Midwest</t>
        </is>
      </c>
      <c r="C126" s="68" t="inlineStr">
        <is>
          <t>Very large packers</t>
        </is>
      </c>
      <c r="D126" s="68" t="inlineStr">
        <is>
          <t>&gt;5,000/wk (est.)</t>
        </is>
      </c>
      <c r="E126" s="110" t="inlineStr">
        <is>
          <t>NO
(Durham: n/m)</t>
        </is>
      </c>
      <c r="F126" s="195" t="inlineStr">
        <is>
          <t>5,000+/wk (est.)</t>
        </is>
      </c>
      <c r="G126" s="68" t="inlineStr">
        <is>
          <t>Yes/mixed</t>
        </is>
      </c>
      <c r="H126" s="68" t="inlineStr">
        <is>
          <t>USDA ✓</t>
        </is>
      </c>
      <c r="I126" s="68" t="inlineStr">
        <is>
          <t>Varies by plant — check FSIS Quarterly Enforcement Reports per establishment #</t>
        </is>
      </c>
      <c r="J126" s="68" t="inlineStr">
        <is>
          <t>Varies — check FSIS 'Eligible Establishments by Country' + TRACES</t>
        </is>
      </c>
      <c r="K126" s="68" t="inlineStr">
        <is>
          <t>Industrial</t>
        </is>
      </c>
      <c r="L126" s="68" t="inlineStr">
        <is>
          <t>Not confirmed</t>
        </is>
      </c>
      <c r="M126" s="68" t="inlineStr">
        <is>
          <t>Unlikely</t>
        </is>
      </c>
      <c r="N126" s="68" t="inlineStr">
        <is>
          <t>Unlikely</t>
        </is>
      </c>
      <c r="O126" s="68" t="inlineStr">
        <is>
          <t>—</t>
        </is>
      </c>
      <c r="P126" s="23" t="inlineStr">
        <is>
          <t>CAUTION</t>
        </is>
      </c>
      <c r="Q126" s="178" t="inlineStr">
        <is>
          <t>Back-pool — passes no current tier; see Fit and notes for what a call would need to change.</t>
        </is>
      </c>
      <c r="R126" s="179" t="inlineStr">
        <is>
          <t>—</t>
        </is>
      </c>
      <c r="S126" s="68" t="inlineStr">
        <is>
          <t>Med
(study 8-03/05)</t>
        </is>
      </c>
      <c r="T126" s="68" t="inlineStr">
        <is>
          <t>Tyson Fresh Meats (Columbus Junction, Storm Lake, Waterloo IA); JBS/Cargill pork (Ottumwa/Marshalltown). Tyson Perry IA CLOSED 2024. Iowa Premium/National Beef (Tama) = BEEF — exclude. Biologics programs unverified.</t>
        </is>
      </c>
      <c r="U126" s="212" t="inlineStr">
        <is>
          <t>F-27</t>
        </is>
      </c>
      <c r="V126" s="210" t="inlineStr">
        <is>
          <t>—</t>
        </is>
      </c>
    </row>
    <row r="127" ht="72" customHeight="1" s="59">
      <c r="A127" s="4" t="inlineStr">
        <is>
          <t>Other TN USDA hog shops (roll-up)</t>
        </is>
      </c>
      <c r="B127" s="68" t="inlineStr">
        <is>
          <t>various, TN</t>
        </is>
      </c>
      <c r="C127" s="68" t="inlineStr">
        <is>
          <t>USDA small custom slaughter</t>
        </is>
      </c>
      <c r="D127" s="68" t="inlineStr">
        <is>
          <t>unknown (tens–low 100s/wk est.)</t>
        </is>
      </c>
      <c r="E127" s="110" t="inlineStr">
        <is>
          <t>NO · ~2846 mi ≈</t>
        </is>
      </c>
      <c r="F127" s="139" t="inlineStr">
        <is>
          <t>0-300/wk (est.)</t>
        </is>
      </c>
      <c r="G127" s="68" t="inlineStr">
        <is>
          <t>Yes</t>
        </is>
      </c>
      <c r="H127" s="68" t="inlineStr">
        <is>
          <t>USDA ✓</t>
        </is>
      </c>
      <c r="I127" s="25" t="inlineStr">
        <is>
          <t>⚠ Harris Country Meats (Greeneville, M20686): humane NOS 2024. Volunteer/412 (Lexington, M6561): humane NOS Nov 2024. Others: none found.</t>
        </is>
      </c>
      <c r="J127" s="68" t="inlineStr">
        <is>
          <t>Not on public export lists — verify each w/ APHIS VS</t>
        </is>
      </c>
      <c r="K127" s="68" t="inlineStr">
        <is>
          <t>Small family shops</t>
        </is>
      </c>
      <c r="L127" s="68" t="inlineStr">
        <is>
          <t>Not noted</t>
        </is>
      </c>
      <c r="M127" s="68" t="inlineStr">
        <is>
          <t>Possible</t>
        </is>
      </c>
      <c r="N127" s="68" t="inlineStr">
        <is>
          <t>B</t>
        </is>
      </c>
      <c r="O127" s="68" t="inlineStr">
        <is>
          <t>see notes →</t>
        </is>
      </c>
      <c r="P127" s="23" t="inlineStr">
        <is>
          <t>POSSIBLE</t>
        </is>
      </c>
      <c r="Q127" s="178" t="inlineStr">
        <is>
          <t>Context roll-up — not an individual candidate.</t>
        </is>
      </c>
      <c r="R127" s="179" t="inlineStr">
        <is>
          <t>—</t>
        </is>
      </c>
      <c r="S127" s="68" t="inlineStr">
        <is>
          <t>Low-Med
(study 8-03/05)</t>
        </is>
      </c>
      <c r="T12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c r="U127" s="212" t="inlineStr">
        <is>
          <t>F-28</t>
        </is>
      </c>
      <c r="V127" s="210" t="inlineStr">
        <is>
          <t>—</t>
        </is>
      </c>
    </row>
    <row r="128" ht="85.40000000000001" customHeight="1" s="59">
      <c r="A128" s="4" t="inlineStr">
        <is>
          <t>Other VA USDA slaughter (roll-up)</t>
        </is>
      </c>
      <c r="B128" s="68" t="inlineStr">
        <is>
          <t>various, VA</t>
        </is>
      </c>
      <c r="C128" s="68" t="inlineStr">
        <is>
          <t>USDA slaughter</t>
        </is>
      </c>
      <c r="D128" s="68" t="inlineStr">
        <is>
          <t>unknown</t>
        </is>
      </c>
      <c r="E128" s="88" t="inlineStr">
        <is>
          <t>YES · ~95 mi ≈</t>
        </is>
      </c>
      <c r="F128" s="143" t="inlineStr">
        <is>
          <t>confirm</t>
        </is>
      </c>
      <c r="G128" s="68" t="inlineStr">
        <is>
          <t>Yes (confirm per-facility)</t>
        </is>
      </c>
      <c r="H128" s="68" t="inlineStr">
        <is>
          <t>USDA ✓</t>
        </is>
      </c>
      <c r="I128" s="25" t="inlineStr">
        <is>
          <t>⚠ Donald's Meat Processing (Lexington, M39968): repeat humane suspension 2023 → 3-yr consent decision. Others: none found.</t>
        </is>
      </c>
      <c r="J128" s="68" t="inlineStr">
        <is>
          <t>Not on public export lists — verify each</t>
        </is>
      </c>
      <c r="K128" s="68" t="inlineStr">
        <is>
          <t>Varies</t>
        </is>
      </c>
      <c r="L128" s="68" t="inlineStr">
        <is>
          <t>Not noted</t>
        </is>
      </c>
      <c r="M128" s="68" t="inlineStr">
        <is>
          <t>Possible</t>
        </is>
      </c>
      <c r="N128" s="68" t="inlineStr">
        <is>
          <t>B</t>
        </is>
      </c>
      <c r="O128" s="68" t="inlineStr">
        <is>
          <t>see notes →</t>
        </is>
      </c>
      <c r="P128" s="23" t="inlineStr">
        <is>
          <t>POSSIBLE</t>
        </is>
      </c>
      <c r="Q128" s="178" t="inlineStr">
        <is>
          <t>Context roll-up — not an individual candidate.</t>
        </is>
      </c>
      <c r="R128" s="179" t="inlineStr">
        <is>
          <t>—</t>
        </is>
      </c>
      <c r="S128" s="68" t="inlineStr">
        <is>
          <t>Low-Med
(study 8-03/05)</t>
        </is>
      </c>
      <c r="T128"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c r="U128" s="212" t="inlineStr">
        <is>
          <t>F-29</t>
        </is>
      </c>
      <c r="V128" s="210" t="inlineStr">
        <is>
          <t>—</t>
        </is>
      </c>
    </row>
    <row r="129" ht="58.6" customHeight="1" s="59">
      <c r="A129" s="4" t="inlineStr">
        <is>
          <t>PA SOW plants (roll-up)</t>
        </is>
      </c>
      <c r="B129" s="68" t="inlineStr">
        <is>
          <t>eastern PA</t>
        </is>
      </c>
      <c r="C129" s="68" t="inlineStr">
        <is>
          <t>USDA federal, sow-capable</t>
        </is>
      </c>
      <c r="D129" s="68" t="inlineStr">
        <is>
          <t>unknown</t>
        </is>
      </c>
      <c r="E129" s="111" t="inlineStr">
        <is>
          <t>mixed — confirm
(Durham: n/m)</t>
        </is>
      </c>
      <c r="F129" s="143" t="inlineStr">
        <is>
          <t>confirm</t>
        </is>
      </c>
      <c r="G129" s="68" t="inlineStr">
        <is>
          <t>Yes — market + SOW + roaster (+boar at two)</t>
        </is>
      </c>
      <c r="H129" s="68" t="inlineStr">
        <is>
          <t>USDA ✓ — see notes</t>
        </is>
      </c>
      <c r="I129" s="68" t="inlineStr">
        <is>
          <t>See the Welfare &amp; culture column — enforcement detail is carried there for these rows</t>
        </is>
      </c>
      <c r="J129" s="68" t="inlineStr">
        <is>
          <t>Not verified — APHIS publishes no searchable list; confirm with APHIS VS</t>
        </is>
      </c>
      <c r="K129" s="68" t="inlineStr">
        <is>
          <t>Not on the current enforcement page (1-yr window)</t>
        </is>
      </c>
      <c r="L129" s="68" t="inlineStr">
        <is>
          <t>None published</t>
        </is>
      </c>
      <c r="M129" s="68" t="inlineStr">
        <is>
          <t>Plausible (small plants)</t>
        </is>
      </c>
      <c r="N129" s="68" t="inlineStr">
        <is>
          <t>Plausible</t>
        </is>
      </c>
      <c r="O129" s="68" t="inlineStr">
        <is>
          <t>see notes →</t>
        </is>
      </c>
      <c r="P129" s="23" t="inlineStr">
        <is>
          <t>POSSIBLE</t>
        </is>
      </c>
      <c r="Q129" s="178" t="inlineStr">
        <is>
          <t>Context roll-up — not an individual candidate.</t>
        </is>
      </c>
      <c r="R129" s="179" t="inlineStr">
        <is>
          <t>—</t>
        </is>
      </c>
      <c r="S129" s="68" t="inlineStr">
        <is>
          <t>Med
(study 8-03/05)</t>
        </is>
      </c>
      <c r="T12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c r="U129" s="212" t="inlineStr">
        <is>
          <t>F-30</t>
        </is>
      </c>
      <c r="V129" s="210" t="inlineStr">
        <is>
          <t>—</t>
        </is>
      </c>
    </row>
    <row r="130" ht="58.6" customHeight="1" s="59">
      <c r="A130" s="4" t="inlineStr">
        <is>
          <t>SC 'Cross Utilization Federal' slaughter plants (roll-up)</t>
        </is>
      </c>
      <c r="B130" s="68" t="inlineStr">
        <is>
          <t>SC</t>
        </is>
      </c>
      <c r="C130" s="68" t="inlineStr">
        <is>
          <t>FEDERAL est. inspected by SC state staff (SC's Talmadge-Aiken analogue)</t>
        </is>
      </c>
      <c r="D130" s="68" t="inlineStr">
        <is>
          <t>unknown</t>
        </is>
      </c>
      <c r="E130" s="110" t="inlineStr">
        <is>
          <t>NO · ~231 mi ≈</t>
        </is>
      </c>
      <c r="F130" s="143" t="inlineStr">
        <is>
          <t>confirm</t>
        </is>
      </c>
      <c r="G130" s="68" t="inlineStr">
        <is>
          <t>CONFIRM — no species column in SC file</t>
        </is>
      </c>
      <c r="H130" s="68" t="inlineStr">
        <is>
          <t>USDA federal-equivalent
(interstate/export eligible)</t>
        </is>
      </c>
      <c r="I130" s="68" t="inlineStr">
        <is>
          <t>None found — and SC LEGALLY REFUSES to release humane records, so screening returns false negatives by construction</t>
        </is>
      </c>
      <c r="J130" s="68" t="inlineStr">
        <is>
          <t>Federal-equivalent — SC's ONLY export-eligible slaughter route. APHIS listing unverified</t>
        </is>
      </c>
      <c r="K130" s="68" t="inlineStr">
        <is>
          <t>None found</t>
        </is>
      </c>
      <c r="L130" s="68" t="inlineStr">
        <is>
          <t>unknown</t>
        </is>
      </c>
      <c r="M130" s="68" t="inlineStr">
        <is>
          <t>Plausible</t>
        </is>
      </c>
      <c r="N130" s="68" t="inlineStr">
        <is>
          <t>Plausible</t>
        </is>
      </c>
      <c r="O130" s="68" t="inlineStr">
        <is>
          <t>see notes →</t>
        </is>
      </c>
      <c r="P130" s="23" t="inlineStr">
        <is>
          <t>POSSIBLE</t>
        </is>
      </c>
      <c r="Q130" s="178" t="inlineStr">
        <is>
          <t>Context roll-up — not an individual candidate.</t>
        </is>
      </c>
      <c r="R130" s="179" t="inlineStr">
        <is>
          <t>—</t>
        </is>
      </c>
      <c r="S130" s="68" t="inlineStr">
        <is>
          <t>Med
(study 8-03/05)</t>
        </is>
      </c>
      <c r="T130"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c r="U130" s="212" t="inlineStr">
        <is>
          <t>F-31</t>
        </is>
      </c>
      <c r="V130" s="210" t="inlineStr">
        <is>
          <t>—</t>
        </is>
      </c>
    </row>
    <row r="131" ht="98.8" customHeight="1" s="59">
      <c r="A131" s="4" t="inlineStr">
        <is>
          <t>SC state-inspected slaughter plants (roll-up)</t>
        </is>
      </c>
      <c r="B131" s="68" t="inlineStr">
        <is>
          <t>SC</t>
        </is>
      </c>
      <c r="C131" s="68" t="inlineStr">
        <is>
          <t>SC STATE-inspected (intrastate only)</t>
        </is>
      </c>
      <c r="D131" s="68" t="inlineStr">
        <is>
          <t>unknown (est. SMALL)</t>
        </is>
      </c>
      <c r="E131" s="110" t="inlineStr">
        <is>
          <t>NO · ~231 mi ≈</t>
        </is>
      </c>
      <c r="F131" s="143" t="inlineStr">
        <is>
          <t>confirm</t>
        </is>
      </c>
      <c r="G131" s="68" t="inlineStr">
        <is>
          <t>CONFIRM — no species column</t>
        </is>
      </c>
      <c r="H131" s="68" t="inlineStr">
        <is>
          <t>STATE only
(NOT USDA — FLAG)</t>
        </is>
      </c>
      <c r="I131" s="68" t="inlineStr">
        <is>
          <t>SC law blocks release of humane-handling records — public screening is unreliable by construction</t>
        </is>
      </c>
      <c r="J131" s="112" t="inlineStr">
        <is>
          <t>⛔ State-inspected, non-NC — NOT accepted as equivalent. Needs USDA/FSIS to qualify for Path 1.</t>
        </is>
      </c>
      <c r="K131" s="68" t="inlineStr">
        <is>
          <t>SC LEGALLY REFUSES to release humane-handling records — screening returns false negatives by construction</t>
        </is>
      </c>
      <c r="L131" s="68" t="inlineStr">
        <is>
          <t>unknown</t>
        </is>
      </c>
      <c r="M131" s="68" t="inlineStr">
        <is>
          <t>Plausible</t>
        </is>
      </c>
      <c r="N131" s="68" t="inlineStr">
        <is>
          <t>Implausible</t>
        </is>
      </c>
      <c r="O131" s="68" t="inlineStr">
        <is>
          <t>see notes →</t>
        </is>
      </c>
      <c r="P131" s="23" t="inlineStr">
        <is>
          <t>CAUTION</t>
        </is>
      </c>
      <c r="Q131" s="178" t="inlineStr">
        <is>
          <t>Context roll-up — not an individual candidate.</t>
        </is>
      </c>
      <c r="R131" s="179" t="inlineStr">
        <is>
          <t>—</t>
        </is>
      </c>
      <c r="S131" s="68" t="inlineStr">
        <is>
          <t>Med
(study 8-03/05)</t>
        </is>
      </c>
      <c r="T131"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c r="U131" s="212" t="inlineStr">
        <is>
          <t>F-32</t>
        </is>
      </c>
      <c r="V131" s="210" t="inlineStr">
        <is>
          <t>—</t>
        </is>
      </c>
    </row>
    <row r="132" ht="58.6" customHeight="1" s="59">
      <c r="A132" s="4" t="inlineStr">
        <is>
          <t>VA state-inspected (roll-up)</t>
        </is>
      </c>
      <c r="B132" s="68" t="inlineStr">
        <is>
          <t>various, VA</t>
        </is>
      </c>
      <c r="C132" s="68" t="inlineStr">
        <is>
          <t>STATE-inspected slaughter (NOT USDA)</t>
        </is>
      </c>
      <c r="D132" s="68" t="inlineStr">
        <is>
          <t>unknown</t>
        </is>
      </c>
      <c r="E132" s="88" t="inlineStr">
        <is>
          <t>YES · ~95 mi ≈</t>
        </is>
      </c>
      <c r="F132" s="143" t="inlineStr">
        <is>
          <t>confirm</t>
        </is>
      </c>
      <c r="G132" s="68" t="inlineStr">
        <is>
          <t>Yes</t>
        </is>
      </c>
      <c r="H132" s="68" t="inlineStr">
        <is>
          <t>STATE only
(NOT USDA)</t>
        </is>
      </c>
      <c r="I132" s="68" t="inlineStr">
        <is>
          <t>Not in FSIS federal enforcement data (state-inspected) — check VDACS state records</t>
        </is>
      </c>
      <c r="J132" s="112" t="inlineStr">
        <is>
          <t>⛔ State-inspected, non-NC — NOT accepted as equivalent. Needs USDA/FSIS to qualify for Path 1.</t>
        </is>
      </c>
      <c r="K132" s="68" t="inlineStr">
        <is>
          <t>Varies</t>
        </is>
      </c>
      <c r="L132" s="68" t="inlineStr">
        <is>
          <t>Not noted</t>
        </is>
      </c>
      <c r="M132" s="68" t="inlineStr">
        <is>
          <t>Possible</t>
        </is>
      </c>
      <c r="N132" s="68" t="inlineStr">
        <is>
          <t>B</t>
        </is>
      </c>
      <c r="O132" s="68" t="inlineStr">
        <is>
          <t>see notes →</t>
        </is>
      </c>
      <c r="P132" s="23" t="inlineStr">
        <is>
          <t>CAUTION</t>
        </is>
      </c>
      <c r="Q132" s="178" t="inlineStr">
        <is>
          <t>Context roll-up — not an individual candidate.</t>
        </is>
      </c>
      <c r="R132" s="179" t="inlineStr">
        <is>
          <t>—</t>
        </is>
      </c>
      <c r="S132" s="68" t="inlineStr">
        <is>
          <t>Low
(study 8-03/05)</t>
        </is>
      </c>
      <c r="T132"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c r="U132" s="212" t="inlineStr">
        <is>
          <t>F-33</t>
        </is>
      </c>
      <c r="V132" s="210" t="inlineStr">
        <is>
          <t>—</t>
        </is>
      </c>
    </row>
    <row r="133" ht="45.2" customHeight="1" s="59">
      <c r="A133" s="4" t="inlineStr">
        <is>
          <t>VIRGINIA — coverage gap (action required)</t>
        </is>
      </c>
      <c r="B133" s="68" t="inlineStr">
        <is>
          <t>VA statewide</t>
        </is>
      </c>
      <c r="C133" s="68" t="inlineStr">
        <is>
          <t>n/a — enumeration incomplete</t>
        </is>
      </c>
      <c r="D133" s="68" t="inlineStr">
        <is>
          <t>n/a</t>
        </is>
      </c>
      <c r="E133" s="110" t="inlineStr">
        <is>
          <t>NO · ~1202 mi ≈</t>
        </is>
      </c>
      <c r="F133" s="143" t="inlineStr">
        <is>
          <t>n/a</t>
        </is>
      </c>
      <c r="G133" s="68" t="inlineStr">
        <is>
          <t>n/a</t>
        </is>
      </c>
      <c r="H133" s="68" t="inlineStr">
        <is>
          <t>VDACS publishes NO online directory</t>
        </is>
      </c>
      <c r="I133" s="68" t="inlineStr">
        <is>
          <t>n/a</t>
        </is>
      </c>
      <c r="J133" s="68" t="inlineStr">
        <is>
          <t>n/a</t>
        </is>
      </c>
      <c r="K133" s="68" t="inlineStr">
        <is>
          <t>n/a</t>
        </is>
      </c>
      <c r="L133" s="68" t="inlineStr">
        <is>
          <t>n/a</t>
        </is>
      </c>
      <c r="M133" s="68" t="inlineStr">
        <is>
          <t>n/a</t>
        </is>
      </c>
      <c r="N133" s="68" t="inlineStr">
        <is>
          <t>n/a</t>
        </is>
      </c>
      <c r="O133" s="68" t="inlineStr">
        <is>
          <t>VDACS 804-786-4569
omps@vdacs.virginia.gov</t>
        </is>
      </c>
      <c r="P133" s="23" t="inlineStr">
        <is>
          <t>CAUTION</t>
        </is>
      </c>
      <c r="Q133" s="178" t="inlineStr">
        <is>
          <t>Back-pool — passes no current tier; see Fit and notes for what a call would need to change.</t>
        </is>
      </c>
      <c r="R133" s="179" t="inlineStr">
        <is>
          <t>—</t>
        </is>
      </c>
      <c r="S133" s="68" t="inlineStr">
        <is>
          <t>High
(study 8-03/05)</t>
        </is>
      </c>
      <c r="T13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c r="U133" s="212" t="inlineStr">
        <is>
          <t>F-34</t>
        </is>
      </c>
      <c r="V133" s="210" t="inlineStr">
        <is>
          <t>—</t>
        </is>
      </c>
    </row>
  </sheetData>
  <autoFilter ref="A4:V133"/>
  <mergeCells count="8">
    <mergeCell ref="A1:T1"/>
    <mergeCell ref="A99:V99"/>
    <mergeCell ref="A68:V68"/>
    <mergeCell ref="A5:V5"/>
    <mergeCell ref="A31:V31"/>
    <mergeCell ref="A56:V56"/>
    <mergeCell ref="A2:T2"/>
    <mergeCell ref="A62:V62"/>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W2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165.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 — boar/stag: ASK (state code does not distinguish)</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5</v>
      </c>
      <c r="S7" s="162">
        <f>ROUND(SUMPRODUCT($K$3:$R$3,K7:R7),1)</f>
        <v/>
      </c>
      <c r="T7" s="162">
        <f>ROUND(SUMPRODUCT($K$4:$R$4,K7:R7),1)</f>
        <v/>
      </c>
      <c r="U7" s="186" t="inlineStr">
        <is>
          <t>1</t>
        </is>
      </c>
      <c r="V7" s="154" t="inlineStr">
        <is>
          <t>9-30 SOCIAL: under Lee-family ownership since ~2018 per a May-2024 interview (contracting entity and present manager to confirm) (Shane Lee is the name to ask for); retail market added 2022 — a growing, young operation. RELN 4 → 5. 9-28: Beebop's #2; confirm the contracting entity (Lee's Fresh Market shares address/phone). 58 road mi from Durham.
Top unworked NC state plant: the Nahunta playbook 58 road miles from Durham (37 from the old anchor). Operator Shane Lee. One call closes the volume unknown. (919) 894-2587.</t>
        </is>
      </c>
      <c r="W7" s="198" t="n">
        <v>2</v>
      </c>
    </row>
    <row r="8" ht="58.6" customHeight="1" s="59">
      <c r="A8" s="153" t="inlineStr">
        <is>
          <t>Gale McLamb Meats
Dunn, NC</t>
        </is>
      </c>
      <c r="B8" s="154" t="inlineStr">
        <is>
          <t>STATE ✓ P-221 (NC)</t>
        </is>
      </c>
      <c r="C8" s="185" t="inlineStr">
        <is>
          <t>NC-East</t>
        </is>
      </c>
      <c r="D8" s="185" t="inlineStr">
        <is>
          <t>60 (Durham)
44 (Pikeville)</t>
        </is>
      </c>
      <c r="E8" s="154" t="inlineStr">
        <is>
          <t>Cattle + hogs
(state species A,B,C) — boar/stag: ASK (state code does not distinguish)</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48 road mi from Durham (116 from the former Pikeville anchor). Hog kill $85 + $5.06/head disposal fee (their price sheet, 2026-09-03).</t>
        </is>
      </c>
      <c r="I9" s="154" t="inlineStr">
        <is>
          <t>Large skilled custom operation cutting to spec for 600+ farms. Its cut sheet (v. 1/2024) offers liver, heart, kidneys, tongue and leaf fat to customers — organs are NOT simply discarded; availability, ownership (customer's animal on service kills) and competing commitments must be confirmed.</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9-30 SOCIAL: customer rating middling (3.3/5, 38 reviews); a former kill-floor worker's 'demand higher pay' and supply complaints at the Asheboro site — a culture question for the visit, not a gate. 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179.2" customHeight="1" s="59">
      <c r="A10" s="153" t="inlineStr">
        <is>
          <t>Flowers Slaughter House
Sims, NC</t>
        </is>
      </c>
      <c r="B10" s="154" t="inlineStr">
        <is>
          <t>USDA ✓ M21747</t>
        </is>
      </c>
      <c r="C10" s="185" t="inlineStr">
        <is>
          <t>NC-East</t>
        </is>
      </c>
      <c r="D10" s="185" t="inlineStr">
        <is>
          <t>63 (Durham)
45 (Pikeville)</t>
        </is>
      </c>
      <c r="E10" s="154" t="inlineStr">
        <is>
          <t>⚠ BOAR/STAG flagged — 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2</v>
      </c>
      <c r="O10" s="185" t="n">
        <v>3</v>
      </c>
      <c r="P10" s="185" t="n">
        <v>4</v>
      </c>
      <c r="Q10" s="185" t="n">
        <v>5</v>
      </c>
      <c r="R10" s="185" t="n">
        <v>4</v>
      </c>
      <c r="S10" s="162">
        <f>ROUND(SUMPRODUCT($K$3:$R$3,K10:R10),1)</f>
        <v/>
      </c>
      <c r="T10" s="162">
        <f>ROUND(SUMPRODUCT($K$4:$R$4,K10:R10),1)</f>
        <v/>
      </c>
      <c r="U10" s="187" t="inlineStr">
        <is>
          <t>2</t>
        </is>
      </c>
      <c r="V10" s="154" t="inlineStr">
        <is>
          <t>9-30 SOCIAL: contacts Alan Sharp / Tim Boswell; legal entity Flowers Beef Slaughter LLC; 6,500-follower page, reviews good. 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0" s="199" t="n">
        <v>5</v>
      </c>
    </row>
    <row r="11" ht="98.8"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9-30 SOCIAL: contact Richard Huettmann; the plant BUYS its own hogs — organ ownership is not a farmer-consent problem here. 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232.8" customHeight="1" s="59">
      <c r="A13" s="153" t="inlineStr">
        <is>
          <t>Williamsburg Packing Co.
Kingstree, SC</t>
        </is>
      </c>
      <c r="B13" s="154" t="inlineStr">
        <is>
          <t>USDA ✓ M4005 + P4005 + V4005</t>
        </is>
      </c>
      <c r="C13" s="185" t="inlineStr">
        <is>
          <t>SC</t>
        </is>
      </c>
      <c r="D13" s="185" t="inlineStr">
        <is>
          <t>213 (Durham)
190 (Pikeville)</t>
        </is>
      </c>
      <c r="E13" s="154" t="inlineStr">
        <is>
          <t>⚠ BOAR/STAG flagged — 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2</v>
      </c>
      <c r="O13" s="185" t="n">
        <v>2</v>
      </c>
      <c r="P13" s="185" t="n">
        <v>4</v>
      </c>
      <c r="Q13" s="185" t="n">
        <v>5</v>
      </c>
      <c r="R13" s="185" t="n">
        <v>2</v>
      </c>
      <c r="S13" s="162">
        <f>ROUND(SUMPRODUCT($K$3:$R$3,K13:R13),1)</f>
        <v/>
      </c>
      <c r="T13" s="162">
        <f>ROUND(SUMPRODUCT($K$4:$R$4,K13:R13),1)</f>
        <v/>
      </c>
      <c r="U13" s="188" t="inlineStr">
        <is>
          <t>3</t>
        </is>
      </c>
      <c r="V13" s="154" t="inlineStr">
        <is>
          <t>9-30 SOCIAL: half-day hours (7:30-noon) — consistent with a small hog count. 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206" customHeight="1" s="59">
      <c r="A14" s="153" t="inlineStr">
        <is>
          <t>Contentnea Farms
Walstonburg, NC</t>
        </is>
      </c>
      <c r="B14" s="154" t="inlineStr">
        <is>
          <t>USDA ✓ M2583 (T-A)
grant 10/29/2025</t>
        </is>
      </c>
      <c r="C14" s="185" t="inlineStr">
        <is>
          <t>NC-East</t>
        </is>
      </c>
      <c r="D14" s="185" t="inlineStr">
        <is>
          <t>90 (Durham)
35 (Pikeville)</t>
        </is>
      </c>
      <c r="E14" s="154" t="inlineStr">
        <is>
          <t>⚠ BOAR/STAG flagged — 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2</v>
      </c>
      <c r="O14" s="185" t="n">
        <v>1</v>
      </c>
      <c r="P14" s="185" t="n">
        <v>4</v>
      </c>
      <c r="Q14" s="185" t="n">
        <v>5</v>
      </c>
      <c r="R14" s="185" t="n">
        <v>3</v>
      </c>
      <c r="S14" s="162">
        <f>ROUND(SUMPRODUCT($K$3:$R$3,K14:R14),1)</f>
        <v/>
      </c>
      <c r="T14" s="162">
        <f>ROUND(SUMPRODUCT($K$4:$R$4,K14:R14),1)</f>
        <v/>
      </c>
      <c r="U14" s="188" t="inlineStr">
        <is>
          <t>3</t>
        </is>
      </c>
      <c r="V14" s="154" t="inlineStr">
        <is>
          <t>9-30 SOCIAL: 9,900 followers, 5.0/5 on 49 reviews; also processes deer and bears (seasonal). 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35 mi from Pikeville but 90 from Durham, and &lt;19/wk: overflow/pilot for odd-lot sow or boar needs only. (252) 717-9229.</t>
        </is>
      </c>
      <c r="W14" s="200" t="n">
        <v>10</v>
      </c>
    </row>
    <row r="15" ht="232.8"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6" t="inlineStr">
        <is>
          <t>1</t>
        </is>
      </c>
      <c r="V15" s="154" t="inlineStr">
        <is>
          <t>9-30 SOCIAL: contact Gerald Wood; ~4 employees per business listings (volume: tens/wk); animal-protection directory shows no allegations. 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at 115 road mi from Durham it is inside the radius (190 from Pikeville) to matter. (704) 202-9340 / (704) 933-7550.</t>
        </is>
      </c>
      <c r="W15" s="200" t="n">
        <v>6</v>
      </c>
    </row>
    <row r="16" ht="139" customHeight="1" s="59">
      <c r="A16" s="153" t="inlineStr">
        <is>
          <t>Wilkes Abattoir (Apple Brandy)
N. Wilkesboro, NC</t>
        </is>
      </c>
      <c r="B16" s="154" t="inlineStr">
        <is>
          <t>USDA ✓ M19511 (T-A)</t>
        </is>
      </c>
      <c r="C16" s="185" t="inlineStr">
        <is>
          <t>NC-West</t>
        </is>
      </c>
      <c r="D16" s="185" t="inlineStr">
        <is>
          <t>134 (Durham)
209 (Pikeville)</t>
        </is>
      </c>
      <c r="E16" s="154" t="inlineStr">
        <is>
          <t>⚠ BOAR/STAG flagged — 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2</v>
      </c>
      <c r="O16" s="185" t="n">
        <v>3</v>
      </c>
      <c r="P16" s="185" t="n">
        <v>3</v>
      </c>
      <c r="Q16" s="185" t="n">
        <v>5</v>
      </c>
      <c r="R16" s="185" t="n">
        <v>3</v>
      </c>
      <c r="S16" s="162">
        <f>ROUND(SUMPRODUCT($K$3:$R$3,K16:R16),1)</f>
        <v/>
      </c>
      <c r="T16" s="162">
        <f>ROUND(SUMPRODUCT($K$4:$R$4,K16:R16),1)</f>
        <v/>
      </c>
      <c r="U16" s="188" t="inlineStr">
        <is>
          <t>3</t>
        </is>
      </c>
      <c r="V16" s="154" t="inlineStr">
        <is>
          <t>9-30 SOCIAL: owner Seth Church. 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134 road mi from Durham (209 from Pikeville). Model B-T only. (336) 667-1346.</t>
        </is>
      </c>
      <c r="W16" s="200" t="inlineStr">
        <is>
          <t>—</t>
        </is>
      </c>
    </row>
    <row r="17" ht="165.8" customHeight="1" s="59">
      <c r="A17" s="153" t="inlineStr">
        <is>
          <t>McLaughlin's
Mooresville, NC (Rowan / Iredell)</t>
        </is>
      </c>
      <c r="B17" s="154" t="inlineStr">
        <is>
          <t>NC STATE P-85 (hog-only; sells inside NC)</t>
        </is>
      </c>
      <c r="C17" s="185" t="inlineStr">
        <is>
          <t>NC-West</t>
        </is>
      </c>
      <c r="D17" s="185" t="inlineStr">
        <is>
          <t>119 (Durham, exact)
201 (Pikeville)</t>
        </is>
      </c>
      <c r="E17" s="154" t="inlineStr">
        <is>
          <t>Hog-ONLY (county directory) — class mix unpublished; boar/stag: ASK</t>
        </is>
      </c>
      <c r="F17" s="154" t="inlineStr">
        <is>
          <t>unknown — hog-only sausage/livermush packer (plausibly 100-300/wk; ask)</t>
        </is>
      </c>
      <c r="G17" s="154" t="inlineStr">
        <is>
          <t>FULL (NC state = APHIS-equivalent)</t>
        </is>
      </c>
      <c r="H17" s="154" t="inlineStr">
        <is>
          <t>Hog-only floor 119 road mi from Durham — inside the radius; hosting unknown</t>
        </is>
      </c>
      <c r="I17" s="154" t="inlineStr">
        <is>
          <t>Contact Tom McLaughlin (county directory); unverified 2026 leadership-change signal</t>
        </is>
      </c>
      <c r="J17" s="154" t="inlineStr">
        <is>
          <t>No federal record (state plant — site-visit finding)</t>
        </is>
      </c>
      <c r="K17" s="185" t="n">
        <v>4</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9-30 REGISTER B5: the 'western state trio' row is split — McLaughlin's rated on its own (inside the radius at 119 road mi; livers compete with livermush). 9-30 SOCIAL: McLaughlin's announced a new 'captain' in 2026 (ask who runs it; hog-only confirmed); Caldwell's reviews cite forgotten items incl. organ meats never made right — a B-T discipline caution; Price's contact Lee Kong. A future 'western mini-Nahunta' — park until a western crew or B-T supervision loop is justified; then visit Caldwell first.</t>
        </is>
      </c>
      <c r="W17" s="200" t="inlineStr">
        <is>
          <t>—</t>
        </is>
      </c>
    </row>
    <row r="18" ht="139"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 — boar/stag: ASK (state code does not distinguish)</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9-30 REGISTER A1: Gilbert Key (co-founder) died 2026-04-06; Elizabeth Key remains; the current manager is unconfirmed. 9-30 SOCIAL: contacts Gilbert and Elizabeth Key; 4.8/5 on 84 reviews, 100% on Facebook — the best-reviewed plant in the set. 70 road mi from Durham (116 from Pikeville); the best-reviewed plant in the set (4.8/5 on 84 reviews);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7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 — boar/stag: ASK (state code does not distinguish)</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Family business since 1976 (company site) (federal grant 2024); crew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inlineStr">
        <is>
          <t xml:space="preserve">9-30 SOCIAL: in business since 1976 (company site) (Oct-2024 is the federal grant); contact Justin Atkinson. </t>
        </is>
      </c>
      <c r="W22" s="200" t="inlineStr">
        <is>
          <t>follow-up</t>
        </is>
      </c>
    </row>
    <row r="23" ht="112.2"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 BOAR/STAG flagged — 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2</v>
      </c>
      <c r="O23" s="185" t="n">
        <v>1</v>
      </c>
      <c r="P23" s="185" t="n">
        <v>1</v>
      </c>
      <c r="Q23" s="185" t="n">
        <v>5</v>
      </c>
      <c r="R23" s="185" t="n">
        <v>3</v>
      </c>
      <c r="S23" s="162">
        <f>ROUND(SUMPRODUCT($K$3:$R$3,K23:R23),1)</f>
        <v/>
      </c>
      <c r="T23" s="162">
        <f>ROUND(SUMPRODUCT($K$4:$R$4,K23:R23),1)</f>
        <v/>
      </c>
      <c r="U23" s="188" t="inlineStr">
        <is>
          <t>3</t>
        </is>
      </c>
      <c r="V23" s="154" t="inlineStr">
        <is>
          <t xml:space="preserve">9-30 SOCIAL: contact Kristine Mitchell; Facebook 78% recommend — lowest in the set. 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 BOAR/STAG flagged — 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2</v>
      </c>
      <c r="O24" s="185" t="n">
        <v>2</v>
      </c>
      <c r="P24" s="185" t="n">
        <v>5</v>
      </c>
      <c r="Q24" s="185" t="n">
        <v>5</v>
      </c>
      <c r="R24" s="185" t="n">
        <v>3</v>
      </c>
      <c r="S24" s="162">
        <f>ROUND(SUMPRODUCT($K$3:$R$3,K24:R24),1)</f>
        <v/>
      </c>
      <c r="T24" s="162">
        <f>ROUND(SUMPRODUCT($K$4:$R$4,K24:R24),1)</f>
        <v/>
      </c>
      <c r="U24" s="188" t="inlineStr">
        <is>
          <t>3</t>
        </is>
      </c>
      <c r="V24" s="154" t="inlineStr">
        <is>
          <t>OWNER DECISION 9-30: KEPT on the list with its status note — an undated YellowPages 'CLOSED' flag conflicts with a live company site and a 2025 price sheet; the first call settles it. 9-30 SOCIAL: YellowPages lists it CLOSED and the phone conflicts across listings — operating status is the first call question. 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7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 — boar/stag: ASK (state code does not distinguish)</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inlineStr">
        <is>
          <t xml:space="preserve">9-30 SOCIAL: 5.0/5 on 20 reviews, 9,100 followers; deer season is a seasonal load. </t>
        </is>
      </c>
      <c r="W25" s="200" t="n">
        <v>9</v>
      </c>
    </row>
    <row r="26" ht="85.40000000000001"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 BOAR/STAG flagged — 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2</v>
      </c>
      <c r="O26" s="185" t="n">
        <v>1</v>
      </c>
      <c r="P26" s="185" t="n">
        <v>4</v>
      </c>
      <c r="Q26" s="185" t="n">
        <v>5</v>
      </c>
      <c r="R26" s="185" t="n">
        <v>3</v>
      </c>
      <c r="S26" s="162">
        <f>ROUND(SUMPRODUCT($K$3:$R$3,K26:R26),1)</f>
        <v/>
      </c>
      <c r="T26" s="162">
        <f>ROUND(SUMPRODUCT($K$4:$R$4,K26:R26),1)</f>
        <v/>
      </c>
      <c r="U26" s="188" t="inlineStr">
        <is>
          <t>3</t>
        </is>
      </c>
      <c r="V26"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6" s="200" t="inlineStr">
        <is>
          <t>follow-up</t>
        </is>
      </c>
    </row>
    <row r="27" ht="112.2" customHeight="1" s="59">
      <c r="A27" s="153" t="inlineStr">
        <is>
          <t>The Butcher's Block
Dry Fork, VA (Pittsylvania)</t>
        </is>
      </c>
      <c r="B27" s="154" t="inlineStr">
        <is>
          <t>USDA M763 (grant 2/13/2024)</t>
        </is>
      </c>
      <c r="C27" s="185" t="inlineStr">
        <is>
          <t>VA-South</t>
        </is>
      </c>
      <c r="D27" s="185" t="inlineStr">
        <is>
          <t>74 (Durham)
n/m (Pikeville)</t>
        </is>
      </c>
      <c r="E27" s="154" t="inlineStr">
        <is>
          <t>⚠ BOAR/STAG flagged — 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 xml:space="preserve">9-30 SOCIAL: owners Andy and Samantha Thomas; 4.7/5 on 26 reviews. 9-28 BOAR/STAG RULE: FSIS flags boar/stag slaughter here — the client will not mix boars with our hogs. ANAT capped at 2 (was 4); tier 3. GATE on the call: are boars / stags ever run with market hogs, or only on separate days? If never with ours, this can revert. </t>
        </is>
      </c>
      <c r="W27" s="200" t="inlineStr">
        <is>
          <t>—</t>
        </is>
      </c>
    </row>
    <row r="28" ht="45.2" customHeight="1" s="59">
      <c r="A28" s="153" t="inlineStr">
        <is>
          <t>Caldwell Meat Processing
Maiden, NC (Lincoln)</t>
        </is>
      </c>
      <c r="B28" s="154" t="inlineStr">
        <is>
          <t>NC STATE P-312</t>
        </is>
      </c>
      <c r="C28" s="185" t="inlineStr">
        <is>
          <t>NC-West</t>
        </is>
      </c>
      <c r="D28" s="185" t="inlineStr">
        <is>
          <t>152 ≈ (Durham)
227 (Pikeville)</t>
        </is>
      </c>
      <c r="E28" s="154" t="inlineStr">
        <is>
          <t>Hog-ONLY — class mix unpublished; boar/stag: ASK</t>
        </is>
      </c>
      <c r="F28" s="154" t="inlineStr">
        <is>
          <t>unknown — hog-only packer (ask)</t>
        </is>
      </c>
      <c r="G28" s="154" t="inlineStr">
        <is>
          <t>NC state = APHIS-accepted for our harvest path</t>
        </is>
      </c>
      <c r="H28" s="154" t="inlineStr">
        <is>
          <t>Hog-only floor; owner Kevin Caldwell; one customer allegation on missing cuts (unverified)</t>
        </is>
      </c>
      <c r="I28" s="154" t="inlineStr">
        <is>
          <t>Unknown crew</t>
        </is>
      </c>
      <c r="J28" s="154" t="inlineStr">
        <is>
          <t>No federal record (state plant — site-visit finding)</t>
        </is>
      </c>
      <c r="K28" s="185" t="n">
        <v>2</v>
      </c>
      <c r="L28" s="185" t="n">
        <v>3</v>
      </c>
      <c r="M28" s="185" t="n">
        <v>3</v>
      </c>
      <c r="N28" s="185" t="n">
        <v>3</v>
      </c>
      <c r="O28" s="185" t="n">
        <v>1</v>
      </c>
      <c r="P28" s="185" t="n">
        <v>4</v>
      </c>
      <c r="Q28" s="185" t="n">
        <v>5</v>
      </c>
      <c r="R28" s="185" t="n">
        <v>3</v>
      </c>
      <c r="S28" s="162">
        <f>ROUND(SUMPRODUCT($K$3:$R$3,K28:R28),1)</f>
        <v/>
      </c>
      <c r="T28" s="162">
        <f>ROUND(SUMPRODUCT($K$4:$R$4,K28:R28),1)</f>
        <v/>
      </c>
      <c r="U28" s="188" t="inlineStr">
        <is>
          <t>3</t>
        </is>
      </c>
      <c r="V28" s="154" t="inlineStr">
        <is>
          <t>9-30 REGISTER B5: split out of the former 'western state trio' row; beyond the Model A radius from Durham — Model B-T only.</t>
        </is>
      </c>
      <c r="W28" s="200" t="inlineStr">
        <is>
          <t>—</t>
        </is>
      </c>
    </row>
    <row r="29" ht="45.2" customHeight="1" s="59">
      <c r="A29" s="153" t="inlineStr">
        <is>
          <t>Price's Custom Meat Cutting &amp; Abattoir
Hickory, NC (Burke)</t>
        </is>
      </c>
      <c r="B29" s="154" t="inlineStr">
        <is>
          <t>NC STATE P-307</t>
        </is>
      </c>
      <c r="C29" s="185" t="inlineStr">
        <is>
          <t>NC-West</t>
        </is>
      </c>
      <c r="D29" s="185" t="inlineStr">
        <is>
          <t>150 ≈ (Durham)
213 (Pikeville)</t>
        </is>
      </c>
      <c r="E29" s="154" t="inlineStr">
        <is>
          <t>Hog-ONLY — class mix unpublished; boar/stag: ASK</t>
        </is>
      </c>
      <c r="F29" s="154" t="inlineStr">
        <is>
          <t>unknown — hog-only packer (ask)</t>
        </is>
      </c>
      <c r="G29" s="154" t="inlineStr">
        <is>
          <t>NC state = APHIS-accepted for our harvest path</t>
        </is>
      </c>
      <c r="H29" s="154" t="inlineStr">
        <is>
          <t>Hog-only; kills Mon/Wed; hand-scrapes large hogs; contact Lee Kong</t>
        </is>
      </c>
      <c r="I29" s="154" t="inlineStr">
        <is>
          <t>Unknown crew</t>
        </is>
      </c>
      <c r="J29" s="154" t="inlineStr">
        <is>
          <t>No federal record (state plant — site-visit finding)</t>
        </is>
      </c>
      <c r="K29" s="185" t="n">
        <v>2</v>
      </c>
      <c r="L29" s="185" t="n">
        <v>3</v>
      </c>
      <c r="M29" s="185" t="n">
        <v>3</v>
      </c>
      <c r="N29" s="185" t="n">
        <v>3</v>
      </c>
      <c r="O29" s="185" t="n">
        <v>1</v>
      </c>
      <c r="P29" s="185" t="n">
        <v>4</v>
      </c>
      <c r="Q29" s="185" t="n">
        <v>5</v>
      </c>
      <c r="R29" s="185" t="n">
        <v>3</v>
      </c>
      <c r="S29" s="162">
        <f>ROUND(SUMPRODUCT($K$3:$R$3,K29:R29),1)</f>
        <v/>
      </c>
      <c r="T29" s="162">
        <f>ROUND(SUMPRODUCT($K$4:$R$4,K29:R29),1)</f>
        <v/>
      </c>
      <c r="U29" s="188" t="inlineStr">
        <is>
          <t>3</t>
        </is>
      </c>
      <c r="V29" s="154" t="inlineStr">
        <is>
          <t>9-30 REGISTER B5: split out of the former 'western state trio' row; beyond the Model A radius from Durham — Model B-T only.</t>
        </is>
      </c>
      <c r="W29" s="200" t="inlineStr">
        <is>
          <t>—</t>
        </is>
      </c>
    </row>
  </sheetData>
  <autoFilter ref="A5:W29"/>
  <mergeCells count="2">
    <mergeCell ref="A2:W2"/>
    <mergeCell ref="A1:W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45.2" customHeight="1" s="59">
      <c r="A13" s="193" t="n">
        <v>3</v>
      </c>
      <c r="B13" s="154" t="inlineStr">
        <is>
          <t>Stunning method and placement OBSERVED — document the plant's existing humane process; qualified plant staff and the inspector assess thoracic tissue suitability (we do not ask a plant to alter its stunning)</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 (incl. AORTA)</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31.8" customHeight="1" s="59">
      <c r="A12" s="6" t="inlineStr">
        <is>
          <t>Target live weight range of the animal (lb)</t>
        </is>
      </c>
      <c r="B12" s="7" t="inlineStr">
        <is>
          <t>≈ 140–220 lb live weight (client brief, 2026-09-28) — CONFIRM here</t>
        </is>
      </c>
      <c r="C12" s="7" t="n"/>
      <c r="D12" s="7" t="n"/>
    </row>
    <row r="13" ht="18.4" customHeight="1" s="59">
      <c r="A13" s="8" t="inlineStr">
        <is>
          <t>Absolute min / max live weight (lb)</t>
        </is>
      </c>
      <c r="B13" s="7" t="n"/>
      <c r="C13" s="7" t="n"/>
      <c r="D13" s="7" t="n"/>
    </row>
    <row r="14" ht="31.8" customHeight="1" s="59">
      <c r="A14" s="6" t="inlineStr">
        <is>
          <t>SOW (parous) acceptable?   Yes / No / Only for…</t>
        </is>
      </c>
      <c r="B14" s="7" t="inlineStr">
        <is>
          <t>No under the 140–220 lb target (owner to confirm)</t>
        </is>
      </c>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58.6" customHeight="1" s="59">
      <c r="A28" s="9" t="inlineStr">
        <is>
          <t>If MARKET HOG ONLY →</t>
        </is>
      </c>
      <c r="B28" s="68" t="inlineStr">
        <is>
          <t>Removes every sow-only plant — Larry's and Bass Farms drop out along with Gunnoe (VA), Kansas City Sausage (NC), Swaggerty (TN) and probably Wampler's and Williams/Tyson (TN). What remains realistic: the market-hog federal plants we already use (Martin's, Parks, Custom Quality Packers), Nahunta, and the Tier-1 state plants — which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45.2" customHeight="1" s="59">
      <c r="A31" s="9" t="inlineStr">
        <is>
          <t>DECISION 3 — Ischemia tolerance</t>
        </is>
      </c>
      <c r="B31" s="68" t="inlineStr">
        <is>
          <t>If max warm ischemia is TIGHT (minutes), on-site harvesting is mandatory — by our crew (Model A) or by a trained plant crew that preserves immediately (Model B-T) — and buy-direct is out. If it is loose (hours), buy-direct stays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8.xml><?xml version="1.0" encoding="utf-8"?>
<worksheet xmlns="http://schemas.openxmlformats.org/spreadsheetml/2006/main">
  <sheetPr>
    <tabColor rgb="00BF8F00"/>
    <outlinePr summaryBelow="1" summaryRight="1"/>
    <pageSetUpPr fitToPage="1"/>
  </sheetPr>
  <dimension ref="A1:L51"/>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t="inlineStr">
        <is>
          <t>formula: blocks * min/block / 60</t>
        </is>
      </c>
    </row>
    <row r="11" ht="18.4" customHeight="1" s="59">
      <c r="A11" s="74" t="inlineStr">
        <is>
          <t>Harvester labor per visit</t>
        </is>
      </c>
      <c r="C11" s="125">
        <f>C10*C8*C9</f>
        <v/>
      </c>
      <c r="D11" s="73" t="inlineStr">
        <is>
          <t>formula: session hours * crew * rate.</t>
        </is>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t="inlineStr">
        <is>
          <t>formula: rental + plant fee + our inspector.</t>
        </is>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t="inlineStr">
        <is>
          <t>formula: facility fixed + transportation.</t>
        </is>
      </c>
    </row>
    <row r="22" ht="18.4" customHeight="1" s="59">
      <c r="A22" s="74" t="inlineStr">
        <is>
          <t>Total cost per visit</t>
        </is>
      </c>
      <c r="C22" s="125">
        <f>C21+C11+C19*C6</f>
        <v/>
      </c>
      <c r="D22" s="73" t="inlineStr">
        <is>
          <t>formula: fixed+transport + harvester labor + inventory * blocks.</t>
        </is>
      </c>
    </row>
    <row r="23" ht="18.4" customHeight="1" s="59">
      <c r="A23" s="78" t="inlineStr">
        <is>
          <t>★ TOTAL COST PER BLOCK</t>
        </is>
      </c>
      <c r="C23" s="126">
        <f>IF(C6&gt;0,C22/C6,"n/a")</f>
        <v/>
      </c>
      <c r="D23" s="73" t="inlineStr">
        <is>
          <t>formula: total cost per visit / blocks. Your self-harvest unit cost.</t>
        </is>
      </c>
    </row>
    <row r="24" ht="18.4" customHeight="1" s="59">
      <c r="A24" s="74" t="inlineStr">
        <is>
          <t>Memo: harvester labor per block</t>
        </is>
      </c>
      <c r="C24" s="125">
        <f>IF(C6&gt;0,C11/C6,"n/a")</f>
        <v/>
      </c>
      <c r="D24" s="73" t="inlineStr">
        <is>
          <t>formula: (min/block / 60) * crew * rate.</t>
        </is>
      </c>
    </row>
    <row r="25" ht="18.4" customHeight="1" s="59">
      <c r="A25" s="74" t="inlineStr">
        <is>
          <t>Memo: fixed+transport per block</t>
        </is>
      </c>
      <c r="C25" s="125">
        <f>IF(C6&gt;0,C21/C6,"n/a")</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row r="46" ht="15" customHeight="1" s="59"/>
    <row r="47" ht="58.6" customHeight="1" s="59">
      <c r="A47" s="204" t="inlineStr">
        <is>
          <t>F.  COST PER ACCEPTED BLOCK  (added 2026-09-30 — separates yield loss and purchase price from harvest cost)</t>
        </is>
      </c>
      <c r="C47" s="204" t="n"/>
      <c r="D47" s="204" t="n"/>
    </row>
    <row r="48" ht="152.4" customHeight="1" s="59">
      <c r="A48" s="205" t="inlineStr">
        <is>
          <t>Rejection rate at incoming inspection (%)</t>
        </is>
      </c>
      <c r="C48" s="209" t="n">
        <v>10</v>
      </c>
      <c r="D48" s="205" t="inlineStr">
        <is>
          <t>Illustrative until the pilot measures it. Share of harvested blocks that fail spec.</t>
        </is>
      </c>
    </row>
    <row r="49" ht="165.8" customHeight="1" s="59">
      <c r="A49" s="205" t="inlineStr">
        <is>
          <t>Tissue purchase price per piece ($, if the plant sells the organ)</t>
        </is>
      </c>
      <c r="C49" s="209" t="n">
        <v>0</v>
      </c>
      <c r="D49" s="205" t="inlineStr">
        <is>
          <t>0 for Model A access-only deals; enter the per-piece price for Model B-T or purchased organs.</t>
        </is>
      </c>
    </row>
    <row r="50" ht="98.8" customHeight="1" s="59">
      <c r="A50" s="205" t="inlineStr">
        <is>
          <t>Accepted blocks per visit</t>
        </is>
      </c>
      <c r="C50" s="205">
        <f>C6*(1-C48/100)</f>
        <v/>
      </c>
      <c r="D50" s="205" t="inlineStr">
        <is>
          <t>formula: blocks harvested × (1 − rejection rate).</t>
        </is>
      </c>
    </row>
    <row r="51" ht="219.4" customHeight="1" s="59">
      <c r="A51" s="204" t="inlineStr">
        <is>
          <t>★ TOTAL COST PER ACCEPTED BLOCK</t>
        </is>
      </c>
      <c r="C51" s="204">
        <f>IF(C50&gt;0,(C22+C49*C6)/C50,"n/a")</f>
        <v/>
      </c>
      <c r="D51" s="204" t="inlineStr">
        <is>
          <t>formula: (total cost per visit + purchase price × blocks) ÷ accepted blocks. 'n/a' at zero production — never a $0 verdict.</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98.8"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ISO 13485 + ISO 22442-2 (company). Ante-/post-mortem inspection is CLAIMED but USDA inspection is not stated for 100% of source animals — a gap under MDR Annex I 13.1 / ISO 22442. HISTORY (2026-08): a 'USDA Class A Breeders License' claim was withdrawn — not in the APHIS licensee list and not on the company site.</t>
        </is>
      </c>
      <c r="G8" s="68" t="inlineStr">
        <is>
          <t>tissue-source.com · 765-746-6679</t>
        </is>
      </c>
      <c r="H8" s="68" t="inlineStr">
        <is>
          <t>High</t>
        </is>
      </c>
      <c r="I8" s="133" t="inlineStr">
        <is>
          <t>APHIS REQUIRED for EU. COMPANY CLAIM (product page, © 2020, undated): ships internationally with experience in the EU, Japan and Taiwan and 'will provide APHIS-endorsed Animal Health Certificates as required'. Request documents for our exact product, collection site, intended use and destination. ISO 13485 / 22442 stand.</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72"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COMPANY CLAIM (abattoir-products page): 'LAMPIRE's facilities have APHIS registrations to export most products into the EU' — 'most' is not all; per-product eligibility unverified. Request documentation for the specific blocks.</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31"/>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D53"/>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'Instructions §6 (export essentials)'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row r="52" ht="179.2" customHeight="1" s="59">
      <c r="A52" s="138" t="inlineStr">
        <is>
          <t>Social &amp; other-sources pass (2026-09-30)</t>
        </is>
      </c>
      <c r="B52" s="68" t="inlineStr">
        <is>
          <t>Facebook, Yelp, Google/aggregator reviews, Instagram, Nextdoor, BBB, Indeed, OpenCorporates, NCDA&amp;CS county directories (Johnston, Harnett, Rowan, Moore, Nash, Wilson, Beaufort, Stokes, Wilkes, Yadkin, Burke, Iredell, Rockingham)</t>
        </is>
      </c>
      <c r="C52" s="46" t="inlineStr">
        <is>
          <t>Medium (operational facts only)</t>
        </is>
      </c>
      <c r="D52" s="68" t="inlineStr">
        <is>
          <t>Every rated candidate checked. Facts that changed the read: McLamb's Abattoir is under LEE-FAMILY ownership since ~2018 (Shane Lee; Lee's Fresh Market is its 2022 retail front); McLaughlin's may have changed leadership in 2026 (unverified indexed-Facebook signal); Cool Springs dates from 1976 per the company site (a directory snippet said 1971; 2024 = federal grant); EcoFriendly is listed CLOSED by one directory with conflicting phones; Acre Station buys its own hogs (organ ownership clear); Caldwell's reviews cite forgotten organ meats never made right; Select Meats shows ~4 employees; Williamsburg keeps half-day hours; Mitchell's has the lowest Facebook score (78%). CONTACT NAMES from the county directories: Shane Lee, Gale McLamb, Gerald Wood, Gilbert/Elizabeth Key, Alan Sharp/Tim Boswell, Richard Huettmann, Justin Atkinson, Kristine Mitchell, Seth Church, Xa Her, Tom McLaughlin, Barrett Twitty (CQP). Not retrievable: Davie/Greene/Cumberland/Wayne/Duplin/Lincoln/Catawba county files (HTML shells), Facebook post bodies, Bizapedia (CAPTCHA), NC SOS (JavaScript). The Rockingham county file predates Quaqua's P-375 grant and lists 'Stevens Abattoir, Inc' (Darren Stevens, Madison) as a hog plant selling outside NC — checked against FSIS/NCDA 9-18 separately (see roster).</t>
        </is>
      </c>
    </row>
    <row r="53" ht="125.6" customHeight="1" s="59">
      <c r="A53" s="138" t="inlineStr">
        <is>
          <t>Retired tabs + restructure (2026-09-30)</t>
        </is>
      </c>
      <c r="B53" s="68" t="inlineStr">
        <is>
          <t>This workbook + git history (commit before this change: 5bda1a5)</t>
        </is>
      </c>
      <c r="C53" s="46" t="inlineStr">
        <is>
          <t>High</t>
        </is>
      </c>
      <c r="D53" s="68" t="inlineStr">
        <is>
          <t>On the owner's direction the workbook was narrowed to the supplier list: 'Overview &amp; Method', 'Meeting Notes 2026-08' and 'APHIS &amp; EU Export' were retired (decisions and export essentials now live on Instructions §3/§6; the verbatim notes and the August narrative survive in git and in Deep_Study_Synthesis.pdf). The Supplier Roster's old region banners were replaced by six priority sections; every row got a Priority ID (column U); duplicate entries (Swaggerty, Leidy's, Fauquier's) were marked DUPLICATE in favour of the later row. Beebop's instruction 23 change register (Reviews/2026-09-30-rocksteady-change-register.md) Parts A and B were applied; Owner decisions (same day): Part C declined — scores stand as built; road miles only (radial dropped); EcoFriendly kept with its note. Boar-gate hardness and the sow/aorta questions remain open.</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2026-09-30T18:17:58Z</dcterms:modified>
  <cp:lastModifiedBy>Oscar Penny</cp:lastModifiedBy>
</cp:coreProperties>
</file>