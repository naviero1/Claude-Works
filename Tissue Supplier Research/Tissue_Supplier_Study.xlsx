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C Comparison 2026-08-17" sheetId="7" state="visible" r:id="rId7"/>
    <sheet xmlns:r="http://schemas.openxmlformats.org/officeDocument/2006/relationships" name="National Direct Suppliers" sheetId="8" state="visible" r:id="rId8"/>
    <sheet xmlns:r="http://schemas.openxmlformats.org/officeDocument/2006/relationships" name="Models &amp; Make-vs-Buy" sheetId="9" state="visible" r:id="rId9"/>
    <sheet xmlns:r="http://schemas.openxmlformats.org/officeDocument/2006/relationships" name="TCO Calculator" sheetId="10" state="visible" r:id="rId10"/>
    <sheet xmlns:r="http://schemas.openxmlformats.org/officeDocument/2006/relationships" name="APHIS &amp; EU Export" sheetId="11" state="visible" r:id="rId11"/>
    <sheet xmlns:r="http://schemas.openxmlformats.org/officeDocument/2006/relationships" name="Call Question Sheet" sheetId="12" state="visible" r:id="rId12"/>
    <sheet xmlns:r="http://schemas.openxmlformats.org/officeDocument/2006/relationships" name="Sources &amp; Confidence" sheetId="13" state="visible" r:id="rId13"/>
    <sheet xmlns:r="http://schemas.openxmlformats.org/officeDocument/2006/relationships" name="Deep Study (Verified)" sheetId="14" state="visible" r:id="rId14"/>
  </sheets>
  <definedNames>
    <definedName name="_xlnm._FilterDatabase" localSheetId="5" hidden="1">'Supplier Roster'!$A$4:$R$4</definedName>
    <definedName name="_xlnm.Print_Titles" localSheetId="5">'Supplier Roster'!$1:$4</definedName>
    <definedName name="_xlnm._FilterDatabase" localSheetId="7" hidden="1">'National Direct Suppliers'!$A$4:$I$4</definedName>
    <definedName name="_xlnm._FilterDatabase" localSheetId="13"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9">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s>
  <fills count="38">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4">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5"/>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52.4" customHeight="1" s="59">
      <c r="A30"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Villari's 'no organs' is negotiable but hard near-term — a $3.27M wastewater project (county loan 3/2026) blocks new offal handling until ~2027; the wedge is a paid client-crewed viscera-table pilot, and their $800K NCAMPI award (7/7/2026) is the leverage moment.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'NC Comparison 2026-08-17' tab.</t>
        </is>
      </c>
      <c r="B30" s="65" t="n"/>
    </row>
    <row r="31" ht="139" customHeight="1" s="59">
      <c r="A31"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1" s="65" t="n"/>
    </row>
    <row r="32" ht="58.6" customHeight="1" s="59">
      <c r="A32"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2" s="65" t="n"/>
    </row>
    <row r="33" ht="45.2" customHeight="1" s="59">
      <c r="A33"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3" s="65" t="n"/>
    </row>
    <row r="34" ht="58.6" customHeight="1" s="59">
      <c r="A34"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4" s="65" t="n"/>
    </row>
    <row r="35" ht="45.2" customHeight="1" s="59">
      <c r="A35"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5" s="65" t="n"/>
    </row>
    <row r="36" ht="58.6" customHeight="1" s="59">
      <c r="A36"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6" s="65" t="n"/>
    </row>
    <row r="37" ht="72" customHeight="1" s="59">
      <c r="A37"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7" s="65" t="n"/>
    </row>
    <row r="38" ht="125.6" customHeight="1" s="59">
      <c r="A38"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8" s="65" t="n"/>
    </row>
    <row r="39" ht="58.6" customHeight="1" s="59">
      <c r="A39"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9" s="65" t="n"/>
    </row>
    <row r="40" ht="58.6" customHeight="1" s="59">
      <c r="A4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40" s="65" t="n"/>
    </row>
    <row r="41" ht="45.2" customHeight="1" s="59">
      <c r="A41"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41" s="65" t="n"/>
    </row>
    <row r="42" ht="85.40000000000001" customHeight="1" s="59">
      <c r="A42" s="68" t="inlineStr">
        <is>
          <t>•  BEST OVERALL FIT — REVISED. Midwest Research Swine (Glencoe MN) is a porcine-ONLY abattoir already harvesting whole organs and tissue for biomedical/xeno research, closed herd — structurally it is your exact operation. But two claims about it have been corrected. VOLUME: FSIS records the establishment (M40110, Collagen Solutions (US) LLC DBA Evergen) at slaughter_volume_category 2 = 1,000-9,999 head per 360 days, a ceiling of ~192/wk. The '~385 hogs/week' figure is not supported. LICENCE: the 'holds USDA APHIS licenses' claim conflates two different things — an APHIS Animal Welfare Act licence is not an APHIS Veterinary Services export listing, and only the latter matters for EU-bound product. Its real value to you is as a comparator and a make-vs-buy price check, not as a volume lane. The volume lane is in eastern North Carolina.</t>
        </is>
      </c>
      <c r="B42" s="65" t="n"/>
    </row>
    <row r="43" ht="45.2" customHeight="1" s="59">
      <c r="A43"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3" s="65" t="n"/>
    </row>
    <row r="44" ht="98.8" customHeight="1" s="59">
      <c r="A44"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44" s="65" t="n"/>
    </row>
    <row r="45" ht="45.2" customHeight="1" s="59">
      <c r="A45"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5" s="65" t="n"/>
    </row>
    <row r="46" ht="98.8" customHeight="1" s="59">
      <c r="A46"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46" s="65" t="n"/>
    </row>
    <row r="47" ht="72" customHeight="1" s="59">
      <c r="A47"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7" s="65" t="n"/>
    </row>
    <row r="48" ht="58.6" customHeight="1" s="59">
      <c r="A48"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8" s="65" t="n"/>
    </row>
    <row r="49" ht="45.2" customHeight="1" s="59">
      <c r="A49"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9" s="65" t="n"/>
    </row>
    <row r="50" ht="58.6" customHeight="1" s="59">
      <c r="A50"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50" s="65" t="n"/>
    </row>
    <row r="51" ht="45.2" customHeight="1" s="59">
      <c r="A51"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51" s="65" t="n"/>
    </row>
    <row r="52" ht="72" customHeight="1" s="59">
      <c r="A52"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2" s="65" t="n"/>
    </row>
    <row r="53" ht="45.2" customHeight="1" s="59">
      <c r="A53"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3" s="65" t="n"/>
    </row>
    <row r="54" ht="31.8" customHeight="1" s="59">
      <c r="A54"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4" s="65" t="n"/>
    </row>
    <row r="55" ht="31.8" customHeight="1" s="59">
      <c r="A55"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5" s="65" t="n"/>
    </row>
  </sheetData>
  <mergeCells count="40">
    <mergeCell ref="A48:B48"/>
    <mergeCell ref="A30:B30"/>
    <mergeCell ref="A51:B51"/>
    <mergeCell ref="A49:B49"/>
    <mergeCell ref="A45:B45"/>
    <mergeCell ref="A36:B36"/>
    <mergeCell ref="A1:B1"/>
    <mergeCell ref="A6:B6"/>
    <mergeCell ref="A54:B54"/>
    <mergeCell ref="A16:B16"/>
    <mergeCell ref="A25:B25"/>
    <mergeCell ref="A41:B41"/>
    <mergeCell ref="A37:B37"/>
    <mergeCell ref="A46:B46"/>
    <mergeCell ref="A27:B27"/>
    <mergeCell ref="A55:B55"/>
    <mergeCell ref="A12:B12"/>
    <mergeCell ref="A50:B50"/>
    <mergeCell ref="A26:B26"/>
    <mergeCell ref="A2:B2"/>
    <mergeCell ref="A33:B33"/>
    <mergeCell ref="A47:B47"/>
    <mergeCell ref="A5:B5"/>
    <mergeCell ref="A42:B42"/>
    <mergeCell ref="A32:B32"/>
    <mergeCell ref="A23:B23"/>
    <mergeCell ref="A53:B53"/>
    <mergeCell ref="A22:B22"/>
    <mergeCell ref="A35:B35"/>
    <mergeCell ref="A4:B4"/>
    <mergeCell ref="A38:B38"/>
    <mergeCell ref="A29:B29"/>
    <mergeCell ref="A52:B52"/>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2.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F62"/>
  <sheetViews>
    <sheetView showGridLines="0" topLeftCell="A33" workbookViewId="0">
      <selection activeCell="A13" sqref="A13"/>
    </sheetView>
  </sheetViews>
  <sheetFormatPr baseColWidth="8" defaultRowHeight="14.4"/>
  <cols>
    <col width="30" customWidth="1" style="59" min="1" max="1"/>
    <col width="62" customWidth="1" style="59" min="2" max="2"/>
    <col width="28" customWidth="1" style="59" min="3" max="3"/>
    <col width="16" customWidth="1" style="59" min="4" max="4"/>
    <col width="12" customWidth="1" style="59" min="5" max="6"/>
    <col width="12" customWidth="1" style="59" min="6" max="6"/>
  </cols>
  <sheetData>
    <row r="1" ht="25.1" customHeight="1" s="59">
      <c r="A1" s="117" t="inlineStr">
        <is>
          <t>Action Items — next steps to pick the slaughterhouse</t>
        </is>
      </c>
    </row>
    <row r="2" ht="31.8"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58.6"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79.2"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246.2"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72"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85.40000000000001"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85.40000000000001"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65.8"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58.6"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85.40000000000001" customHeight="1" s="59">
      <c r="A17" s="4" t="inlineStr">
        <is>
          <t>1. Nahunta Slaughter House  (NC state P-80A)
Pikeville, NC</t>
        </is>
      </c>
      <c r="B17" s="68" t="inlineStr">
        <is>
          <t>LANE 1 — ANCHOR, AND NOW EXPORTABLE. APHIS accepts NC state inspection as equivalent, so product harvested here CAN form part of a model exported to the EU once it is assembled at ATM. Only candidate with a PUBLISHED research-specimen pathway, and fresh spleens/hearts/livers as retail SKUs — viscera leave the kill floor intact. Culture benchmark. 0 mi from the anchor.</t>
        </is>
      </c>
      <c r="C17" s="68" t="inlineStr">
        <is>
          <t>(919) 242-4735
bpierce@nahuntapork.com (GM Brandon Pierce)
nahuntapork.com/specimen-permits1</t>
        </is>
      </c>
      <c r="D17" s="68" t="inlineStr">
        <is>
          <t>Short site/call RFQ/P</t>
        </is>
      </c>
      <c r="E17" s="5" t="n"/>
      <c r="F17" s="5" t="inlineStr">
        <is>
          <t>Not started</t>
        </is>
      </c>
    </row>
    <row r="18" ht="98.8" customHeight="1" s="59">
      <c r="A18" s="4" t="inlineStr">
        <is>
          <t>2. Parks Family Meats, LLC  (M18296A, Talmadge-Aiken)
Warsaw, NC</t>
        </is>
      </c>
      <c r="B18" s="68" t="inlineStr">
        <is>
          <t>★★ NEW #2 — the strongest Model A structure verified in the state. FSIS records it slaughter_or_processing_only = SLAUGHTER: a pure kill floor, no processing attached. Market hogs AND roasters both flagged, so market-weight anatomy is available. 400-1,000/wk (company-stated), FSIS category 3. 20 staff, one 15,000 sq ft floor, ONE decision-maker. 45 road miles. Talmadge-Aiken = federal inspection, so interstate- and export-eligible.</t>
        </is>
      </c>
      <c r="C18" s="68" t="inlineStr">
        <is>
          <t>PLANT: Kevin Krum, COO (910) 290-0075
kevin.krum@parkslivestock.com
Plant Sup. Albino Cardoso (910) 284-2354</t>
        </is>
      </c>
      <c r="D18" s="68" t="inlineStr">
        <is>
          <t>Formatted email RFQ/P</t>
        </is>
      </c>
      <c r="E18" s="5" t="n"/>
      <c r="F18" s="5" t="inlineStr">
        <is>
          <t>Not started</t>
        </is>
      </c>
    </row>
    <row r="19" ht="72" customHeight="1" s="59">
      <c r="A19" s="4" t="inlineStr">
        <is>
          <t>3. Martin's Pork Products, Inc.  (M6720, Talmadge-Aiken)
Falcon, NC</t>
        </is>
      </c>
      <c r="B19" s="68" t="inlineStr">
        <is>
          <t>LANE 2 — the incumbent. Market hogs (plus boar/stag), federally inspected, export-structurally eligible, 45 road miles. ASK ON THE CALL: the company-stated 1,500-2,500/wk tops out ABOVE the FSIS category-3 ceiling of ~1,917/wk — get the actual head count, because that single number decides whether Martin's or Parks anchors the lane.</t>
        </is>
      </c>
      <c r="C19" s="68" t="inlineStr">
        <is>
          <t>(910) 980-1501
beth@martinspork.com
President: Beth Holmes</t>
        </is>
      </c>
      <c r="D19" s="68" t="inlineStr">
        <is>
          <t>Formatted email RFQ/P</t>
        </is>
      </c>
      <c r="E19" s="5" t="n"/>
      <c r="F19" s="5" t="inlineStr">
        <is>
          <t>Not started</t>
        </is>
      </c>
    </row>
    <row r="20" ht="165.8" customHeight="1" s="59">
      <c r="A20" s="4" t="inlineStr">
        <is>
          <t>4. Custom Quality Packers, LLC  (M20129)
Sims, NC</t>
        </is>
      </c>
      <c r="B20" s="68" t="inlineStr">
        <is>
          <t>PROMOTED from #9. All three 'unknown' fields are now closed: ACTIVE FEDERAL grant M20129 (TA-20129 in the NCDA&amp;CS TA directory — Talmadge-Aiken, i.e. federal inspection via state staff), market + roaster swine flagged, FSIS category 3 = 192-1,917/wk which brackets the ~500/wk company figure. 45 road miles. Anchors the WILSON COUNTY CLUSTER with Flowers Slaughter House (M21747) — aggregation only works if the plants share one crew, and these two do. ⚠ ADDED 2026-08-17: four humane-handling actions 2018-2020 (two suspensions; PETA HMSA probe request 6/11/2020; all abeyed within days; clean FY24-FY26Q2) — complete the NR FOIA and a welfare audit BEFORE scaling CQP into the organ host. Lever: Twitty can contract-raise hogs to our spec via Nash Pigg Farms.</t>
        </is>
      </c>
      <c r="C20" s="68" t="inlineStr">
        <is>
          <t>(252) 235-3558</t>
        </is>
      </c>
      <c r="D20" s="68" t="inlineStr">
        <is>
          <t>Short site/call RFQ/P</t>
        </is>
      </c>
      <c r="E20" s="5" t="n"/>
      <c r="F20" s="5" t="inlineStr">
        <is>
          <t>Not started</t>
        </is>
      </c>
    </row>
    <row r="21" ht="85.40000000000001" customHeight="1" s="59">
      <c r="A21" s="4" t="inlineStr">
        <is>
          <t>5. Smithfield BioScience
Tar Heel, NC (M18079) / Denison, IA (M717)</t>
        </is>
      </c>
      <c r="B21" s="68" t="inlineStr">
        <is>
          <t>LANE 3 — the ONLY verified organ programme in the study (aortas, valves, pericardium, peritoneum, mucosa, pancreas, pituitary, tendons) plus existing EU pharmaceutical trade and an export-certified voluntary grant. Approach as BOTH a supply option AND competitive intelligence. Price their blocks against our TTLC, not against our acquisition cost.</t>
        </is>
      </c>
      <c r="C21" s="68" t="inlineStr">
        <is>
          <t>smithfieldbioscience.com</t>
        </is>
      </c>
      <c r="D21" s="68" t="inlineStr">
        <is>
          <t>Short site RFQ/P</t>
        </is>
      </c>
      <c r="E21" s="5" t="n"/>
      <c r="F21" s="5" t="inlineStr">
        <is>
          <t>Not started</t>
        </is>
      </c>
    </row>
    <row r="22" ht="125.6" customHeight="1" s="59">
      <c r="A22" s="4" t="inlineStr">
        <is>
          <t>6. Larry's Sausage Co. (M8305)  ★ PROMOTED
Fayetteville, NC</t>
        </is>
      </c>
      <c r="B22" s="68" t="inlineStr">
        <is>
          <t>★ PROMOTED BY THE 2026-08-17 PASS — the best structural organ add in eastern NC: the region's only established swine-only, SOW-class federal floor at meaningful volume (cat 2 = 19-192 sows/wk), family-run since 1952, ~20 min from Martin's, 65 road mi. Sows are killed for sausage meat, so organs/aortas are NOT their product. GATE: the sow-vs-market-hog anatomical decision (still internal, still unanswered). Replaces Kansas City Sausage / Godwin, which is RESOLVED DEAD (M760A inactive 9/3/2024; zero establishments at the site in the active OR inactive FSIS directories).</t>
        </is>
      </c>
      <c r="C22" s="68" t="inlineStr">
        <is>
          <t>(910) 483-5148
office hours Tue 9-3
larryssausage.com</t>
        </is>
      </c>
      <c r="D22" s="68" t="inlineStr">
        <is>
          <t>Short site/call RFQ/P</t>
        </is>
      </c>
      <c r="E22" s="5" t="n"/>
      <c r="F22" s="5" t="inlineStr">
        <is>
          <t>Not started</t>
        </is>
      </c>
    </row>
    <row r="23" ht="72" customHeight="1" s="59">
      <c r="A23" s="4" t="inlineStr">
        <is>
          <t>7. Wampler's Farm Sausage Co.  (M9065)
Lenoir City, TN</t>
        </is>
      </c>
      <c r="B23" s="68" t="inlineStr">
        <is>
          <t>MODEL B — real federal grant, real kill floor, market hogs AND sows flagged, FSIS category 3, ~1,500/wk. Family-owned since 1937. Two caveats: production hiring routes through three staffing agencies at $12-14/hr, against your tenure criterion; and it is outside the 120-mile Model A radius, so treat as Model B or a secondary lane.</t>
        </is>
      </c>
      <c r="C23" s="68" t="inlineStr">
        <is>
          <t>(865) 986-2056  (plant line, NOT 1-800-SAUSAGE)</t>
        </is>
      </c>
      <c r="D23" s="68" t="inlineStr">
        <is>
          <t>Formatted email RFQ/P</t>
        </is>
      </c>
      <c r="E23" s="5" t="n"/>
      <c r="F23" s="5" t="inlineStr">
        <is>
          <t>Not started</t>
        </is>
      </c>
    </row>
    <row r="24" ht="85.40000000000001" customHeight="1" s="59">
      <c r="A24" s="4" t="inlineStr">
        <is>
          <t>8. EcoFriendly Foods, LLC  (M21938)
Moneta, VA</t>
        </is>
      </c>
      <c r="B24" s="68" t="inlineStr">
        <is>
          <t>REPLACES GUNNOE AS THE VIRGINIA ENTRY. Upgraded on primary data: ALL FOUR swine classes flagged (market, sow, roaster, boar/stag) and FSIS category 3 = 192-1,917/wk — a genuine medium-band plant, not the boutique operation the roster implied. With Gunnoe refuted and T&amp;E/Honest Meats excluded on humane-handling grounds, this is now the strongest VA candidate. Out of state, so Model B.</t>
        </is>
      </c>
      <c r="C24" s="68" t="inlineStr">
        <is>
          <t>Moneta, VA — Est. M21938 + P21938</t>
        </is>
      </c>
      <c r="D24" s="68" t="inlineStr">
        <is>
          <t>Short site/call RFQ/P</t>
        </is>
      </c>
      <c r="E24" s="5" t="n"/>
      <c r="F24" s="5" t="inlineStr">
        <is>
          <t>Not started</t>
        </is>
      </c>
    </row>
    <row r="25" ht="58.6" customHeight="1" s="59">
      <c r="A25" s="4" t="inlineStr">
        <is>
          <t>9. Underground Slaughter LLC  (M51351)
Walling, TN</t>
        </is>
      </c>
      <c r="B25" s="68" t="inlineStr">
        <is>
          <t>NEW — was sitting at 'unknown' on the roster and is in fact one of the few genuinely medium-band plants in Tennessee: active federal grant, market hogs AND sows flagged, FSIS category 3 = 192-1,917/wk. Never contacted. Worth one call on the Model B track.</t>
        </is>
      </c>
      <c r="C25" s="68" t="inlineStr">
        <is>
          <t>Walling, TN — Est. M51351 + P51351</t>
        </is>
      </c>
      <c r="D25" s="68" t="inlineStr">
        <is>
          <t>Short site/call RFQ/P</t>
        </is>
      </c>
      <c r="E25" s="5" t="n"/>
      <c r="F25" s="5" t="inlineStr">
        <is>
          <t>Not started</t>
        </is>
      </c>
    </row>
    <row r="26" ht="85.40000000000001" customHeight="1" s="59">
      <c r="A26" s="4" t="inlineStr">
        <is>
          <t>10. Flowers Slaughter House  (M21747)
Sims, NC</t>
        </is>
      </c>
      <c r="B26" s="68" t="inlineStr">
        <is>
          <t>CLUSTER PARTNER, not a standalone lane. Active federal grant, market hogs and boar/stag flagged, FSIS category 2 = ~19-192/wk. 45 road miles, in the same town as Custom Quality Packers — the two together are what makes a Wilson County crew day work. NOTE: the roster's separate 'George Flowers Slaughter House' entry is the SAME establishment, now marked as a duplicate.</t>
        </is>
      </c>
      <c r="C26" s="68" t="inlineStr">
        <is>
          <t>(252) 237-2982</t>
        </is>
      </c>
      <c r="D26" s="68" t="inlineStr">
        <is>
          <t>Short site/call RFQ/P</t>
        </is>
      </c>
      <c r="E26" s="5" t="n"/>
      <c r="F26" s="5" t="inlineStr">
        <is>
          <t>Not started</t>
        </is>
      </c>
    </row>
    <row r="27" ht="112.2" customHeight="1" s="59">
      <c r="A27" s="4" t="inlineStr">
        <is>
          <t>11. McLamb's Abattoir (P-247) + Gale McLamb Meats (P-221)
Benson + Dunn, NC — the I-95 state pair</t>
        </is>
      </c>
      <c r="B27" s="68" t="inlineStr">
        <is>
          <t>★ NEW FINDS 2026-08-17 — two state-inspected swine floors on the I-95 corridor that no pass had ever surfaced: McLamb's Abattoir (Benson, Johnston Co., operator Shane Lee, ~37 road mi) and Gale McLamb Meats (Dunn, Harnett Co., family plant since 1980, ~44 road mi). Closer than Parks, Martin's or CQP; same NC-state APHIS-equivalent path as Nahunta. Volumes unknown (state plants publish none) — one call each closes it. Play the Nahunta playbook: relationship-first, our crew on site.</t>
        </is>
      </c>
      <c r="C27" s="68" t="inlineStr">
        <is>
          <t>McLamb's: (919) 894-2587
Gale McLamb: (910) 892-7279</t>
        </is>
      </c>
      <c r="D27" s="68" t="inlineStr">
        <is>
          <t>Short site/call RFQ/P</t>
        </is>
      </c>
      <c r="E27" s="5" t="n"/>
      <c r="F27" s="5" t="inlineStr">
        <is>
          <t>Not started</t>
        </is>
      </c>
    </row>
    <row r="28" ht="72" customHeight="1" s="59">
      <c r="A28" s="4" t="inlineStr">
        <is>
          <t>12. Williamsburg Packing  (M4005)
Kingstree, SC</t>
        </is>
      </c>
      <c r="B28" s="68" t="inlineStr">
        <is>
          <t>ONE speculative call only, and last in the order. Its voluntary grant V4005 is the mechanism used for non-amenable species — directly relevant to research tissue, which is the entire reason to call. Welfare certifications were REFUTED, so do not lead with those. Out of the 120-mile radius.</t>
        </is>
      </c>
      <c r="C28" s="68" t="inlineStr">
        <is>
          <t>(843) 355-6447</t>
        </is>
      </c>
      <c r="D28" s="68" t="inlineStr">
        <is>
          <t>Short site/call RFQ/P</t>
        </is>
      </c>
      <c r="E28" s="5" t="n"/>
      <c r="F28" s="5" t="inlineStr">
        <is>
          <t>Not started</t>
        </is>
      </c>
    </row>
    <row r="29" ht="53.2" customHeight="1" s="59">
      <c r="A29" s="60" t="inlineStr">
        <is>
          <t>•  SECONDARY (parallel track): get 1-2 buy-direct BENCHMARK quotes to price-check self-harvest — Tissue Source and Smithfield BioScience. AVOID Innovative Research for EU-bound product (research-use-only labelling is a likely EU blocker). Note that MIDWEST RESEARCH SWINE resolves to Est. M40110, Collagen Solutions (US) LLC DBA Evergen, Glencoe MN — FSIS category 2, so a ~192/wk ceiling, not the ~385/wk the roster carried. Its value is as a comparator and a make-vs-buy price check, not as a volume lane. Also call SIG INTERNATIONAL (Boyden IA, M20748 + V20748) — market hogs, FSIS category 3, and it carries a Certification-Export activity, which matters for anything EU-bound.</t>
        </is>
      </c>
    </row>
    <row r="30" ht="101.5" customHeight="1" s="59">
      <c r="A30" s="60" t="inlineStr">
        <is>
          <t>•  REMOVED FROM THE CONTACT ORDER BY THE FSIS PRIMARY-DATA SWEEP (do NOT reach): GUNNOE SAUSAGE CO. (Goode VA) — was #5. No establishment named 'Gunnoe' exists anywhere in the FSIS MPI directory and nothing is listed at Goode VA; the '~450/wk dedicated sow slaughterhouse since 1965' profile cannot be attached to an inspected establishment. BASS FARMS, INC. (M3521, Spring Hope NC) — was #4. Three claims refuted: it is federal M3521 not 'TA-3521' (and the grant IS live, which closes that open question); it is NOT 'slaughter only' — FSIS records slaughter AND processing, processing category 4, DBA 'Bass Farm Sausage', i.e. a sausage business with a small kill floor, not the 'purest Model A structure in the state'; and slaughter_volume_category = 1 = FEWER THAN 1,000 HEAD PER YEAR, under ~19/wk. It is also sow-only. Its value, if any, is as a PROCESSOR. TRIAD MEAT CUSTOM PROCESSING (Madison NC) — the only FSIS slaughter establishment at Madison is Triad Halal Meats (M46085), with NO swine flags of any kind. CAUGHMAN'S MEAT PLANT (Lexington SC) and SESSOMS PACKING (Ahoskie NC) — both carried USDA labels with nothing behind them; neither appears in the FSIS MPI directory. ⚠ 2026-08-17 FINAL: the Godwin question is CLOSED — KCS's own establishment M760A went inactive 9/3/2024 and no establishment exists at the site in the active or inactive directories. Also closed: Country Slaughter &amp; Meats (M32012 inactive 6/24/2025) and Assured Community Processing (M2123 inactive 11/10/2025) — the earlier 'number not found' mysteries were both closures.</t>
        </is>
      </c>
    </row>
    <row r="31" ht="53.2" customHeight="1" s="59">
      <c r="A31" s="60" t="inlineStr">
        <is>
          <t>•  ALSO REMOVED BY ADVERSARIAL VERIFICATION (unchanged): T&amp;E MEATS / HONEST MEATS, Harrisonburg VA — now confirmed as Est. M7420 + V7420, the same establishment number on the 2024 humane-handling Notice of Suspension documents on file, so the exclusion attaches to a verified establishment rather than a name guess. A hog regained consciousness on the bleed rail; a repeat egregious event after corrections had been accepted. DO NOT REACH. PIEDMONT CUSTOM MEATS — FSIS category 2 at the Gibsonville slaughter site (~192/wk ceiling); the Asheboro establishment is processing-only with no swine flags. ACRE STATION — FSIS category 2 caps it at ~192/wk, not 400/wk; but note the 'custom exempt' worry is REFUTED, the federal grant M19904 + P19904 is active.</t>
        </is>
      </c>
    </row>
    <row r="32" ht="15" customHeight="1" s="59"/>
    <row r="33" ht="19.7" customHeight="1" s="59">
      <c r="A33" s="118" t="inlineStr">
        <is>
          <t>RFQ/P — EMAIL TEMPLATE  (copy-paste for email contacts; fill the [brackets])</t>
        </is>
      </c>
    </row>
    <row r="34" ht="18.4" customHeight="1" s="59">
      <c r="A34" s="63" t="inlineStr">
        <is>
          <t>Subject:  Request for Quote / Proposal — Recurring Porcine Tissue Harvesting Partnership</t>
        </is>
      </c>
      <c r="B34" s="64" t="n"/>
      <c r="C34" s="64" t="n"/>
      <c r="D34" s="64" t="n"/>
      <c r="E34" s="64" t="n"/>
      <c r="F34" s="65" t="n"/>
    </row>
    <row r="35" ht="18.4" customHeight="1" s="59">
      <c r="A35" s="58" t="inlineStr">
        <is>
          <t>Hello [Name],</t>
        </is>
      </c>
    </row>
    <row r="36" ht="31.8" customHeight="1" s="59">
      <c r="A36"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7" ht="18.4" customHeight="1" s="59">
      <c r="A37" s="58" t="inlineStr">
        <is>
          <t>We can structure the arrangement either way and would welcome your input:</t>
        </is>
      </c>
    </row>
    <row r="38" ht="18.4" customHeight="1" s="59">
      <c r="A38" s="58" t="inlineStr">
        <is>
          <t xml:space="preserve">   • Model A — our trained technicians harvest on-site; we rent line/cooler access (by visit or by piece).</t>
        </is>
      </c>
    </row>
    <row r="39" ht="18.4" customHeight="1" s="59">
      <c r="A39" s="58" t="inlineStr">
        <is>
          <t xml:space="preserve">   • Model B — your team harvests to our written protocol; we send trainers/inspectors to qualify and audit.</t>
        </is>
      </c>
    </row>
    <row r="40" ht="18.4" customHeight="1" s="59">
      <c r="A40" s="58" t="inlineStr">
        <is>
          <t>Could you please share:</t>
        </is>
      </c>
    </row>
    <row r="41" ht="18.4" customHeight="1" s="59">
      <c r="A41" s="58" t="inlineStr">
        <is>
          <t xml:space="preserve">   1. Approximate hogs slaughtered per week, and whether you can add head for us.</t>
        </is>
      </c>
    </row>
    <row r="42" ht="18.4" customHeight="1" s="59">
      <c r="A42" s="58" t="inlineStr">
        <is>
          <t xml:space="preserve">   2. USDA/FSIS inspection status (establishment #) and any APHIS export listing (we may export finished models to the EU).</t>
        </is>
      </c>
    </row>
    <row r="43" ht="18.4" customHeight="1" s="59">
      <c r="A43" s="58" t="inlineStr">
        <is>
          <t xml:space="preserve">   3. Which organs/tissues you currently harvest vs. send to rendering, and whether we can collect pelvic/abdominal/thoracic blocks at the kill.</t>
        </is>
      </c>
    </row>
    <row r="44" ht="18.4" customHeight="1" s="59">
      <c r="A44" s="58" t="inlineStr">
        <is>
          <t xml:space="preserve">   4. Pricing — Model A: per-visit access/rental or per-piece; Model B: per-piece harvest fee.</t>
        </is>
      </c>
    </row>
    <row r="45" ht="18.4" customHeight="1" s="59">
      <c r="A45" s="58" t="inlineStr">
        <is>
          <t xml:space="preserve">   5. Cooler/hanging space and typical time-to-chill after slaughter (freshness window).</t>
        </is>
      </c>
    </row>
    <row r="46" ht="18.4" customHeight="1" s="59">
      <c r="A46" s="58" t="inlineStr">
        <is>
          <t xml:space="preserve">   6. Your humane-handling program, and any recent USDA humane-handling actions.</t>
        </is>
      </c>
    </row>
    <row r="47" ht="18.4" customHeight="1" s="59">
      <c r="A47" s="58" t="inlineStr">
        <is>
          <t xml:space="preserve">   7. Lead time, minimum commitment, scheduling, and whether an NDA is needed before we share our protocol.</t>
        </is>
      </c>
    </row>
    <row r="48" ht="18.4" customHeight="1" s="59">
      <c r="A48" s="58" t="inlineStr">
        <is>
          <t>We are glad to sign an NDA and to set up a call or a site visit. Thank you — we look forward to your proposal.</t>
        </is>
      </c>
    </row>
    <row r="49" ht="18.4" customHeight="1" s="59">
      <c r="A49" s="58" t="inlineStr">
        <is>
          <t>Best regards,</t>
        </is>
      </c>
    </row>
    <row r="50" ht="18.4" customHeight="1" s="59">
      <c r="A50" s="58" t="inlineStr">
        <is>
          <t>[Your name] · [Title] · [Company] · [Phone] · [Email]</t>
        </is>
      </c>
    </row>
    <row r="51" ht="15" customHeight="1" s="59"/>
    <row r="52" ht="19.7" customHeight="1" s="59">
      <c r="A52" s="118" t="inlineStr">
        <is>
          <t>RFQ/P — SHORT SITE / CALL VERSION  (for phone or website inquiry forms)</t>
        </is>
      </c>
    </row>
    <row r="53" ht="18.4" customHeight="1" s="59">
      <c r="A53" s="58" t="inlineStr">
        <is>
          <t>•  Who we are: biomedical porcine-tissue harvester setting up a recurring program.</t>
        </is>
      </c>
    </row>
    <row r="54" ht="18.4" customHeight="1" s="59">
      <c r="A54" s="58" t="inlineStr">
        <is>
          <t>•  Hogs per week? Can you add head for us? Steady year-round?</t>
        </is>
      </c>
    </row>
    <row r="55" ht="18.4" customHeight="1" s="59">
      <c r="A55" s="58" t="inlineStr">
        <is>
          <t>•  USDA/FSIS establishment #? APHIS export listing (we may export to the EU)?</t>
        </is>
      </c>
    </row>
    <row r="56" ht="18.4" customHeight="1" s="59">
      <c r="A56" s="58" t="inlineStr">
        <is>
          <t>•  Which organs are saved vs. rendered? Can we collect pelvic / abdominal / thoracic blocks at the kill?</t>
        </is>
      </c>
    </row>
    <row r="57" ht="18.4" customHeight="1" s="59">
      <c r="A57" s="58" t="inlineStr">
        <is>
          <t>•  Would you HOST our harvesters (Model A — rent by visit or by piece) OR harvest to our spec (Model B)?</t>
        </is>
      </c>
    </row>
    <row r="58" ht="18.4" customHeight="1" s="59">
      <c r="A58" s="58" t="inlineStr">
        <is>
          <t>•  Ballpark pricing (per-visit rental or per-piece)?</t>
        </is>
      </c>
    </row>
    <row r="59" ht="18.4" customHeight="1" s="59">
      <c r="A59" s="58" t="inlineStr">
        <is>
          <t>•  Cooler space + time-to-chill after slaughter (freshness window)?</t>
        </is>
      </c>
    </row>
    <row r="60" ht="18.4" customHeight="1" s="59">
      <c r="A60" s="58" t="inlineStr">
        <is>
          <t>•  Lead time, minimum commitment, NDA needed?</t>
        </is>
      </c>
    </row>
    <row r="61" ht="18.4" customHeight="1" s="59">
      <c r="A61" s="58" t="inlineStr">
        <is>
          <t>•  Best contact name + email to send a written RFQ/P.</t>
        </is>
      </c>
    </row>
    <row r="62" ht="17.1" customHeight="1" s="59">
      <c r="A62" s="66" t="inlineStr">
        <is>
          <t>Once a plant responds, use the 'Call Question Sheet' tab to fully qualify them, and log key data back to the 'Supplier Roster'.</t>
        </is>
      </c>
    </row>
  </sheetData>
  <mergeCells count="36">
    <mergeCell ref="A41:F41"/>
    <mergeCell ref="A54:F54"/>
    <mergeCell ref="A46:F46"/>
    <mergeCell ref="A37:F37"/>
    <mergeCell ref="A56:F56"/>
    <mergeCell ref="A50:F50"/>
    <mergeCell ref="A55:F55"/>
    <mergeCell ref="A57:F57"/>
    <mergeCell ref="A33:F33"/>
    <mergeCell ref="A2:F2"/>
    <mergeCell ref="A47:F47"/>
    <mergeCell ref="A42:F42"/>
    <mergeCell ref="A35:F35"/>
    <mergeCell ref="A4:F4"/>
    <mergeCell ref="A62:F62"/>
    <mergeCell ref="A53:F53"/>
    <mergeCell ref="A29:F29"/>
    <mergeCell ref="A43:F43"/>
    <mergeCell ref="A38:F38"/>
    <mergeCell ref="A52:F52"/>
    <mergeCell ref="A44:F44"/>
    <mergeCell ref="A31:F31"/>
    <mergeCell ref="A58:F58"/>
    <mergeCell ref="A40:F40"/>
    <mergeCell ref="A34:F34"/>
    <mergeCell ref="A48:F48"/>
    <mergeCell ref="A30:F30"/>
    <mergeCell ref="A39:F39"/>
    <mergeCell ref="A15:F15"/>
    <mergeCell ref="A59:F59"/>
    <mergeCell ref="A49:F49"/>
    <mergeCell ref="A60:F60"/>
    <mergeCell ref="A36:F36"/>
    <mergeCell ref="A1:F1"/>
    <mergeCell ref="A45:F45"/>
    <mergeCell ref="A61:F61"/>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4.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B63"/>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45.2" customHeight="1" s="59">
      <c r="A35" s="170" t="inlineStr">
        <is>
          <t>★ CURRENT SUPPLIER</t>
        </is>
      </c>
      <c r="B35" s="130" t="inlineStr">
        <is>
          <t>Added 2026-08-17. One of the five plants the client works with today: Nahunta, Martin's, Custom Quality Packers (client harvesters on site at all three), Parks (low-quantity roaster work) and Villari (leaf fat only). Ground truth from the client, 2026-08-17; blue fill in the Fit column.</t>
        </is>
      </c>
    </row>
    <row r="36" ht="45.2" customHeight="1" s="59">
      <c r="A36" s="170" t="inlineStr">
        <is>
          <t>WATCH</t>
        </is>
      </c>
      <c r="B36" s="130" t="inlineStr">
        <is>
          <t>Added 2026-08-17. Not usable today but worth tracking — e.g. Bass Farms (brand-new sow-only grant, organs going to waste, micro volume) and Caudle Meat (NCAMPI grantee with no inspection grant yet — possible new Greene Co. capacity).</t>
        </is>
      </c>
    </row>
    <row r="37" ht="31.8" customHeight="1" s="59">
      <c r="A37" s="90" t="inlineStr">
        <is>
          <t>❌ DOMESTIC ONLY
(WITHDRAWN)</t>
        </is>
      </c>
      <c r="B37" s="130" t="inlineStr">
        <is>
          <t>NO LONGER IN USE. This marker was applied to Nahunta and state-inspected plants before APHIS confirmed that NC state inspection counts as equivalent. Nahunta output can go international. Disregard any domestic-only marking.</t>
        </is>
      </c>
    </row>
    <row r="38" ht="15" customHeight="1" s="59"/>
    <row r="39" ht="19.7" customHeight="1" s="59">
      <c r="A39" s="87" t="inlineStr">
        <is>
          <t>UPDATED AFTER THE MEETING (2026-08)</t>
        </is>
      </c>
    </row>
    <row r="40" ht="31.8" customHeight="1" s="59">
      <c r="A40" s="88" t="inlineStr">
        <is>
          <t>✅ Path 1 — WE HARVEST</t>
        </is>
      </c>
      <c r="B40" s="56" t="inlineStr">
        <is>
          <t>Slaughterhouse we harvest at. Needs USDA/FSIS inspection only; APHIS NOT required of the plant. Model assembled at ATM carries the export.</t>
        </is>
      </c>
    </row>
    <row r="41" ht="31.8" customHeight="1" s="59">
      <c r="A41" s="89" t="inlineStr">
        <is>
          <t>⛔ Path 2 — DIRECT SUPPLY</t>
        </is>
      </c>
      <c r="B41" s="56" t="inlineStr">
        <is>
          <t>Supplier ships us finished tissue blocks. APHIS certification IS REQUIRED — a gating requirement for every direct tissue supplier.</t>
        </is>
      </c>
    </row>
    <row r="42" ht="15" customHeight="1" s="59">
      <c r="A42" s="131" t="n"/>
      <c r="B42" s="56" t="n"/>
    </row>
    <row r="43" ht="15" customHeight="1" s="59"/>
    <row r="44" ht="19.7" customHeight="1" s="59">
      <c r="A44" s="100" t="inlineStr">
        <is>
          <t>MODEL A PROXIMITY &amp; STATE-INSPECTION SCOPE</t>
        </is>
      </c>
    </row>
    <row r="45" ht="31.8" customHeight="1" s="59">
      <c r="A45" s="88" t="inlineStr">
        <is>
          <t>YES (est.)</t>
        </is>
      </c>
      <c r="B45" s="56" t="inlineStr">
        <is>
          <t>Within ~120 miles — PREFERRED for Model A. Same-day round trip, and can share one crew with other plants in the radius.</t>
        </is>
      </c>
    </row>
    <row r="46" ht="18.4" customHeight="1" s="59">
      <c r="A46" s="89" t="inlineStr">
        <is>
          <t>NO / NO (est.)</t>
        </is>
      </c>
      <c r="B46" s="56" t="inlineStr">
        <is>
          <t>Outside ~120 miles. Model A becomes costly; treat Model B (they harvest to our spec) as the default for these.</t>
        </is>
      </c>
    </row>
    <row r="47" ht="31.8" customHeight="1" s="59">
      <c r="A47" s="113" t="inlineStr">
        <is>
          <t>mixed / confirm</t>
        </is>
      </c>
      <c r="B47" s="56" t="inlineStr">
        <is>
          <t>A roll-up spanning several locations, or a plant whose distance has not been measured. Resolve on the qualifying call.</t>
        </is>
      </c>
    </row>
    <row r="48" ht="31.8" customHeight="1" s="59">
      <c r="A48" s="88" t="inlineStr">
        <is>
          <t>NC state = equivalent</t>
        </is>
      </c>
      <c r="B48" s="56" t="inlineStr">
        <is>
          <t>APHIS accepts NC state inspection as equivalent to federal. ONLY NC — state inspection in any other state is NOT accepted.</t>
        </is>
      </c>
    </row>
    <row r="49" ht="15" customHeight="1" s="59"/>
    <row r="50" ht="19.7" customHeight="1" s="59">
      <c r="A50" s="118" t="inlineStr">
        <is>
          <t>ANIMAL CLASS (FSIS FLAGS) — read this column before anything else</t>
        </is>
      </c>
    </row>
    <row r="51" ht="58.6" customHeight="1" s="59">
      <c r="A51" s="144" t="inlineStr">
        <is>
          <t>Why it matters</t>
        </is>
      </c>
      <c r="B51"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2" ht="31.8" customHeight="1" s="59">
      <c r="A52" s="144" t="inlineStr">
        <is>
          <t>MARKET</t>
        </is>
      </c>
      <c r="B52" s="11" t="inlineStr">
        <is>
          <t>market_swine_slaughter = Yes. Standard market-weight butcher hogs, roughly 230-290 lb live. This is the class most pelvic / bariatric / thoracic block work assumes. If you only read one flag, read this one.</t>
        </is>
      </c>
    </row>
    <row r="53" ht="45.2" customHeight="1" s="59">
      <c r="A53" s="144" t="inlineStr">
        <is>
          <t>SOW</t>
        </is>
      </c>
      <c r="B53"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4" ht="31.8" customHeight="1" s="59">
      <c r="A54" s="144" t="inlineStr">
        <is>
          <t>ROASTER</t>
        </is>
      </c>
      <c r="B54" s="11" t="inlineStr">
        <is>
          <t>roaster_swine_slaughter = Yes. Juvenile/suckling hogs. Small anatomy; usually only useful for specific paediatric or small-scale training models.</t>
        </is>
      </c>
    </row>
    <row r="55" ht="31.8" customHeight="1" s="59">
      <c r="A55" s="144" t="inlineStr">
        <is>
          <t>boar/stag</t>
        </is>
      </c>
      <c r="B55" s="11" t="inlineStr">
        <is>
          <t>boar_stag_swine_slaughter = Yes. Intact or castrated males, usually a small side-line of a market-hog plant. Rarely the reason to pick a plant, but it tells you the floor can handle heavy carcasses.</t>
        </is>
      </c>
    </row>
    <row r="56" ht="45.2" customHeight="1" s="59">
      <c r="A56" s="144" t="inlineStr">
        <is>
          <t>NO SWINE FLAGS</t>
        </is>
      </c>
      <c r="B56"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7" ht="19.7" customHeight="1" s="59">
      <c r="A57" s="118" t="inlineStr">
        <is>
          <t>VOLUME — HOW THE WEEKLY CEILINGS WERE DERIVED</t>
        </is>
      </c>
    </row>
    <row r="58" ht="45.2" customHeight="1" s="59">
      <c r="A58" s="144" t="inlineStr">
        <is>
          <t>The mapping</t>
        </is>
      </c>
      <c r="B58"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9" ht="72" customHeight="1" s="59">
      <c r="A59" s="144" t="inlineStr">
        <is>
          <t>How to use it</t>
        </is>
      </c>
      <c r="B59"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60" ht="19.7" customHeight="1" s="59">
      <c r="A60" s="118" t="inlineStr">
        <is>
          <t>OTHER CODES ADDED IN THE 2026-08-06 VERIFICATION PASS</t>
        </is>
      </c>
    </row>
    <row r="61" ht="45.2" customHeight="1" s="59">
      <c r="A61" s="144" t="inlineStr">
        <is>
          <t>DUPLICATE</t>
        </is>
      </c>
      <c r="B61"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2" ht="45.2" customHeight="1" s="59">
      <c r="A62" s="144" t="inlineStr">
        <is>
          <t>YES / NO · ~nn mi</t>
        </is>
      </c>
      <c r="B62"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3" ht="45.2" customHeight="1" s="59">
      <c r="A63" s="144" t="inlineStr">
        <is>
          <t>⚠ Mnnnnn NOT FOUND</t>
        </is>
      </c>
      <c r="B63"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25:B25"/>
    <mergeCell ref="A60:B60"/>
    <mergeCell ref="A57:B57"/>
    <mergeCell ref="A33:B33"/>
    <mergeCell ref="A10:B10"/>
    <mergeCell ref="A44:B44"/>
    <mergeCell ref="A1:B1"/>
    <mergeCell ref="A18:B18"/>
    <mergeCell ref="A3:B3"/>
    <mergeCell ref="A39:B39"/>
    <mergeCell ref="A50:B50"/>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6.xml><?xml version="1.0" encoding="utf-8"?>
<worksheet xmlns="http://schemas.openxmlformats.org/spreadsheetml/2006/main">
  <sheetPr>
    <tabColor rgb="00375623"/>
    <outlinePr summaryBelow="1" summaryRight="1"/>
    <pageSetUpPr fitToPage="1"/>
  </sheetPr>
  <dimension ref="A1:R12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9" customWidth="1" style="59" min="17" max="17"/>
    <col width="95"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20" t="inlineStr">
        <is>
          <t>MEDIUM
(350-2,500/wk)</t>
        </is>
      </c>
      <c r="F6" s="68" t="inlineStr">
        <is>
          <t>Yes — swine
(NC state programme;
no FSIS species flags published)</t>
        </is>
      </c>
      <c r="G6" s="68" t="inlineStr">
        <is>
          <t>STATE only
(NOT USDA)</t>
        </is>
      </c>
      <c r="H6" s="68" t="inlineStr">
        <is>
          <t>None found — and NOTE THE LIMIT: NCDA&amp;CS publishes no searchable state-plant enforcement log and FSIS reporting does not cover state plants, so welfare here is a SITE-VISIT finding. Client's own crews on-site are the best evidence.</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L6" s="68" t="inlineStr">
        <is>
          <t>Yes (already custom-slaughters 3rd-party animals)</t>
        </is>
      </c>
      <c r="M6" s="109" t="inlineStr">
        <is>
          <t>YES · ~0 mi</t>
        </is>
      </c>
      <c r="N6" s="68" t="inlineStr">
        <is>
          <t>Yes</t>
        </is>
      </c>
      <c r="O6" s="68" t="inlineStr">
        <is>
          <t>(919) 242-4735
bpierce@nahuntapork.com
GM Brandon Pierce
nahuntapork.com/specimen-permits1</t>
        </is>
      </c>
      <c r="P6" s="145" t="inlineStr">
        <is>
          <t>★ CURRENT
SUPPLIER</t>
        </is>
      </c>
      <c r="Q6" s="68" t="inlineStr">
        <is>
          <t>High</t>
        </is>
      </c>
      <c r="R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President: Beth Holmes
PO Box 56, 6657 King St, Falcon</t>
        </is>
      </c>
      <c r="P7" s="145" t="inlineStr">
        <is>
          <t>★ CURRENT
SUPPLIER</t>
        </is>
      </c>
      <c r="Q7" s="68" t="inlineStr">
        <is>
          <t>High</t>
        </is>
      </c>
      <c r="R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$85 hog kill + $5.06/head DISPOSAL FEE on their own price sheet — viscera are normally discarded, i.e. organs exist and are being thrown away; recovery is a negotiation, not a rebuild. 150-lb pig minimum (their customer manual).</t>
        </is>
      </c>
      <c r="L9" s="68" t="inlineStr">
        <is>
          <t>★ BEST MODEL A HOST IN THE WEST: purpose-built harvest facility (45,000 sq ft processing at Asheboro; kill floor Gibsonville), Mon-Fri kill days by appointment, slaughter-only structure, 600+ farm clients</t>
        </is>
      </c>
      <c r="M9" s="88" t="inlineStr">
        <is>
          <t>YES · ~116 mi
(borderline)</t>
        </is>
      </c>
      <c r="N9" s="68" t="inlineStr">
        <is>
          <t>Yes — contract harvest plausible</t>
        </is>
      </c>
      <c r="O9" s="68" t="inlineStr">
        <is>
          <t>(336) 628-4949
piedmontcustommeats.com</t>
        </is>
      </c>
      <c r="P9" s="20" t="inlineStr">
        <is>
          <t>STRONG FIT</t>
        </is>
      </c>
      <c r="Q9" s="68" t="inlineStr">
        <is>
          <t>High</t>
        </is>
      </c>
      <c r="R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Own kill floor, slow line, sows on the grant — mechanically plausible, but hogs share the week with cattle/sheep/goats, so dedicated swine-organ days would be limited. Hog kill fee $0.19/lb dressed + $0.84/lb processing (own site).</t>
        </is>
      </c>
      <c r="L10" s="68" t="inlineStr">
        <is>
          <t>Plausible</t>
        </is>
      </c>
      <c r="M10" s="109" t="inlineStr">
        <is>
          <t>YES · ~88 mi</t>
        </is>
      </c>
      <c r="N10" s="68" t="inlineStr">
        <is>
          <t>Plausible</t>
        </is>
      </c>
      <c r="O10" s="68" t="inlineStr">
        <is>
          <t>(252) 927-3700
acrestationmeatfarm.com</t>
        </is>
      </c>
      <c r="P10" s="23" t="inlineStr">
        <is>
          <t>POSSIBLE</t>
        </is>
      </c>
      <c r="Q10" s="68" t="inlineStr">
        <is>
          <t>High</t>
        </is>
      </c>
      <c r="R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delivered via the
Talmadge-Aiken programme —
TA-20129 in the NCDA&amp;CS
TA directory 2026-08-10)</t>
        </is>
      </c>
      <c r="H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
Owner/operator: Barrett Twitty
3571 Friday Rd, Sims NC
(also owns Nash Pigg Farms +
Dean Street Processing, Bailey)</t>
        </is>
      </c>
      <c r="P11" s="145" t="inlineStr">
        <is>
          <t>★ CURRENT
SUPPLIER</t>
        </is>
      </c>
      <c r="Q11" s="83" t="inlineStr">
        <is>
          <t>High</t>
        </is>
      </c>
      <c r="R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68" t="inlineStr">
        <is>
          <t>High</t>
        </is>
      </c>
      <c r="R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68" t="inlineStr">
        <is>
          <t>High</t>
        </is>
      </c>
      <c r="R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68" t="inlineStr">
        <is>
          <t>High</t>
        </is>
      </c>
      <c r="R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68" t="inlineStr">
        <is>
          <t>High</t>
        </is>
      </c>
      <c r="R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68" t="inlineStr">
        <is>
          <t>Med-High</t>
        </is>
      </c>
      <c r="R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Custom abattoir serving farmers/licensed handlers — offal return is standard practice in this class (undocumented). Sow + boar flags = large-frame animals come through.</t>
        </is>
      </c>
      <c r="L17" s="68" t="inlineStr">
        <is>
          <t>Plausible</t>
        </is>
      </c>
      <c r="M17" s="110" t="inlineStr">
        <is>
          <t>NO · ~209 mi</t>
        </is>
      </c>
      <c r="N17" s="68" t="inlineStr">
        <is>
          <t>Plausible</t>
        </is>
      </c>
      <c r="O17" s="68" t="inlineStr">
        <is>
          <t>(336) 667-1346
Owner: Seth Church
abprimecuts.com</t>
        </is>
      </c>
      <c r="P17" s="23" t="inlineStr">
        <is>
          <t>CAUTION</t>
        </is>
      </c>
      <c r="Q17" s="68" t="inlineStr">
        <is>
          <t>High</t>
        </is>
      </c>
      <c r="R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68" t="inlineStr">
        <is>
          <t>High</t>
        </is>
      </c>
      <c r="R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68" t="inlineStr">
        <is>
          <t>Med-High</t>
        </is>
      </c>
      <c r="R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68" t="inlineStr">
        <is>
          <t>High</t>
        </is>
      </c>
      <c r="R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68" t="inlineStr">
        <is>
          <t>Med-High</t>
        </is>
      </c>
      <c r="R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 STRONG ON PAPER: sows are killed for sausage MEAT, so viscera / organs / aortas are NOT their product and could come off intact. Sow organ scale is closest to adult human. Willingness untested — never contacted. Office hours Tue 9-3; larryssausage.com live.</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POSSIBLE
★ organ lane</t>
        </is>
      </c>
      <c r="Q22" s="68" t="inlineStr">
        <is>
          <t>High</t>
        </is>
      </c>
      <c r="R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139" t="inlineStr">
        <is>
          <t>SMALL
(0-300/wk)</t>
        </is>
      </c>
      <c r="F23" s="68" t="inlineStr">
        <is>
          <t>SOW ONLY
sow_slaughter=Yes; market_swine=No,
roaster=No, boar/stag=No</t>
        </is>
      </c>
      <c r="G23" s="68" t="inlineStr">
        <is>
          <t>USDA ✓ M3521 — NEWEST swine-slaughter
grant in NC (2/17/2026), sow-only;
TA-3521 in the NCDA&amp;CS TA directory</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Whole-hog sausage uses carcass meat, not viscera — sow organs / aortas are currently WASTE (inference, labeled). Sows = MATURE anatomy: large hearts, aortas, bladders, uteri.</t>
        </is>
      </c>
      <c r="L23" s="68" t="inlineStr">
        <is>
          <t>Micro-scale only — but brand-new floor, growth mode, never hosted harvesters; scheduling likely negotiable</t>
        </is>
      </c>
      <c r="M23" s="88" t="inlineStr">
        <is>
          <t>YES · ~40 mi</t>
        </is>
      </c>
      <c r="N23" s="68" t="inlineStr">
        <is>
          <t>Plausible at micro volume</t>
        </is>
      </c>
      <c r="O23" s="68" t="inlineStr">
        <is>
          <t>(252) 478-4147
President: Kenneth Edwards
6685 Hwy 64 Alt, Spring Hope</t>
        </is>
      </c>
      <c r="P23" s="140" t="inlineStr">
        <is>
          <t>WATCH
(new sow floor)</t>
        </is>
      </c>
      <c r="Q23" s="68" t="inlineStr">
        <is>
          <t>High</t>
        </is>
      </c>
      <c r="R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68" t="inlineStr">
        <is>
          <t>High</t>
        </is>
      </c>
      <c r="R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43" t="inlineStr">
        <is>
          <t>n/a</t>
        </is>
      </c>
      <c r="F26" s="68" t="inlineStr">
        <is>
          <t>see row below</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141" t="inlineStr">
        <is>
          <t>DUPLICATE</t>
        </is>
      </c>
      <c r="Q26" s="68" t="inlineStr">
        <is>
          <t>High</t>
        </is>
      </c>
      <c r="R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68" t="inlineStr">
        <is>
          <t>Med-High</t>
        </is>
      </c>
      <c r="R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58.6"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NO SWINE FLAGS in FSIS</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68" t="inlineStr">
        <is>
          <t>High</t>
        </is>
      </c>
      <c r="R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68" t="inlineStr">
        <is>
          <t>High</t>
        </is>
      </c>
      <c r="R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68" t="inlineStr">
        <is>
          <t>Low-Med</t>
        </is>
      </c>
      <c r="R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68" t="inlineStr">
        <is>
          <t>High</t>
        </is>
      </c>
      <c r="R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7" customHeight="1" s="59">
      <c r="A33" s="118" t="inlineStr">
        <is>
          <t>TENNESSEE — USDA-inspected hog-slaughter shops (small custom; Model B)</t>
        </is>
      </c>
    </row>
    <row r="34" ht="58.6" customHeight="1" s="59">
      <c r="A34" s="4" t="inlineStr">
        <is>
          <t>Fayette Packing Co., Inc.</t>
        </is>
      </c>
      <c r="B34" s="68" t="inlineStr">
        <is>
          <t>Eads, TN (Memphis area)</t>
        </is>
      </c>
      <c r="C34" s="68" t="inlineStr">
        <is>
          <t>USDA slaughter + processing</t>
        </is>
      </c>
      <c r="D34" s="68" t="inlineStr">
        <is>
          <t>&lt;19/wk
(FSIS cat 1) — 'largest of the TN
group' is REFUTED</t>
        </is>
      </c>
      <c r="E34" s="139" t="inlineStr">
        <is>
          <t>SMALL
(0-300/wk)</t>
        </is>
      </c>
      <c r="F34" s="68" t="inlineStr">
        <is>
          <t>MARKET + SOW + ROASTER + boar/stag
(all four classes)</t>
        </is>
      </c>
      <c r="G34" s="68" t="inlineStr">
        <is>
          <t>USDA ✓ M6555 + P34794</t>
        </is>
      </c>
      <c r="H34" s="25" t="inlineStr">
        <is>
          <t>⚠ Humane-handling NOS Apr 2023 (Est. M6555 — 4 stun attempts on a cow); held in abeyance.</t>
        </is>
      </c>
      <c r="I34" s="68" t="inlineStr">
        <is>
          <t>Not on public export lists — verify w/ APHIS VS</t>
        </is>
      </c>
      <c r="J34" s="68" t="inlineStr">
        <is>
          <t>Family since 1952 (3 generations, Keith) — strong culture</t>
        </is>
      </c>
      <c r="K34" s="68" t="inlineStr">
        <is>
          <t>Not noted</t>
        </is>
      </c>
      <c r="L34" s="68" t="inlineStr">
        <is>
          <t>Possible</t>
        </is>
      </c>
      <c r="M34" s="110" t="inlineStr">
        <is>
          <t>NO</t>
        </is>
      </c>
      <c r="N34" s="68" t="inlineStr">
        <is>
          <t>Good B</t>
        </is>
      </c>
      <c r="O34" s="68" t="inlineStr">
        <is>
          <t>901-867-3826
fayettepackingco.com</t>
        </is>
      </c>
      <c r="P34" s="23" t="inlineStr">
        <is>
          <t>POSSIBLE</t>
        </is>
      </c>
      <c r="Q34" s="68" t="inlineStr">
        <is>
          <t>High</t>
        </is>
      </c>
      <c r="R3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5" ht="72" customHeight="1" s="59">
      <c r="A35" s="4" t="inlineStr">
        <is>
          <t>Underground Slaughter / Processing</t>
        </is>
      </c>
      <c r="B35" s="68" t="inlineStr">
        <is>
          <t>Walling, TN</t>
        </is>
      </c>
      <c r="C35" s="68" t="inlineStr">
        <is>
          <t>USDA multi-species (growing)</t>
        </is>
      </c>
      <c r="D35" s="68" t="inlineStr">
        <is>
          <t>~192-1,917/wk
(FSIS cat 3)</t>
        </is>
      </c>
      <c r="E35" s="142" t="inlineStr">
        <is>
          <t>MEDIUM
(350-2,500/wk)</t>
        </is>
      </c>
      <c r="F35" s="68" t="inlineStr">
        <is>
          <t>MARKET + SOW
(roaster: No, boar/stag: No)</t>
        </is>
      </c>
      <c r="G35" s="68" t="inlineStr">
        <is>
          <t>USDA ✓ M51351 + P51351</t>
        </is>
      </c>
      <c r="H35" s="68" t="inlineStr">
        <is>
          <t>None found (a logged FOIA request is not an enforcement action)</t>
        </is>
      </c>
      <c r="I35" s="68" t="inlineStr">
        <is>
          <t>Not on public export lists — verify</t>
        </is>
      </c>
      <c r="J35" s="68" t="inlineStr">
        <is>
          <t>Growing processor</t>
        </is>
      </c>
      <c r="K35" s="68" t="inlineStr">
        <is>
          <t>Not noted</t>
        </is>
      </c>
      <c r="L35" s="68" t="inlineStr">
        <is>
          <t>Possible</t>
        </is>
      </c>
      <c r="M35" s="110" t="inlineStr">
        <is>
          <t>NO</t>
        </is>
      </c>
      <c r="N35" s="68" t="inlineStr">
        <is>
          <t>Good B</t>
        </is>
      </c>
      <c r="O35" s="68" t="inlineStr">
        <is>
          <t>931-330-6328</t>
        </is>
      </c>
      <c r="P35" s="140" t="inlineStr">
        <is>
          <t>POSSIBLE</t>
        </is>
      </c>
      <c r="Q35" s="68" t="inlineStr">
        <is>
          <t>High</t>
        </is>
      </c>
      <c r="R35"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6" ht="31.8" customHeight="1" s="59">
      <c r="A36" s="4" t="inlineStr">
        <is>
          <t>Cherry Meat Company</t>
        </is>
      </c>
      <c r="B36" s="68" t="inlineStr">
        <is>
          <t>Chapel Hill, TN</t>
        </is>
      </c>
      <c r="C36" s="68" t="inlineStr">
        <is>
          <t>USDA slaughter + processing</t>
        </is>
      </c>
      <c r="D36" s="68" t="inlineStr">
        <is>
          <t>~18/wk (80/month verified)</t>
        </is>
      </c>
      <c r="E36" s="22" t="inlineStr">
        <is>
          <t>SMALL
(0-300/wk)</t>
        </is>
      </c>
      <c r="F36" s="68" t="inlineStr">
        <is>
          <t>MARKET only
(sow: No, roaster: No)</t>
        </is>
      </c>
      <c r="G36" s="68" t="inlineStr">
        <is>
          <t>USDA ✓ M40106</t>
        </is>
      </c>
      <c r="H36" s="68" t="inlineStr">
        <is>
          <t>None found (very small; FSIS grant 2021)</t>
        </is>
      </c>
      <c r="I36" s="68" t="inlineStr">
        <is>
          <t>Not on public export lists — verify</t>
        </is>
      </c>
      <c r="J36" s="68" t="inlineStr">
        <is>
          <t>Family (Cherry / Bear Creek Farm) — strong culture</t>
        </is>
      </c>
      <c r="K36" s="68" t="inlineStr">
        <is>
          <t>Not noted</t>
        </is>
      </c>
      <c r="L36" s="68" t="inlineStr">
        <is>
          <t>Low-vol</t>
        </is>
      </c>
      <c r="M36" s="110" t="inlineStr">
        <is>
          <t>NO</t>
        </is>
      </c>
      <c r="N36" s="68" t="inlineStr">
        <is>
          <t>Good B (high-touch)</t>
        </is>
      </c>
      <c r="O36" s="68" t="inlineStr">
        <is>
          <t>931-364-7924
cherrymeat.com</t>
        </is>
      </c>
      <c r="P36" s="23" t="inlineStr">
        <is>
          <t>POSSIBLE</t>
        </is>
      </c>
      <c r="Q36" s="68" t="inlineStr">
        <is>
          <t>High</t>
        </is>
      </c>
      <c r="R36" s="68" t="inlineStr">
        <is>
          <t>SMALL tier — verified ~80 hogs/MONTH (~18/wk). With capacity now open this is a legitimate high-touch, family-culture option for pilot or specialty work; it simply cannot carry volume alone.</t>
        </is>
      </c>
    </row>
    <row r="37" ht="72" customHeight="1" s="59">
      <c r="A37" s="4" t="inlineStr">
        <is>
          <t>Other TN USDA hog shops (roll-up)</t>
        </is>
      </c>
      <c r="B37" s="68" t="inlineStr">
        <is>
          <t>various, TN</t>
        </is>
      </c>
      <c r="C37" s="68" t="inlineStr">
        <is>
          <t>USDA small custom slaughter</t>
        </is>
      </c>
      <c r="D37" s="68" t="inlineStr">
        <is>
          <t>unknown (tens–low 100s/wk est.)</t>
        </is>
      </c>
      <c r="E37" s="22" t="inlineStr">
        <is>
          <t>SMALL
(0-300/wk)</t>
        </is>
      </c>
      <c r="F37" s="68" t="inlineStr">
        <is>
          <t>Yes</t>
        </is>
      </c>
      <c r="G37" s="68" t="inlineStr">
        <is>
          <t>USDA ✓</t>
        </is>
      </c>
      <c r="H37" s="25" t="inlineStr">
        <is>
          <t>⚠ Harris Country Meats (Greeneville, M20686): humane NOS 2024. Volunteer/412 (Lexington, M6561): humane NOS Nov 2024. Others: none found.</t>
        </is>
      </c>
      <c r="I37" s="68" t="inlineStr">
        <is>
          <t>Not on public export lists — verify each w/ APHIS VS</t>
        </is>
      </c>
      <c r="J37" s="68" t="inlineStr">
        <is>
          <t>Small family shops</t>
        </is>
      </c>
      <c r="K37" s="68" t="inlineStr">
        <is>
          <t>Not noted</t>
        </is>
      </c>
      <c r="L37" s="68" t="inlineStr">
        <is>
          <t>Possible</t>
        </is>
      </c>
      <c r="M37" s="111" t="inlineStr">
        <is>
          <t>mixed — confirm</t>
        </is>
      </c>
      <c r="N37" s="68" t="inlineStr">
        <is>
          <t>B</t>
        </is>
      </c>
      <c r="O37" s="68" t="inlineStr">
        <is>
          <t>see notes →</t>
        </is>
      </c>
      <c r="P37" s="23" t="inlineStr">
        <is>
          <t>POSSIBLE</t>
        </is>
      </c>
      <c r="Q37" s="68" t="inlineStr">
        <is>
          <t>Low-Med</t>
        </is>
      </c>
      <c r="R3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8" ht="19.7" customHeight="1" s="59">
      <c r="A38" s="118" t="inlineStr">
        <is>
          <t>VIRGINIA — strongest welfare bench (humane-certified USDA abattoirs; Model B)</t>
        </is>
      </c>
    </row>
    <row r="39" ht="85.40000000000001" customHeight="1" s="59">
      <c r="A39" s="4" t="inlineStr">
        <is>
          <t>EcoFriendly Foods, LLC</t>
        </is>
      </c>
      <c r="B39" s="68" t="inlineStr">
        <is>
          <t>Moneta, VA</t>
        </is>
      </c>
      <c r="C39" s="68" t="inlineStr">
        <is>
          <t>USDA + Certified Humane multi-species harvest</t>
        </is>
      </c>
      <c r="D39" s="68" t="inlineStr">
        <is>
          <t>~192-1,917/wk
(FSIS cat 3)</t>
        </is>
      </c>
      <c r="E39" s="142" t="inlineStr">
        <is>
          <t>MEDIUM
(350-2,500/wk)</t>
        </is>
      </c>
      <c r="F39" s="68" t="inlineStr">
        <is>
          <t>MARKET + SOW + ROASTER + boar/stag
(all four classes)</t>
        </is>
      </c>
      <c r="G39" s="68" t="inlineStr">
        <is>
          <t>USDA ✓ M21938 + P21938</t>
        </is>
      </c>
      <c r="H39" s="68" t="inlineStr">
        <is>
          <t>None found in FSIS/recall/AWI — BUT reportedly CEASED operations / bankruptcy ~2020. Verify still operating!</t>
        </is>
      </c>
      <c r="I39" s="68" t="inlineStr">
        <is>
          <t>Not on public export lists — verify (and confirm still operating)</t>
        </is>
      </c>
      <c r="J39" s="68" t="inlineStr">
        <is>
          <t>CERTIFIED HUMANE — strongest welfare match in the study</t>
        </is>
      </c>
      <c r="K39" s="68" t="inlineStr">
        <is>
          <t>Custom multi-species harvest for outside producers</t>
        </is>
      </c>
      <c r="L39" s="68" t="inlineStr">
        <is>
          <t>Worth asking (A)</t>
        </is>
      </c>
      <c r="M39" s="110" t="inlineStr">
        <is>
          <t>NO</t>
        </is>
      </c>
      <c r="N39" s="68" t="inlineStr">
        <is>
          <t>Excellent B (already does custom harvest)</t>
        </is>
      </c>
      <c r="O39" s="68" t="inlineStr">
        <is>
          <t>540-525-0352
ecofriendly.com</t>
        </is>
      </c>
      <c r="P39" s="140" t="inlineStr">
        <is>
          <t>POSSIBLE</t>
        </is>
      </c>
      <c r="Q39" s="68" t="inlineStr">
        <is>
          <t>High</t>
        </is>
      </c>
      <c r="R39"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0" ht="85.40000000000001" customHeight="1" s="59">
      <c r="A40" s="4" t="inlineStr">
        <is>
          <t>T&amp;E Meats (True &amp; Essential)</t>
        </is>
      </c>
      <c r="B40" s="68" t="inlineStr">
        <is>
          <t>Harrisonburg, VA</t>
        </is>
      </c>
      <c r="C40" s="68" t="inlineStr">
        <is>
          <t>USDA + AWA slaughter + processing</t>
        </is>
      </c>
      <c r="D40" s="68" t="inlineStr">
        <is>
          <t>~19-192/wk
(FSIS cat 2)</t>
        </is>
      </c>
      <c r="E40" s="22" t="inlineStr">
        <is>
          <t>SMALL
(0-300/wk)</t>
        </is>
      </c>
      <c r="F40" s="68" t="inlineStr">
        <is>
          <t>MARKET + SOW + ROASTER + boar/stag
(all four classes)</t>
        </is>
      </c>
      <c r="G40" s="68" t="inlineStr">
        <is>
          <t>USDA ✓ M7420 + V7420
(FSIS lists 'Honest Meats, LLC')</t>
        </is>
      </c>
      <c r="H40" s="68" t="inlineStr">
        <is>
          <t>None found in public sources</t>
        </is>
      </c>
      <c r="I40" s="68" t="inlineStr">
        <is>
          <t>Not on public export lists — verify w/ APHIS VS</t>
        </is>
      </c>
      <c r="J40" s="68" t="inlineStr">
        <is>
          <t>AWA humane; mission-driven independent (Salatin/Cloud); site since 1930s — very strong</t>
        </is>
      </c>
      <c r="K40" s="68" t="inlineStr">
        <is>
          <t>Not noted</t>
        </is>
      </c>
      <c r="L40" s="68" t="inlineStr">
        <is>
          <t>Worth asking (A)</t>
        </is>
      </c>
      <c r="M40" s="110" t="inlineStr">
        <is>
          <t>NO</t>
        </is>
      </c>
      <c r="N40" s="68" t="inlineStr">
        <is>
          <t>Excellent B</t>
        </is>
      </c>
      <c r="O40" s="68" t="inlineStr">
        <is>
          <t>540-434-4415
temeats.com</t>
        </is>
      </c>
      <c r="P40" s="20" t="inlineStr">
        <is>
          <t>STRONG FIT</t>
        </is>
      </c>
      <c r="Q40" s="68" t="inlineStr">
        <is>
          <t>High</t>
        </is>
      </c>
      <c r="R40"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1" ht="45.2" customHeight="1" s="59">
      <c r="A41" s="4" t="inlineStr">
        <is>
          <t>Blue Ridge Meats of Front Royal</t>
        </is>
      </c>
      <c r="B41" s="68" t="inlineStr">
        <is>
          <t>Middletown, VA</t>
        </is>
      </c>
      <c r="C41" s="68" t="inlineStr">
        <is>
          <t>USDA + AWA abattoir</t>
        </is>
      </c>
      <c r="D41" s="68" t="inlineStr">
        <is>
          <t>&lt;19/wk
(FSIS cat 1)</t>
        </is>
      </c>
      <c r="E41" s="139" t="inlineStr">
        <is>
          <t>SMALL
(0-300/wk)</t>
        </is>
      </c>
      <c r="F41" s="68" t="inlineStr">
        <is>
          <t>MARKET + SOW + boar/stag</t>
        </is>
      </c>
      <c r="G41" s="68" t="inlineStr">
        <is>
          <t>USDA ✓ M6526</t>
        </is>
      </c>
      <c r="H41" s="68" t="inlineStr">
        <is>
          <t>None found (do NOT confuse with 'Blue Ridge Beef' pet-food recalls)</t>
        </is>
      </c>
      <c r="I41" s="68" t="inlineStr">
        <is>
          <t>Not on public export lists — verify</t>
        </is>
      </c>
      <c r="J41" s="68" t="inlineStr">
        <is>
          <t>AWA-approved (humane) since 2006</t>
        </is>
      </c>
      <c r="K41" s="68" t="inlineStr">
        <is>
          <t>Not noted</t>
        </is>
      </c>
      <c r="L41" s="68" t="inlineStr">
        <is>
          <t>Mobile-slaughter option</t>
        </is>
      </c>
      <c r="M41" s="110" t="inlineStr">
        <is>
          <t>NO</t>
        </is>
      </c>
      <c r="N41" s="68" t="inlineStr">
        <is>
          <t>Strong B</t>
        </is>
      </c>
      <c r="O41" s="68" t="inlineStr">
        <is>
          <t>540-636-6050
blueridgemeats.com</t>
        </is>
      </c>
      <c r="P41" s="20" t="inlineStr">
        <is>
          <t>STRONG FIT</t>
        </is>
      </c>
      <c r="Q41" s="68" t="inlineStr">
        <is>
          <t>High</t>
        </is>
      </c>
      <c r="R41" s="68" t="inlineStr">
        <is>
          <t>RESOLVED: active federal grant M6526, Middletown VA, market/sow/boar flagged, slaughter_volume_category = 1 = under ~19/wk.  [Verified 2026-08-06 against FSIS Establishment Demographic Data + MPI Directory by Establishment Number.]</t>
        </is>
      </c>
    </row>
    <row r="42" ht="45.2" customHeight="1" s="59">
      <c r="A42" s="4" t="inlineStr">
        <is>
          <t>Fauquier's Finest Custom Meat</t>
        </is>
      </c>
      <c r="B42" s="68" t="inlineStr">
        <is>
          <t>Bealeton, VA</t>
        </is>
      </c>
      <c r="C42" s="68" t="inlineStr">
        <is>
          <t>USDA/FSIS slaughter + processing</t>
        </is>
      </c>
      <c r="D42" s="68" t="inlineStr">
        <is>
          <t>unknown</t>
        </is>
      </c>
      <c r="E42" s="24" t="inlineStr">
        <is>
          <t>unknown
(confirm)</t>
        </is>
      </c>
      <c r="F42" s="68" t="inlineStr">
        <is>
          <t>Yes</t>
        </is>
      </c>
      <c r="G42" s="68" t="inlineStr">
        <is>
          <t>USDA ✓ (FSIS
slaughter listed)</t>
        </is>
      </c>
      <c r="H42" s="25" t="inlineStr">
        <is>
          <t>⚠ REPEAT humane-handling suspensions 2021 &amp; Dec 2024 (+ a 2018 violation). Est. M33940.</t>
        </is>
      </c>
      <c r="I42" s="68" t="inlineStr">
        <is>
          <t>FSIS Est. M33940; not on public export lists — verify</t>
        </is>
      </c>
      <c r="J42" s="68" t="inlineStr">
        <is>
          <t>Not noted</t>
        </is>
      </c>
      <c r="K42" s="68" t="inlineStr">
        <is>
          <t>Not noted</t>
        </is>
      </c>
      <c r="L42" s="68" t="inlineStr">
        <is>
          <t>Worth asking (A)</t>
        </is>
      </c>
      <c r="M42" s="110" t="inlineStr">
        <is>
          <t>NO</t>
        </is>
      </c>
      <c r="N42" s="68" t="inlineStr">
        <is>
          <t>Strong B</t>
        </is>
      </c>
      <c r="O42" s="68" t="inlineStr">
        <is>
          <t>540-439-7227
finestbutcher.com</t>
        </is>
      </c>
      <c r="P42" s="23" t="inlineStr">
        <is>
          <t>CAUTION</t>
        </is>
      </c>
      <c r="Q42" s="68" t="inlineStr">
        <is>
          <t>Med-High</t>
        </is>
      </c>
      <c r="R42" s="68" t="inlineStr">
        <is>
          <t>FSIS-listed for BOTH slaughter &amp; processing incl. hogs — BUT see enforcement: REPEAT humane-handling suspensions (2018, 2021, Dec 2024). A pattern that cuts against the welfare requirement — vet carefully before pursuing.</t>
        </is>
      </c>
    </row>
    <row r="43" ht="85.40000000000001" customHeight="1" s="59">
      <c r="A43" s="4" t="inlineStr">
        <is>
          <t>Other VA USDA slaughter (roll-up)</t>
        </is>
      </c>
      <c r="B43" s="68" t="inlineStr">
        <is>
          <t>various, VA</t>
        </is>
      </c>
      <c r="C43" s="68" t="inlineStr">
        <is>
          <t>USDA slaughter</t>
        </is>
      </c>
      <c r="D43" s="68" t="inlineStr">
        <is>
          <t>unknown</t>
        </is>
      </c>
      <c r="E43" s="24" t="inlineStr">
        <is>
          <t>unknown
(confirm)</t>
        </is>
      </c>
      <c r="F43" s="68" t="inlineStr">
        <is>
          <t>Yes (confirm per-facility)</t>
        </is>
      </c>
      <c r="G43" s="68" t="inlineStr">
        <is>
          <t>USDA ✓</t>
        </is>
      </c>
      <c r="H43" s="25" t="inlineStr">
        <is>
          <t>⚠ Donald's Meat Processing (Lexington, M39968): repeat humane suspension 2023 → 3-yr consent decision. Others: none found.</t>
        </is>
      </c>
      <c r="I43" s="68" t="inlineStr">
        <is>
          <t>Not on public export lists — verify each</t>
        </is>
      </c>
      <c r="J43" s="68" t="inlineStr">
        <is>
          <t>Varies</t>
        </is>
      </c>
      <c r="K43" s="68" t="inlineStr">
        <is>
          <t>Not noted</t>
        </is>
      </c>
      <c r="L43" s="68" t="inlineStr">
        <is>
          <t>Possible</t>
        </is>
      </c>
      <c r="M43" s="111" t="inlineStr">
        <is>
          <t>mixed — confirm</t>
        </is>
      </c>
      <c r="N43" s="68" t="inlineStr">
        <is>
          <t>B</t>
        </is>
      </c>
      <c r="O43" s="68" t="inlineStr">
        <is>
          <t>see notes →</t>
        </is>
      </c>
      <c r="P43" s="23" t="inlineStr">
        <is>
          <t>POSSIBLE</t>
        </is>
      </c>
      <c r="Q43" s="68" t="inlineStr">
        <is>
          <t>Low-Med</t>
        </is>
      </c>
      <c r="R43"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4" ht="58.6" customHeight="1" s="59">
      <c r="A44" s="4" t="inlineStr">
        <is>
          <t>VA state-inspected (roll-up)</t>
        </is>
      </c>
      <c r="B44" s="68" t="inlineStr">
        <is>
          <t>various, VA</t>
        </is>
      </c>
      <c r="C44" s="68" t="inlineStr">
        <is>
          <t>STATE-inspected slaughter (NOT USDA)</t>
        </is>
      </c>
      <c r="D44" s="68" t="inlineStr">
        <is>
          <t>unknown</t>
        </is>
      </c>
      <c r="E44" s="22" t="inlineStr">
        <is>
          <t>SMALL
(0-300/wk)</t>
        </is>
      </c>
      <c r="F44" s="68" t="inlineStr">
        <is>
          <t>Yes</t>
        </is>
      </c>
      <c r="G44" s="68" t="inlineStr">
        <is>
          <t>STATE only
(NOT USDA)</t>
        </is>
      </c>
      <c r="H44" s="68" t="inlineStr">
        <is>
          <t>Not in FSIS federal enforcement data (state-inspected) — check VDACS state records</t>
        </is>
      </c>
      <c r="I44" s="112" t="inlineStr">
        <is>
          <t>⛔ State-inspected, non-NC — NOT accepted as equivalent. Needs USDA/FSIS to qualify for Path 1.</t>
        </is>
      </c>
      <c r="J44" s="68" t="inlineStr">
        <is>
          <t>Varies</t>
        </is>
      </c>
      <c r="K44" s="68" t="inlineStr">
        <is>
          <t>Not noted</t>
        </is>
      </c>
      <c r="L44" s="68" t="inlineStr">
        <is>
          <t>Possible</t>
        </is>
      </c>
      <c r="M44" s="111" t="inlineStr">
        <is>
          <t>mixed — confirm</t>
        </is>
      </c>
      <c r="N44" s="68" t="inlineStr">
        <is>
          <t>B</t>
        </is>
      </c>
      <c r="O44" s="68" t="inlineStr">
        <is>
          <t>see notes →</t>
        </is>
      </c>
      <c r="P44" s="23" t="inlineStr">
        <is>
          <t>CAUTION</t>
        </is>
      </c>
      <c r="Q44" s="68" t="inlineStr">
        <is>
          <t>Low</t>
        </is>
      </c>
      <c r="R44"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5" ht="19.7" customHeight="1" s="59">
      <c r="A45" s="118" t="inlineStr">
        <is>
          <t>IOWA &amp; MIDWEST — best fits (dedicated organ / tissue harvesters)</t>
        </is>
      </c>
    </row>
    <row r="46" ht="139" customHeight="1" s="59">
      <c r="A46" s="4" t="inlineStr">
        <is>
          <t>Midwest Research Swine (DBA of Collagen Solutions / Evergen)</t>
        </is>
      </c>
      <c r="B46" s="68" t="inlineStr">
        <is>
          <t>Glencoe / Gibbon, MN</t>
        </is>
      </c>
      <c r="C46" s="68" t="inlineStr">
        <is>
          <t>Porcine-ONLY abattoir + tissue-harvest facility</t>
        </is>
      </c>
      <c r="D46" s="68" t="inlineStr">
        <is>
          <t>~19-192/wk
(FSIS cat 2 ceiling — the
'20,000/yr ≈ 385/wk' figure
EXCEEDS it)</t>
        </is>
      </c>
      <c r="E46" s="139" t="inlineStr">
        <is>
          <t>SMALL
(0-300/wk)</t>
        </is>
      </c>
      <c r="F46" s="68" t="inlineStr">
        <is>
          <t>MARKET + ROASTER
(sow: No, boar/stag: No)</t>
        </is>
      </c>
      <c r="G46" s="68" t="inlineStr">
        <is>
          <t>meat insp.
unconfirmed</t>
        </is>
      </c>
      <c r="H46" s="68" t="inlineStr">
        <is>
          <t>None found (small research facility; rarely in enforcement data)</t>
        </is>
      </c>
      <c r="I4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6" s="68" t="inlineStr">
        <is>
          <t>Strong — closed herd, stringent QC; family (Theis, since 1978), ~20 staff</t>
        </is>
      </c>
      <c r="K46" s="68" t="inlineStr">
        <is>
          <t>YES — CORE BUSINESS: whole organs (decellularization), veins/arteries for implantation, mesh tissue, bio-samples; xeno/vaccine/stem-cell research</t>
        </is>
      </c>
      <c r="L46" s="68" t="inlineStr">
        <is>
          <t>Plausible (has harvest facility)</t>
        </is>
      </c>
      <c r="M46" s="111" t="inlineStr">
        <is>
          <t>confirm</t>
        </is>
      </c>
      <c r="N46" s="68" t="inlineStr">
        <is>
          <t>Best fit — harvest to spec</t>
        </is>
      </c>
      <c r="O46" s="68" t="inlineStr">
        <is>
          <t>midwestresearchswine.com
(phone via site)</t>
        </is>
      </c>
      <c r="P46" s="20" t="inlineStr">
        <is>
          <t>STRONG FIT</t>
        </is>
      </c>
      <c r="Q46" s="68" t="inlineStr">
        <is>
          <t>High</t>
        </is>
      </c>
      <c r="R46"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7" ht="85.40000000000001" customHeight="1" s="59">
      <c r="A47" s="4" t="inlineStr">
        <is>
          <t>Smithfield BioScience — Denison</t>
        </is>
      </c>
      <c r="B47" s="68" t="inlineStr">
        <is>
          <t>Denison, IA
(+ Monmouth IL, Milan MO)</t>
        </is>
      </c>
      <c r="C47" s="68" t="inlineStr">
        <is>
          <t>LARGE packer + biologics program</t>
        </is>
      </c>
      <c r="D47" s="68" t="inlineStr">
        <is>
          <t>~10,000 / DAY
(organ exception)</t>
        </is>
      </c>
      <c r="E47" s="26" t="inlineStr">
        <is>
          <t>HIGH
(&gt;5,000/wk)</t>
        </is>
      </c>
      <c r="F47" s="68" t="inlineStr">
        <is>
          <t>MARKET only</t>
        </is>
      </c>
      <c r="G47" s="68" t="inlineStr">
        <is>
          <t>USDA ✓ M717 + P19051 + V717
(V = voluntary grant;
export-certified)</t>
        </is>
      </c>
      <c r="H47" s="25" t="inlineStr">
        <is>
          <t>⚠ REPEAT humane-handling: NOIE 2021 &amp; 2023; suspension 09/2024 (egregious). ASPCA line-speed concerns. Est. M717.</t>
        </is>
      </c>
      <c r="I47" s="68" t="inlineStr">
        <is>
          <t>FSIS export-certified (edible, Est. M717). Research-tissue via APHIS VS/TRACES unverified</t>
        </is>
      </c>
      <c r="J47" s="68" t="inlineStr">
        <is>
          <t>Industrial scale, but a structured biologics unit</t>
        </is>
      </c>
      <c r="K47" s="68" t="inlineStr">
        <is>
          <t>YES — full program: PELVIC (bladder, ovary); ABDOMINAL (kidney, liver, pancreas, sm. intestine, mucosa, peritoneum, pepsin lining); THORACIC (heart, valves, lung, aorta, pericardium, trachea); glands/skin/eyes</t>
        </is>
      </c>
      <c r="L47" s="68" t="inlineStr">
        <is>
          <t>Negotiate (industrial site)</t>
        </is>
      </c>
      <c r="M47" s="110" t="inlineStr">
        <is>
          <t>NO</t>
        </is>
      </c>
      <c r="N47" s="68" t="inlineStr">
        <is>
          <t>Strong — harvests in-house to customer spec</t>
        </is>
      </c>
      <c r="O47" s="68" t="inlineStr">
        <is>
          <t>smithfieldbioscience.com</t>
        </is>
      </c>
      <c r="P47" s="20" t="inlineStr">
        <is>
          <t>STRONG FIT
(organ exc.)</t>
        </is>
      </c>
      <c r="Q47" s="68" t="inlineStr">
        <is>
          <t>High</t>
        </is>
      </c>
      <c r="R47" s="68" t="inlineStr">
        <is>
          <t>The large packer that QUALIFIES via your organ exception — covers all three target regions harvested to spec. Model B natural fit; Model A access would need negotiation.</t>
        </is>
      </c>
    </row>
    <row r="48" ht="19.7" customHeight="1" s="59">
      <c r="A48" s="118" t="inlineStr">
        <is>
          <t>IOWA &amp; MIDWEST — mid / small USDA hog plants (standard pork; Model A or B)</t>
        </is>
      </c>
    </row>
    <row r="49" ht="72" customHeight="1" s="59">
      <c r="A49" s="4" t="inlineStr">
        <is>
          <t>Lorentz Meats</t>
        </is>
      </c>
      <c r="B49" s="68" t="inlineStr">
        <is>
          <t>Cannon Falls, MN</t>
        </is>
      </c>
      <c r="C49" s="68" t="inlineStr">
        <is>
          <t>USDA niche processor (slaughter→retail)</t>
        </is>
      </c>
      <c r="D49" s="68" t="inlineStr">
        <is>
          <t>up to ~600 (120/day est.)</t>
        </is>
      </c>
      <c r="E49" s="20" t="inlineStr">
        <is>
          <t>MEDIUM
(350-2,500/wk)</t>
        </is>
      </c>
      <c r="F49" s="68" t="inlineStr">
        <is>
          <t>NO SWINE FLAGS in FSIS —
hog slaughter NOT confirmed</t>
        </is>
      </c>
      <c r="G49" s="68" t="inlineStr">
        <is>
          <t>USDA ✓ M21207 + P21207 + V21207</t>
        </is>
      </c>
      <c r="H49" s="68" t="inlineStr">
        <is>
          <t>Recall 2010 (Listeria, cooked ham, Class I). No humane-handling action found.</t>
        </is>
      </c>
      <c r="I49" s="68" t="inlineStr">
        <is>
          <t>FSIS export-certified (edible, general; Est. M21207). EU-specific unverified</t>
        </is>
      </c>
      <c r="J49" s="68" t="inlineStr">
        <is>
          <t>Strong — explicit humane-slaughter positioning; family since 1968, ~140 staff; organic/grass-fed ties</t>
        </is>
      </c>
      <c r="K49" s="68" t="inlineStr">
        <is>
          <t>None known</t>
        </is>
      </c>
      <c r="L49" s="68" t="inlineStr">
        <is>
          <t>Good Model A host (fee-for-service, small-producer friendly)</t>
        </is>
      </c>
      <c r="M49" s="110" t="inlineStr">
        <is>
          <t>NO</t>
        </is>
      </c>
      <c r="N49" s="68" t="inlineStr">
        <is>
          <t>Plausible</t>
        </is>
      </c>
      <c r="O49" s="68" t="inlineStr">
        <is>
          <t>(507) 263-3618
lorentzmeats.com</t>
        </is>
      </c>
      <c r="P49" s="140" t="inlineStr">
        <is>
          <t>CAUTION</t>
        </is>
      </c>
      <c r="Q49" s="68" t="inlineStr">
        <is>
          <t>Med-High</t>
        </is>
      </c>
      <c r="R49"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0" ht="58.6" customHeight="1" s="59">
      <c r="A50" s="4" t="inlineStr">
        <is>
          <t>SIG International, Iowa</t>
        </is>
      </c>
      <c r="B50" s="68" t="inlineStr">
        <is>
          <t>Boyden, IA</t>
        </is>
      </c>
      <c r="C50" s="68" t="inlineStr">
        <is>
          <t>USDA slaughter+processing (Est. M20748)</t>
        </is>
      </c>
      <c r="D50" s="68" t="inlineStr">
        <is>
          <t>~192-1,917/wk
(FSIS cat 3)</t>
        </is>
      </c>
      <c r="E50" s="142" t="inlineStr">
        <is>
          <t>MEDIUM
(350-2,500/wk)</t>
        </is>
      </c>
      <c r="F50" s="68" t="inlineStr">
        <is>
          <t>MARKET only</t>
        </is>
      </c>
      <c r="G50" s="68" t="inlineStr">
        <is>
          <t>USDA ✓ M20748 + V20748
(V = voluntary; export-cert)</t>
        </is>
      </c>
      <c r="H50" s="68" t="inlineStr">
        <is>
          <t>None found in public sources</t>
        </is>
      </c>
      <c r="I50" s="68" t="inlineStr">
        <is>
          <t>FSIS export-certified (edible; exports to Japan — Japan ≠ EU). EU/APHIS unverified</t>
        </is>
      </c>
      <c r="J50" s="68" t="inlineStr">
        <is>
          <t>Berkshire / USDA-organic; export QC discipline</t>
        </is>
      </c>
      <c r="K50" s="68" t="inlineStr">
        <is>
          <t>None found</t>
        </is>
      </c>
      <c r="L50" s="68" t="inlineStr">
        <is>
          <t>Likely Model A host</t>
        </is>
      </c>
      <c r="M50" s="110" t="inlineStr">
        <is>
          <t>NO</t>
        </is>
      </c>
      <c r="N50" s="68" t="inlineStr">
        <is>
          <t>Plausible</t>
        </is>
      </c>
      <c r="O50" s="68" t="inlineStr">
        <is>
          <t>(712) 725-2172
sigiowa.com</t>
        </is>
      </c>
      <c r="P50" s="23" t="inlineStr">
        <is>
          <t>POSSIBLE</t>
        </is>
      </c>
      <c r="Q50" s="68" t="inlineStr">
        <is>
          <t>High</t>
        </is>
      </c>
      <c r="R50"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1" ht="31.8" customHeight="1" s="59">
      <c r="A51" s="4" t="inlineStr">
        <is>
          <t>Eickman's Processing Co.</t>
        </is>
      </c>
      <c r="B51" s="68" t="inlineStr">
        <is>
          <t>Seward, IL</t>
        </is>
      </c>
      <c r="C51" s="68" t="inlineStr">
        <is>
          <t>USDA (Est. M31776), small family plant</t>
        </is>
      </c>
      <c r="D51" s="68" t="inlineStr">
        <is>
          <t>~19-192/wk
(FSIS cat 2 ceiling)</t>
        </is>
      </c>
      <c r="E51" s="22" t="inlineStr">
        <is>
          <t>SMALL
(0-300/wk)</t>
        </is>
      </c>
      <c r="F51" s="68" t="inlineStr">
        <is>
          <t>MARKET + ROASTER</t>
        </is>
      </c>
      <c r="G51" s="68" t="inlineStr">
        <is>
          <t>USDA ✓ M31776 + P31776 + V31776</t>
        </is>
      </c>
      <c r="H51" s="68" t="inlineStr">
        <is>
          <t>Recall 2010 (underprocessed canned). No humane-handling action found.</t>
        </is>
      </c>
      <c r="I51" s="68" t="inlineStr">
        <is>
          <t>Not on public export lists — verify</t>
        </is>
      </c>
      <c r="J51" s="68" t="inlineStr">
        <is>
          <t>Long-tenured family operation (~70 yrs, ~30 staff) — stable culture</t>
        </is>
      </c>
      <c r="K51" s="68" t="inlineStr">
        <is>
          <t>None</t>
        </is>
      </c>
      <c r="L51" s="68" t="inlineStr">
        <is>
          <t>Model A small batches</t>
        </is>
      </c>
      <c r="M51" s="110" t="inlineStr">
        <is>
          <t>NO</t>
        </is>
      </c>
      <c r="N51" s="68" t="inlineStr">
        <is>
          <t>Plausible</t>
        </is>
      </c>
      <c r="O51" s="68" t="inlineStr">
        <is>
          <t>(815) 247-8451
eickmans.com</t>
        </is>
      </c>
      <c r="P51" s="23" t="inlineStr">
        <is>
          <t>POSSIBLE</t>
        </is>
      </c>
      <c r="Q51" s="68" t="inlineStr">
        <is>
          <t>High</t>
        </is>
      </c>
      <c r="R51" s="68" t="inlineStr">
        <is>
          <t>SMALL tier (~low-100s/wk est.). Stable family culture, USDA. Viable now that capacity is open — good Model A small-batch partner.</t>
        </is>
      </c>
    </row>
    <row r="52" ht="31.8" customHeight="1" s="59">
      <c r="A52" s="4" t="inlineStr">
        <is>
          <t>Ruthven Meat Processing</t>
        </is>
      </c>
      <c r="B52" s="68" t="inlineStr">
        <is>
          <t>Ruthven, IA</t>
        </is>
      </c>
      <c r="C52" s="68" t="inlineStr">
        <is>
          <t>USDA (Est. M2118), FSIS 'Very Small'</t>
        </is>
      </c>
      <c r="D52" s="68" t="inlineStr">
        <is>
          <t>~19-192/wk
(FSIS cat 2 ceiling)</t>
        </is>
      </c>
      <c r="E52" s="22" t="inlineStr">
        <is>
          <t>SMALL
(0-300/wk)</t>
        </is>
      </c>
      <c r="F52" s="68" t="inlineStr">
        <is>
          <t>NO SWINE FLAGS in FSIS —
hogs NOT confirmed</t>
        </is>
      </c>
      <c r="G52" s="68" t="inlineStr">
        <is>
          <t>USDA ✓ M2118 + P2118 + V2118</t>
        </is>
      </c>
      <c r="H52" s="68" t="inlineStr">
        <is>
          <t>None found in public sources</t>
        </is>
      </c>
      <c r="I52" s="68" t="inlineStr">
        <is>
          <t>Not on public export lists — verify</t>
        </is>
      </c>
      <c r="J52" s="68" t="inlineStr">
        <is>
          <t>Small locker</t>
        </is>
      </c>
      <c r="K52" s="68" t="inlineStr">
        <is>
          <t>Unknown</t>
        </is>
      </c>
      <c r="L52" s="68" t="inlineStr">
        <is>
          <t>Model A small batch</t>
        </is>
      </c>
      <c r="M52" s="110" t="inlineStr">
        <is>
          <t>NO</t>
        </is>
      </c>
      <c r="N52" s="68" t="inlineStr">
        <is>
          <t>Plausible</t>
        </is>
      </c>
      <c r="O52" s="68" t="inlineStr">
        <is>
          <t>(712) 837-5334</t>
        </is>
      </c>
      <c r="P52" s="23" t="inlineStr">
        <is>
          <t>CAUTION</t>
        </is>
      </c>
      <c r="Q52" s="68" t="inlineStr">
        <is>
          <t>High</t>
        </is>
      </c>
      <c r="R52" s="68" t="inlineStr">
        <is>
          <t>FSIS 'Very Small' volume class (fits low band) BUT swine slaughter NOT confirmed — verify it actually takes hogs before relying on it.</t>
        </is>
      </c>
    </row>
    <row r="53" ht="19.7" customHeight="1" s="59">
      <c r="A53" s="118" t="inlineStr">
        <is>
          <t>IOWA &amp; MIDWEST — large packers (excluded unless a biologics program is confirmed)</t>
        </is>
      </c>
    </row>
    <row r="54" ht="45.2" customHeight="1" s="59">
      <c r="A54" s="4" t="inlineStr">
        <is>
          <t>Sioux-Preme Packing / Perdue</t>
        </is>
      </c>
      <c r="B54" s="68" t="inlineStr">
        <is>
          <t>Sioux Center, IA</t>
        </is>
      </c>
      <c r="C54" s="68" t="inlineStr">
        <is>
          <t>Large niche pork (Est. M5537)</t>
        </is>
      </c>
      <c r="D54" s="68" t="inlineStr">
        <is>
          <t>~4,500 / DAY</t>
        </is>
      </c>
      <c r="E54" s="26" t="inlineStr">
        <is>
          <t>HIGH
(&gt;5,000/wk)</t>
        </is>
      </c>
      <c r="F54" s="68" t="inlineStr">
        <is>
          <t>MARKET + ROASTER + boar/stag
(sow: No)</t>
        </is>
      </c>
      <c r="G54" s="68" t="inlineStr">
        <is>
          <t>USDA ✓ M5537</t>
        </is>
      </c>
      <c r="H54" s="25" t="inlineStr">
        <is>
          <t>⚠ Humane-handling: NOIE 11/2020, suspension 04/2021 (Est. M5537); PETA sought charges (none filed on record).</t>
        </is>
      </c>
      <c r="I54" s="68" t="inlineStr">
        <is>
          <t>Export status not confirmed on public lists — verify</t>
        </is>
      </c>
      <c r="J54" s="68" t="inlineStr">
        <is>
          <t>NEGATIVE signal — an animal-rights group publicly sought charges over handling</t>
        </is>
      </c>
      <c r="K54" s="68" t="inlineStr">
        <is>
          <t>No biologics program found</t>
        </is>
      </c>
      <c r="L54" s="68" t="inlineStr">
        <is>
          <t>Unlikely</t>
        </is>
      </c>
      <c r="M54" s="110" t="inlineStr">
        <is>
          <t>NO</t>
        </is>
      </c>
      <c r="N54" s="68" t="inlineStr">
        <is>
          <t>Unlikely</t>
        </is>
      </c>
      <c r="O54" s="68" t="inlineStr">
        <is>
          <t>(712) 722-2555</t>
        </is>
      </c>
      <c r="P54" s="23" t="inlineStr">
        <is>
          <t>CAUTION</t>
        </is>
      </c>
      <c r="Q54" s="68" t="inlineStr">
        <is>
          <t>High</t>
        </is>
      </c>
      <c r="R54" s="68" t="inlineStr">
        <is>
          <t>HIGH tier — no longer excluded on size. Held at CAUTION on WELFARE, not volume: humane-handling NOIE 11/2020 and suspension 04/2021 (Est. M5537), and PETA sought criminal charges. No organ program found. Weigh heavily against the Nahunta standard.</t>
        </is>
      </c>
    </row>
    <row r="55" ht="45.2" customHeight="1" s="59">
      <c r="A55" s="4" t="inlineStr">
        <is>
          <t>Seaboard Triumph Foods</t>
        </is>
      </c>
      <c r="B55" s="68" t="inlineStr">
        <is>
          <t>Sioux City, IA</t>
        </is>
      </c>
      <c r="C55" s="68" t="inlineStr">
        <is>
          <t>Very large packer</t>
        </is>
      </c>
      <c r="D55" s="68" t="inlineStr">
        <is>
          <t>~10,000/DAY (up to 20-24k)</t>
        </is>
      </c>
      <c r="E55" s="26" t="inlineStr">
        <is>
          <t>HIGH
(&gt;5,000/wk)</t>
        </is>
      </c>
      <c r="F55" s="68" t="inlineStr">
        <is>
          <t>MARKET only</t>
        </is>
      </c>
      <c r="G55" s="68" t="inlineStr">
        <is>
          <t>USDA ✓ M46071 + V46071
(V = voluntary; export-cert)</t>
        </is>
      </c>
      <c r="H55" s="68" t="inlineStr">
        <is>
          <t>No FSIS humane/recall found. Non-FSIS press: labor / child-labor fines, emissions.</t>
        </is>
      </c>
      <c r="I55" s="68" t="inlineStr">
        <is>
          <t>FSIS export-certified (edible, general; Est. M46071). EU-specific unverified</t>
        </is>
      </c>
      <c r="J55" s="68" t="inlineStr">
        <is>
          <t>Industrial</t>
        </is>
      </c>
      <c r="K55" s="68" t="inlineStr">
        <is>
          <t>NOT confirmed (no research-organ program found)</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(~10-24k/day). Biologics program UNCONFIRMED — do NOT assume one exists; ask directly. Non-FSIS labour/child-labour press on record.</t>
        </is>
      </c>
    </row>
    <row r="56" ht="72" customHeight="1" s="59">
      <c r="A56" s="138" t="inlineStr">
        <is>
          <t>Prestage Foods of Iowa
(FSIS now lists Eagle Grove Cooperative)</t>
        </is>
      </c>
      <c r="B56" s="68" t="inlineStr">
        <is>
          <t>Eagle Grove, IA</t>
        </is>
      </c>
      <c r="C56" s="68" t="inlineStr">
        <is>
          <t>Very large packer</t>
        </is>
      </c>
      <c r="D56" s="68" t="inlineStr">
        <is>
          <t>~10,000-12,000/DAY</t>
        </is>
      </c>
      <c r="E56" s="26" t="inlineStr">
        <is>
          <t>HIGH
(&gt;5,000/wk)</t>
        </is>
      </c>
      <c r="F56" s="68" t="inlineStr">
        <is>
          <t>MARKET only</t>
        </is>
      </c>
      <c r="G56" s="68" t="inlineStr">
        <is>
          <t>USDA ✓ M51340 + V51340
(listed as Eagle Grove Cooperative;
export-cert)</t>
        </is>
      </c>
      <c r="H56" s="25" t="inlineStr">
        <is>
          <t>⚠ REPEAT humane-handling suspensions 2020 &amp; 04/2022 (egregious). Est. M51340. PETA sought kill-floor cameras.</t>
        </is>
      </c>
      <c r="I56" s="68" t="inlineStr">
        <is>
          <t>Export-oriented; 'Certification–Export' not directly confirmed. EU unverified</t>
        </is>
      </c>
      <c r="J56" s="68" t="inlineStr">
        <is>
          <t>Industrial</t>
        </is>
      </c>
      <c r="K56" s="68" t="inlineStr">
        <is>
          <t>No organ program found</t>
        </is>
      </c>
      <c r="L56" s="68" t="inlineStr">
        <is>
          <t>Unlikely</t>
        </is>
      </c>
      <c r="M56" s="110" t="inlineStr">
        <is>
          <t>NO</t>
        </is>
      </c>
      <c r="N56" s="68" t="inlineStr">
        <is>
          <t>Unlikely</t>
        </is>
      </c>
      <c r="O56" s="68" t="inlineStr">
        <is>
          <t>—</t>
        </is>
      </c>
      <c r="P56" s="23" t="inlineStr">
        <is>
          <t>POSSIBLE</t>
        </is>
      </c>
      <c r="Q56" s="68" t="inlineStr">
        <is>
          <t>Med-High</t>
        </is>
      </c>
      <c r="R56"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7" ht="45.2" customHeight="1" s="59">
      <c r="A57" s="4" t="inlineStr">
        <is>
          <t>Wholestone Farms</t>
        </is>
      </c>
      <c r="B57" s="68" t="inlineStr">
        <is>
          <t>Fremont, NE</t>
        </is>
      </c>
      <c r="C57" s="68" t="inlineStr">
        <is>
          <t>Very large packer</t>
        </is>
      </c>
      <c r="D57" s="68" t="inlineStr">
        <is>
          <t>~8,200/DAY (3M→5.6M/yr)</t>
        </is>
      </c>
      <c r="E57" s="26" t="inlineStr">
        <is>
          <t>HIGH
(&gt;5,000/wk)</t>
        </is>
      </c>
      <c r="F57" s="68" t="inlineStr">
        <is>
          <t>MARKET only</t>
        </is>
      </c>
      <c r="G57" s="68" t="inlineStr">
        <is>
          <t>USDA ✓ M46491 + P46491</t>
        </is>
      </c>
      <c r="H57" s="25" t="inlineStr">
        <is>
          <t>⚠ Humane-handling NOIE 12/2019 (Est. M46491; captive bolt on a condemned hog).</t>
        </is>
      </c>
      <c r="I57" s="68" t="inlineStr">
        <is>
          <t>Not confirmed on public lists — verify</t>
        </is>
      </c>
      <c r="J57" s="68" t="inlineStr">
        <is>
          <t>Industrial</t>
        </is>
      </c>
      <c r="K57" s="68" t="inlineStr">
        <is>
          <t>Biologics unknown</t>
        </is>
      </c>
      <c r="L57" s="68" t="inlineStr">
        <is>
          <t>Unlikely</t>
        </is>
      </c>
      <c r="M57" s="110" t="inlineStr">
        <is>
          <t>NO</t>
        </is>
      </c>
      <c r="N57" s="68" t="inlineStr">
        <is>
          <t>Unlikely</t>
        </is>
      </c>
      <c r="O57" s="68" t="inlineStr">
        <is>
          <t>—</t>
        </is>
      </c>
      <c r="P57" s="23" t="inlineStr">
        <is>
          <t>POSSIBLE</t>
        </is>
      </c>
      <c r="Q57" s="68" t="inlineStr">
        <is>
          <t>High</t>
        </is>
      </c>
      <c r="R57" s="68" t="inlineStr">
        <is>
          <t>HIGH tier. No longer excluded on size. Biologics unknown — confirm. Humane-handling NOIE 12/2019 on record.</t>
        </is>
      </c>
    </row>
    <row r="58" ht="45.2" customHeight="1" s="59">
      <c r="A58" s="4" t="inlineStr">
        <is>
          <t>Other large regional (context)</t>
        </is>
      </c>
      <c r="B58" s="68" t="inlineStr">
        <is>
          <t>IA / Midwest</t>
        </is>
      </c>
      <c r="C58" s="68" t="inlineStr">
        <is>
          <t>Very large packers</t>
        </is>
      </c>
      <c r="D58" s="68" t="inlineStr">
        <is>
          <t>&gt;5,000/wk (est.)</t>
        </is>
      </c>
      <c r="E58" s="26" t="inlineStr">
        <is>
          <t>HIGH
(&gt;5,000/wk)</t>
        </is>
      </c>
      <c r="F58" s="68" t="inlineStr">
        <is>
          <t>Yes/mixed</t>
        </is>
      </c>
      <c r="G58" s="68" t="inlineStr">
        <is>
          <t>USDA ✓</t>
        </is>
      </c>
      <c r="H58" s="68" t="inlineStr">
        <is>
          <t>Varies by plant — check FSIS Quarterly Enforcement Reports per establishment #</t>
        </is>
      </c>
      <c r="I58" s="68" t="inlineStr">
        <is>
          <t>Varies — check FSIS 'Eligible Establishments by Country' + TRACES</t>
        </is>
      </c>
      <c r="J58" s="68" t="inlineStr">
        <is>
          <t>Industrial</t>
        </is>
      </c>
      <c r="K58" s="68" t="inlineStr">
        <is>
          <t>Not confirmed</t>
        </is>
      </c>
      <c r="L58" s="68" t="inlineStr">
        <is>
          <t>Unlikely</t>
        </is>
      </c>
      <c r="M58" s="110" t="inlineStr">
        <is>
          <t>NO</t>
        </is>
      </c>
      <c r="N58" s="68" t="inlineStr">
        <is>
          <t>Unlikely</t>
        </is>
      </c>
      <c r="O58" s="68" t="inlineStr">
        <is>
          <t>—</t>
        </is>
      </c>
      <c r="P58" s="23" t="inlineStr">
        <is>
          <t>CAUTION</t>
        </is>
      </c>
      <c r="Q58" s="68" t="inlineStr">
        <is>
          <t>Med</t>
        </is>
      </c>
      <c r="R58" s="68" t="inlineStr">
        <is>
          <t>Tyson Fresh Meats (Columbus Junction, Storm Lake, Waterloo IA); JBS/Cargill pork (Ottumwa/Marshalltown). Tyson Perry IA CLOSED 2024. Iowa Premium/National Beef (Tama) = BEEF — exclude. Biologics programs unverified.</t>
        </is>
      </c>
    </row>
    <row r="59" ht="19.7" customHeight="1" s="59">
      <c r="A59" s="118" t="inlineStr">
        <is>
          <t>ADJACENT SOURCES — research minipig suppliers (scale mismatch; comparator only)</t>
        </is>
      </c>
    </row>
    <row r="60" ht="31.8" customHeight="1" s="59">
      <c r="A60" s="4" t="inlineStr">
        <is>
          <t>Sinclair BioResources</t>
        </is>
      </c>
      <c r="B60" s="68" t="inlineStr">
        <is>
          <t>Auxvasse, MO</t>
        </is>
      </c>
      <c r="C60" s="68" t="inlineStr">
        <is>
          <t>Minipig supplier + bio-samples</t>
        </is>
      </c>
      <c r="D60" s="68" t="inlineStr">
        <is>
          <t>n/a (research minipigs)</t>
        </is>
      </c>
      <c r="E60" s="24" t="inlineStr">
        <is>
          <t>n/a</t>
        </is>
      </c>
      <c r="F60" s="68" t="inlineStr">
        <is>
          <t>Yes (minipigs)</t>
        </is>
      </c>
      <c r="G60" s="68" t="inlineStr">
        <is>
          <t>unknown</t>
        </is>
      </c>
      <c r="H60" s="68" t="inlineStr">
        <is>
          <t>None found (research minipig facility)</t>
        </is>
      </c>
      <c r="I60" s="68" t="inlineStr">
        <is>
          <t>Research minipig; APHIS VS channel — verify</t>
        </is>
      </c>
      <c r="J60" s="68" t="inlineStr">
        <is>
          <t>Research-scale program</t>
        </is>
      </c>
      <c r="K60" s="68" t="inlineStr">
        <is>
          <t>Minipig tissue / bio-samples (Sinclair, Yucatan, Hanford)</t>
        </is>
      </c>
      <c r="L60" s="68" t="inlineStr">
        <is>
          <t>n/a</t>
        </is>
      </c>
      <c r="M60" s="110" t="inlineStr">
        <is>
          <t>NO</t>
        </is>
      </c>
      <c r="N60" s="68" t="inlineStr">
        <is>
          <t>Comparator only</t>
        </is>
      </c>
      <c r="O60" s="68" t="inlineStr">
        <is>
          <t>sinclairbioresources.com</t>
        </is>
      </c>
      <c r="P60" s="23" t="inlineStr">
        <is>
          <t>CAUTION</t>
        </is>
      </c>
      <c r="Q60" s="68" t="inlineStr">
        <is>
          <t>Med</t>
        </is>
      </c>
      <c r="R60" s="68" t="inlineStr">
        <is>
          <t>MISMATCH: research minipigs at research scale, not commercial market hogs at our volume tiers; tissue blocks would be minipig-sized. Useful as a comparator/specialty source, not a throughput abattoir.</t>
        </is>
      </c>
    </row>
    <row r="61" ht="19.7" customHeight="1" s="59">
      <c r="A61" s="118" t="inlineStr">
        <is>
          <t>NORTH CAROLINA — NEWLY FOUND (registry sweep, NCDA&amp;CS directories 2026-07-24)</t>
        </is>
      </c>
    </row>
    <row r="62" ht="219.4" customHeight="1" s="59">
      <c r="A62" s="82" t="inlineStr">
        <is>
          <t>The Pork Company (Villari Food Group)</t>
        </is>
      </c>
      <c r="B62" s="83" t="inlineStr">
        <is>
          <t>Warsaw, NC (Duplin)</t>
        </is>
      </c>
      <c r="C62" s="83" t="inlineStr">
        <is>
          <t>USDA federal fresh-pork HARVEST plant</t>
        </is>
      </c>
      <c r="D62" s="83" t="inlineStr">
        <is>
          <t>~7,500/wk (1,500 hd/day, EMI 2017)</t>
        </is>
      </c>
      <c r="E62" s="26" t="inlineStr">
        <is>
          <t>HIGH
(&gt;5,000/wk)</t>
        </is>
      </c>
      <c r="F62" s="83" t="inlineStr">
        <is>
          <t>MARKET + boar/stag
(sow: No, roaster: No)</t>
        </is>
      </c>
      <c r="G62" s="83" t="inlineStr">
        <is>
          <t>USDA ✓ M20608</t>
        </is>
      </c>
      <c r="H62"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31 Mar 2026; Apr-Aug 2026 UNVERIFIABLE until the Q3 FY2026 QER publishes.</t>
        </is>
      </c>
      <c r="I62" s="83" t="inlineStr">
        <is>
          <t>Sister plant Villari Food Group is EXPORT-CERTIFIED for pork (FSIS, edible). APHIS by-product listing unverified</t>
        </is>
      </c>
      <c r="J62" s="83" t="inlineStr">
        <is>
          <t>⚠⚠ TWO humane-handling NOIEs — 11 May 2022 AND 8 May 2025 (repeat pattern, 3 yrs apart)</t>
        </is>
      </c>
      <c r="K62" s="83" t="inlineStr">
        <is>
          <t>CLIENT GROUND TRUTH (2026-08-17): we buy LEAF FAT only — 'they can't do organs'. Research verdict: that wall is NEGOTIABLE BUT HARD NEAR-TERM. No regulatory or contractual blocker found (no third party holds the viscera; no organ SKUs in their catalog — viscera go inedible/rendering, inferred outlet Darling Ingredients Rose Hill ~10 mi). The real obstacle is the WASTEWATER crisis: a $3.27M pre-treatment project (Duplin County approved a $200K loan 3/2/2026; friction with the town of Warsaw documented) makes NEW offal handling unattractive until upgrades land (~2027).</t>
        </is>
      </c>
      <c r="L62" s="83" t="inlineStr">
        <is>
          <t>Unlikely at 1,500 hd/day</t>
        </is>
      </c>
      <c r="M62" s="109" t="inlineStr">
        <is>
          <t>YES · ~45 mi</t>
        </is>
      </c>
      <c r="N62" s="83" t="inlineStr">
        <is>
          <t>Model B candidate on volume</t>
        </is>
      </c>
      <c r="O62" s="83" t="inlineStr">
        <is>
          <t>(910) 293-2157
GM Cory Johnson (cory.j@vfgmail.com)
Plant Mgr Rickie Purnell (rickie.p@vfgmail.com)
CEO Joe Villari (strategic ask)</t>
        </is>
      </c>
      <c r="P62" s="145" t="inlineStr">
        <is>
          <t>★ CURRENT
SUPPLIER</t>
        </is>
      </c>
      <c r="Q62" s="83" t="inlineStr">
        <is>
          <t>High</t>
        </is>
      </c>
      <c r="R62" s="83" t="inlineStr">
        <is>
          <t>★ CURRENT SUPPLIER — LEAF FAT ONLY; cannot do organs (client-stated 2026-08-17). VERIFIED 2026-08-17: the leaf-fat program is itself the proof point — the plant already segregates a per-head by-product for us at line speed, so organs at the viscera table are the ADJACENT operation, not a new concept. THE WEDGE: pitch a paid, CLIENT-CREWED viscera-table pilot (Model A — our crew, zero plant labor, zero new SKUs, zero line-speed impact; organs currently leave at rendering value) to GM Cory Johnson / Plant Mgr Rickie Purnell now, and time the big-volume ask for AFTER the wastewater Phase I/II upgrades land (~2027) — organ/gut-room handling is precisely the high-BOD activity the $3.27M project must reduce, so expect 'no organs' to harden until then. LEVERAGE MOMENT: Villari won the single largest NCAMPI award of the 2026-07-07 round — $800,000 for meat processing — and county support cites 1,000 existing + 75 new jobs; a revenue-from-byproduct pitch lands well while they invest. SIZE OF THE PRIZE: at ~1,500 hd/day this is the ONLY current supplier whose scale could cover the entire organ need from a low-single-digit share of the kill. GATE any deepening on the humane record: same egregious failure mode twice (2022, 2025) — a third event could suspend slaughter mid-program; re-check when the Q3/Q4 FY2026 QERs publish.  [2026-08-17 focus-region pass: FSIS MPI + Demographic datasets and NCDA&amp;CS directories (dated 2026-08-10) retrieved fresh 2026-08-17; adversarially verified.]</t>
        </is>
      </c>
    </row>
    <row r="63" ht="219.4" customHeight="1" s="59">
      <c r="A63" s="82" t="inlineStr">
        <is>
          <t>Parks Family Meats, LLC</t>
        </is>
      </c>
      <c r="B63" s="83" t="inlineStr">
        <is>
          <t>Warsaw, NC (Duplin)</t>
        </is>
      </c>
      <c r="C63" s="83" t="inlineStr">
        <is>
          <t>Talmadge-Aiken SLAUGHTER-ONLY plant
(FSIS: slaughter_or_processing_only = Slaughter)</t>
        </is>
      </c>
      <c r="D63" s="83" t="inlineStr">
        <is>
          <t>~400-1,000/wk (client mtg 2026-08);
stated 400/day capacity —
cat-3 actuals confirm headroom exists</t>
        </is>
      </c>
      <c r="E63" s="20" t="inlineStr">
        <is>
          <t>MEDIUM
(350-2,500/wk)</t>
        </is>
      </c>
      <c r="F63" s="134" t="inlineStr">
        <is>
          <t>MARKET + ROASTER
(NOT roaster-only)</t>
        </is>
      </c>
      <c r="G63" s="83" t="inlineStr">
        <is>
          <t>USDA ✓ M18296A
(the study's 'TA-18296A' is the
Talmadge-Aiken designation of the
same establishment)</t>
        </is>
      </c>
      <c r="H63" s="83" t="inlineStr">
        <is>
          <t>None found (FSIS unreachable — NOT a clean bill)</t>
        </is>
      </c>
      <c r="I63" s="83" t="inlineStr">
        <is>
          <t>TA = interstate/export eligible. Company claims Caribbean export (self-reported, UNVERIFIED). APHIS listing not found</t>
        </is>
      </c>
      <c r="J63" s="83" t="inlineStr">
        <is>
          <t>None found (NOT a clean bill — FSIS unreachable)</t>
        </is>
      </c>
      <c r="K63" s="83" t="inlineStr">
        <is>
          <t>Roaster line dresses whole-body — suits intact-block recovery; organs near-zero-value byproduct on their lines. Cold storage + Caribbean-export chill-chain discipline already on site.</t>
        </is>
      </c>
      <c r="L63" s="83" t="inlineStr">
        <is>
          <t>STRONG — 20 staff, single 15,000 sq ft floor, one decision-maker</t>
        </is>
      </c>
      <c r="M63" s="109" t="inlineStr">
        <is>
          <t>YES · ~45 mi</t>
        </is>
      </c>
      <c r="N63" s="83" t="inlineStr">
        <is>
          <t>Only if juvenile tissue acceptable</t>
        </is>
      </c>
      <c r="O63" s="83" t="inlineStr">
        <is>
          <t>PLANT: Kevin Krum, COO (910) 290-0075
kevin.krum@parkslivestock.com
Plant Supervisor Albino Cardoso (910) 284-2354
(Mike Maxwell = corporate sales, Danville IL)</t>
        </is>
      </c>
      <c r="P63" s="145" t="inlineStr">
        <is>
          <t>★ CURRENT
SUPPLIER</t>
        </is>
      </c>
      <c r="Q63" s="83" t="inlineStr">
        <is>
          <t>High</t>
        </is>
      </c>
      <c r="R63" s="83" t="inlineStr">
        <is>
          <t>★ CURRENT SUPPLIER — small, focuses on barbecue pigs, works at low quantities, a bit expensive (client-stated 2026-08-17; a third-party review independently calls pricing 'a little expensive'). VERIFIED 2026-08-17: PARKS IS STRUCTURALLY BIGGER THAN OUR MENTAL MODEL. It is one unit of THE PARKS COMPANIES — 29 facilities in 11 states + 2 Canadian provinces, with its own livestock-marketing arm and trucking fleet. The Warsaw floor is slaughter-only (the exact Model A shape), flagged for BOTH market hogs AND roasters, stated 400/day capacity that cat-3 actuals confirm is not fully used, clean in every checkable enforcement quarter FY2024-FY2026Q2. READ: the 'small, expensive, barbecue-pig' experience is most plausibly a PRICING-AND-PRIORITY ARTIFACT of small spot lots of a premium roaster product — not a structural ceiling. THE PLAY: (1) ask Kevin Krum — newly COO, formerly the plant's own contact — what share of the week is market-weight and whether a contracted client kill day (our crew on-site) can be scheduled; (2) convert spot pricing to PROGRAM pricing against committed weekly volume; (3) the unique lever: use the parent as a PROCUREMENT ARM — they can source market hogs to our spec across 11 states and truck them to their own floor, a supply+harvest bundle nobody else in the base offers. If Krum won't sell a dedicated market-hog window, Parks stays what it is today. NOTE: plant contacts changed — Krum + Albino Cardoso now run the floor; Maxwell is corporate sales in Danville IL.  [2026-08-17 focus-region pass: FSIS MPI + Demographic datasets and NCDA&amp;CS directories (dated 2026-08-10) retrieved fresh 2026-08-17; adversarially verified.]</t>
        </is>
      </c>
    </row>
    <row r="64" ht="98.8" customHeight="1" s="59">
      <c r="A64" s="4" t="inlineStr">
        <is>
          <t>Caldwell Meat Processing Co.</t>
        </is>
      </c>
      <c r="B64" s="68" t="inlineStr">
        <is>
          <t>Maiden, NC (Lincoln)</t>
        </is>
      </c>
      <c r="C64" s="68" t="inlineStr">
        <is>
          <t>NC STATE-inspected slaughter + processing</t>
        </is>
      </c>
      <c r="D64" s="68" t="inlineStr">
        <is>
          <t>unknown (est. SMALL)</t>
        </is>
      </c>
      <c r="E64" s="22" t="inlineStr">
        <is>
          <t>SMALL
(0-300/wk)</t>
        </is>
      </c>
      <c r="F64" s="68" t="inlineStr">
        <is>
          <t>Yes — SWINE-ONLY</t>
        </is>
      </c>
      <c r="G64" s="68" t="inlineStr">
        <is>
          <t>STATE only P-312
(NOT USDA — intrastate)</t>
        </is>
      </c>
      <c r="H64" s="68" t="inlineStr">
        <is>
          <t>State-inspected — never appears in FSIS data; absence is meaningless. Check NCDA state records.</t>
        </is>
      </c>
      <c r="I64" s="68" t="inlineStr">
        <is>
          <t>State-inspected — intrastate NC only; not export eligible as edible product</t>
        </is>
      </c>
      <c r="J64" s="68" t="inlineStr">
        <is>
          <t>None found (state plants never appear in FSIS data — absence is meaningless here)</t>
        </is>
      </c>
      <c r="K64" s="68" t="inlineStr">
        <is>
          <t>Hog-ONLY kill floor — every kill day is a hog day (the Nahunta structural pattern). Offal policy unverified.</t>
        </is>
      </c>
      <c r="L64" s="68" t="inlineStr">
        <is>
          <t>Plausible</t>
        </is>
      </c>
      <c r="M64" s="110" t="inlineStr">
        <is>
          <t>NO · ~227 mi</t>
        </is>
      </c>
      <c r="N64" s="68" t="inlineStr">
        <is>
          <t>Implausible (state inspection blocks interstate edible movement)</t>
        </is>
      </c>
      <c r="O64" s="68" t="inlineStr">
        <is>
          <t>(828) 428-8833</t>
        </is>
      </c>
      <c r="P64" s="23" t="inlineStr">
        <is>
          <t>POSSIBLE</t>
        </is>
      </c>
      <c r="Q64" s="68" t="inlineStr">
        <is>
          <t>Med-High</t>
        </is>
      </c>
      <c r="R64"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5" ht="112.2" customHeight="1" s="59">
      <c r="A65" s="4" t="inlineStr">
        <is>
          <t>McLaughlin's</t>
        </is>
      </c>
      <c r="B65" s="68" t="inlineStr">
        <is>
          <t>Mooresville, NC (Rowan)</t>
        </is>
      </c>
      <c r="C65" s="68" t="inlineStr">
        <is>
          <t>NC STATE-inspected slaughter + processing</t>
        </is>
      </c>
      <c r="D65" s="68" t="inlineStr">
        <is>
          <t>unknown (est. SMALL)</t>
        </is>
      </c>
      <c r="E65" s="22" t="inlineStr">
        <is>
          <t>SMALL
(0-300/wk)</t>
        </is>
      </c>
      <c r="F65" s="68" t="inlineStr">
        <is>
          <t>Yes — SWINE-ONLY</t>
        </is>
      </c>
      <c r="G65" s="68" t="inlineStr">
        <is>
          <t>STATE only P-85
(NOT USDA — intrastate)</t>
        </is>
      </c>
      <c r="H65" s="68" t="inlineStr">
        <is>
          <t>State-inspected — not in FSIS data by construction</t>
        </is>
      </c>
      <c r="I65" s="68" t="inlineStr">
        <is>
          <t>State-inspected — intrastate NC only</t>
        </is>
      </c>
      <c r="J65" s="68" t="inlineStr">
        <is>
          <t>None found (state plant — not in FSIS data)</t>
        </is>
      </c>
      <c r="K65" s="68" t="inlineStr">
        <is>
          <t>MIXED: livermush CONSUMES THE LIVERS (~3,000 lb/wk in season) and sausage uses trim — livers and some viscera are their RAW MATERIAL. But pelvic / bariatric / thoracic blocks, aortas and leaf fat may still be waste streams — negotiable.</t>
        </is>
      </c>
      <c r="L65" s="68" t="inlineStr">
        <is>
          <t>Plausible</t>
        </is>
      </c>
      <c r="M65" s="110" t="inlineStr">
        <is>
          <t>NO · ~201 mi</t>
        </is>
      </c>
      <c r="N65" s="68" t="inlineStr">
        <is>
          <t>Implausible</t>
        </is>
      </c>
      <c r="O65" s="68" t="inlineStr">
        <is>
          <t>(704) 235-8003</t>
        </is>
      </c>
      <c r="P65" s="23" t="inlineStr">
        <is>
          <t>POSSIBLE</t>
        </is>
      </c>
      <c r="Q65" s="68" t="inlineStr">
        <is>
          <t>Med-High</t>
        </is>
      </c>
      <c r="R65"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6" ht="112.2" customHeight="1" s="59">
      <c r="A66" s="4" t="inlineStr">
        <is>
          <t>Price's Custom Meat Cutting &amp; Abattoir</t>
        </is>
      </c>
      <c r="B66" s="68" t="inlineStr">
        <is>
          <t>Hickory, NC (Burke)</t>
        </is>
      </c>
      <c r="C66" s="68" t="inlineStr">
        <is>
          <t>NC STATE-inspected slaughter + processing</t>
        </is>
      </c>
      <c r="D66" s="68" t="inlineStr">
        <is>
          <t>unknown (est. SMALL)</t>
        </is>
      </c>
      <c r="E66" s="22" t="inlineStr">
        <is>
          <t>SMALL
(0-300/wk)</t>
        </is>
      </c>
      <c r="F66" s="68" t="inlineStr">
        <is>
          <t>Yes — SWINE-ONLY</t>
        </is>
      </c>
      <c r="G66" s="68" t="inlineStr">
        <is>
          <t>STATE only P-307
(NOT USDA — intrastate)</t>
        </is>
      </c>
      <c r="H66" s="68" t="inlineStr">
        <is>
          <t>State-inspected — not in FSIS data by construction</t>
        </is>
      </c>
      <c r="I66" s="68" t="inlineStr">
        <is>
          <t>State-inspected — intrastate NC only</t>
        </is>
      </c>
      <c r="J66" s="68" t="inlineStr">
        <is>
          <t>None found (state plant — not in FSIS data)</t>
        </is>
      </c>
      <c r="K66"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L66" s="68" t="inlineStr">
        <is>
          <t>Plausible</t>
        </is>
      </c>
      <c r="M66" s="110" t="inlineStr">
        <is>
          <t>NO · ~226 mi</t>
        </is>
      </c>
      <c r="N66" s="68" t="inlineStr">
        <is>
          <t>Implausible</t>
        </is>
      </c>
      <c r="O66" s="68" t="inlineStr">
        <is>
          <t>(828) 381-8978 (NCDA&amp;CS 2026-08-10)
alt (828) 397-5150
8454 Price Meat Cutting Rd, Hickory</t>
        </is>
      </c>
      <c r="P66" s="23" t="inlineStr">
        <is>
          <t>POSSIBLE</t>
        </is>
      </c>
      <c r="Q66" s="68" t="inlineStr">
        <is>
          <t>Med-High</t>
        </is>
      </c>
      <c r="R66"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7" ht="112.2" customHeight="1" s="59">
      <c r="A67" s="4" t="inlineStr">
        <is>
          <t>Contentnea Farms, LLC</t>
        </is>
      </c>
      <c r="B67" s="68" t="inlineStr">
        <is>
          <t>Walstonburg, NC (Greene)</t>
        </is>
      </c>
      <c r="C67" s="68" t="inlineStr">
        <is>
          <t>Talmadge-Aiken multi-species slaughter</t>
        </is>
      </c>
      <c r="D67" s="68" t="inlineStr">
        <is>
          <t>&lt;19/wk
(FSIS cat 1)</t>
        </is>
      </c>
      <c r="E67" s="139" t="inlineStr">
        <is>
          <t>SMALL
(0-300/wk)</t>
        </is>
      </c>
      <c r="F67" s="68" t="inlineStr">
        <is>
          <t>MARKET + SOW + boar/stag</t>
        </is>
      </c>
      <c r="G67" s="68" t="inlineStr">
        <is>
          <t>USDA ✓ M2583 — grant 10/29/2025
(2nd-newest swine grant in NC;
TA-2583 in the state TA directory)</t>
        </is>
      </c>
      <c r="H67" s="68" t="inlineStr">
        <is>
          <t>None found (FSIS unreachable)</t>
        </is>
      </c>
      <c r="I67" s="68" t="inlineStr">
        <is>
          <t>Talmadge-Aiken — interstate/export eligible. APHIS listing unverified</t>
        </is>
      </c>
      <c r="J67" s="68" t="inlineStr">
        <is>
          <t>None found (FSIS unreachable)</t>
        </is>
      </c>
      <c r="K67" s="68" t="inlineStr">
        <is>
          <t>unknown</t>
        </is>
      </c>
      <c r="L67" s="68" t="inlineStr">
        <is>
          <t>Plausible</t>
        </is>
      </c>
      <c r="M67" s="109" t="inlineStr">
        <is>
          <t>YES · ~35 mi</t>
        </is>
      </c>
      <c r="N67" s="68" t="inlineStr">
        <is>
          <t>Plausible</t>
        </is>
      </c>
      <c r="O67" s="68" t="inlineStr">
        <is>
          <t>(252) 717-9229</t>
        </is>
      </c>
      <c r="P67" s="23" t="inlineStr">
        <is>
          <t>POSSIBLE</t>
        </is>
      </c>
      <c r="Q67" s="68" t="inlineStr">
        <is>
          <t>High</t>
        </is>
      </c>
      <c r="R67"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68" ht="58.6" customHeight="1" s="59">
      <c r="A68" s="4" t="inlineStr">
        <is>
          <t>Assured Community Processing LLC</t>
        </is>
      </c>
      <c r="B68" s="68" t="inlineStr">
        <is>
          <t>Micro, NC (Johnston)</t>
        </is>
      </c>
      <c r="C68" s="68" t="inlineStr">
        <is>
          <t>USDA federal, FSIS 'Very Small'</t>
        </is>
      </c>
      <c r="D68" s="68" t="inlineStr">
        <is>
          <t>n/a — CLOSED</t>
        </is>
      </c>
      <c r="E68" s="143" t="inlineStr">
        <is>
          <t>n/a</t>
        </is>
      </c>
      <c r="F68" s="68" t="inlineStr">
        <is>
          <t>CONFIRM SWINE</t>
        </is>
      </c>
      <c r="G68" s="68" t="inlineStr">
        <is>
          <t>⚠ M2123 went FSIS-INACTIVE
11/10/2025</t>
        </is>
      </c>
      <c r="H68" s="68" t="inlineStr">
        <is>
          <t>None found (FSIS unreachable)</t>
        </is>
      </c>
      <c r="I68" s="68" t="inlineStr">
        <is>
          <t>Federal grant — export structurally possible. Not on public export lists</t>
        </is>
      </c>
      <c r="J68" s="68" t="inlineStr">
        <is>
          <t>None found (FSIS unreachable)</t>
        </is>
      </c>
      <c r="K68" s="68" t="inlineStr">
        <is>
          <t>unknown</t>
        </is>
      </c>
      <c r="L68" s="68" t="inlineStr">
        <is>
          <t>No</t>
        </is>
      </c>
      <c r="M68" s="109" t="inlineStr">
        <is>
          <t>YES · ~40 mi</t>
        </is>
      </c>
      <c r="N68" s="68" t="inlineStr">
        <is>
          <t>No</t>
        </is>
      </c>
      <c r="O68" s="68" t="inlineStr">
        <is>
          <t>(919) 284-0064</t>
        </is>
      </c>
      <c r="P68" s="141" t="inlineStr">
        <is>
          <t>OUT / FLAG</t>
        </is>
      </c>
      <c r="Q68" s="68" t="inlineStr">
        <is>
          <t>High</t>
        </is>
      </c>
      <c r="R68"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69" ht="72" customHeight="1" s="59">
      <c r="A69" s="4" t="inlineStr">
        <is>
          <t>Country Slaughter and Meats</t>
        </is>
      </c>
      <c r="B69" s="68" t="inlineStr">
        <is>
          <t>Rockingham, NC (Richmond)</t>
        </is>
      </c>
      <c r="C69" s="68" t="inlineStr">
        <is>
          <t>USDA federal, FSIS 'Very Small'</t>
        </is>
      </c>
      <c r="D69" s="68" t="inlineStr">
        <is>
          <t>n/a — CLOSED</t>
        </is>
      </c>
      <c r="E69" s="143" t="inlineStr">
        <is>
          <t>n/a</t>
        </is>
      </c>
      <c r="F69" s="68" t="inlineStr">
        <is>
          <t>CONFIRM SWINE</t>
        </is>
      </c>
      <c r="G69" s="68" t="inlineStr">
        <is>
          <t>⚠ M32012 went FSIS-INACTIVE
6/24/2025</t>
        </is>
      </c>
      <c r="H69" s="68" t="inlineStr">
        <is>
          <t>None found (FSIS unreachable)</t>
        </is>
      </c>
      <c r="I69" s="68" t="inlineStr">
        <is>
          <t>Federal grant. Not on public export lists</t>
        </is>
      </c>
      <c r="J69" s="68" t="inlineStr">
        <is>
          <t>None found (FSIS unreachable)</t>
        </is>
      </c>
      <c r="K69" s="68" t="inlineStr">
        <is>
          <t>unknown</t>
        </is>
      </c>
      <c r="L69" s="68" t="inlineStr">
        <is>
          <t>No</t>
        </is>
      </c>
      <c r="M69" s="110" t="inlineStr">
        <is>
          <t>NO · ~137 mi</t>
        </is>
      </c>
      <c r="N69" s="68" t="inlineStr">
        <is>
          <t>No</t>
        </is>
      </c>
      <c r="O69" s="68" t="inlineStr">
        <is>
          <t>(910) 895-0838</t>
        </is>
      </c>
      <c r="P69" s="141" t="inlineStr">
        <is>
          <t>OUT / FLAG</t>
        </is>
      </c>
      <c r="Q69" s="68" t="inlineStr">
        <is>
          <t>High</t>
        </is>
      </c>
      <c r="R69"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0" ht="112.2" customHeight="1" s="59">
      <c r="A70" s="4" t="inlineStr">
        <is>
          <t>Flowers Slaughter House (George Flowers)</t>
        </is>
      </c>
      <c r="B70" s="68" t="inlineStr">
        <is>
          <t>Sims, NC (Wilson)</t>
        </is>
      </c>
      <c r="C70" s="68" t="inlineStr">
        <is>
          <t>USDA FEDERAL (not TA) — 'Very Small'</t>
        </is>
      </c>
      <c r="D70" s="68" t="inlineStr">
        <is>
          <t>~19-192/wk
(FSIS cat 2 ceiling)</t>
        </is>
      </c>
      <c r="E70" s="22" t="inlineStr">
        <is>
          <t>SMALL
(0-300/wk)</t>
        </is>
      </c>
      <c r="F70" s="68" t="inlineStr">
        <is>
          <t>MARKET + boar/stag
(sow: No, roaster: No)</t>
        </is>
      </c>
      <c r="G70" s="68" t="inlineStr">
        <is>
          <t>USDA ✓ M21747 + P21747
(grant 2022)</t>
        </is>
      </c>
      <c r="H70" s="68" t="inlineStr">
        <is>
          <t>None found (FSIS unreachable)</t>
        </is>
      </c>
      <c r="I70" s="68" t="inlineStr">
        <is>
          <t>Federal (M21747). Not on public export lists</t>
        </is>
      </c>
      <c r="J70" s="68" t="inlineStr">
        <is>
          <t>None found (FSIS unreachable)</t>
        </is>
      </c>
      <c r="K70" s="68" t="inlineStr">
        <is>
          <t>Small custom-oriented family floor — offal return on request is the norm in this class (inference). BOAR/STAG flag = the largest male anatomy in the region.</t>
        </is>
      </c>
      <c r="L70" s="68" t="inlineStr">
        <is>
          <t>Plausible</t>
        </is>
      </c>
      <c r="M70" s="109" t="inlineStr">
        <is>
          <t>YES · ~45 mi</t>
        </is>
      </c>
      <c r="N70" s="68" t="inlineStr">
        <is>
          <t>Plausible</t>
        </is>
      </c>
      <c r="O70" s="68" t="inlineStr">
        <is>
          <t>(252) 237-2982
Contacts: Alan Sharp / Tim Boswell
5154-A St. Rose Church Rd, Sims
Hours M-F 7-5, Sat 7-10am</t>
        </is>
      </c>
      <c r="P70" s="23" t="inlineStr">
        <is>
          <t>POSSIBLE</t>
        </is>
      </c>
      <c r="Q70" s="68" t="inlineStr">
        <is>
          <t>High</t>
        </is>
      </c>
      <c r="R70"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1" ht="98.8" customHeight="1" s="59">
      <c r="A71" s="4" t="inlineStr">
        <is>
          <t>13 multi-species TA plants (roll-up)</t>
        </is>
      </c>
      <c r="B71" s="68" t="inlineStr">
        <is>
          <t>across NC</t>
        </is>
      </c>
      <c r="C71" s="68" t="inlineStr">
        <is>
          <t>Talmadge-Aiken multi-species (incl. swine)</t>
        </is>
      </c>
      <c r="D71" s="68" t="inlineStr">
        <is>
          <t>unknown — est. 10-80 hogs/wk each</t>
        </is>
      </c>
      <c r="E71" s="22" t="inlineStr">
        <is>
          <t>SMALL
(0-300/wk)</t>
        </is>
      </c>
      <c r="F71" s="68" t="inlineStr">
        <is>
          <t>Yes (C among A-E)</t>
        </is>
      </c>
      <c r="G71" s="68" t="inlineStr">
        <is>
          <t>USDA ✓ Talmadge-Aiken
(interstate/export eligible)</t>
        </is>
      </c>
      <c r="H71" s="68" t="inlineStr">
        <is>
          <t>Not individually researched — Wayne Mays and Wilkes/Thomas Bros carry actions (see their own rows)</t>
        </is>
      </c>
      <c r="I71" s="68" t="inlineStr">
        <is>
          <t>All Talmadge-Aiken = federal-equivalent, so interstate/export eligible in structure. APHIS listing unverified for all</t>
        </is>
      </c>
      <c r="J71" s="68" t="inlineStr">
        <is>
          <t>None found (FSIS unreachable)</t>
        </is>
      </c>
      <c r="K71" s="68" t="inlineStr">
        <is>
          <t>unknown</t>
        </is>
      </c>
      <c r="L71" s="68" t="inlineStr">
        <is>
          <t>Plausible (Model A / aggregation)</t>
        </is>
      </c>
      <c r="M71" s="111" t="inlineStr">
        <is>
          <t>mixed — confirm</t>
        </is>
      </c>
      <c r="N71" s="68" t="inlineStr">
        <is>
          <t>Weak — low hog share</t>
        </is>
      </c>
      <c r="O71" s="68" t="inlineStr">
        <is>
          <t>see notes →</t>
        </is>
      </c>
      <c r="P71" s="23" t="inlineStr">
        <is>
          <t>POSSIBLE</t>
        </is>
      </c>
      <c r="Q71" s="68" t="inlineStr">
        <is>
          <t>Med</t>
        </is>
      </c>
      <c r="R71"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2" ht="72" customHeight="1" s="59">
      <c r="A72" s="4" t="inlineStr">
        <is>
          <t>NC state-inspected multi-species (roll-up)</t>
        </is>
      </c>
      <c r="B72" s="68" t="inlineStr">
        <is>
          <t>across NC</t>
        </is>
      </c>
      <c r="C72" s="68" t="inlineStr">
        <is>
          <t>NC STATE-inspected (intrastate only)</t>
        </is>
      </c>
      <c r="D72" s="68" t="inlineStr">
        <is>
          <t>unknown (est. SMALL)</t>
        </is>
      </c>
      <c r="E72" s="22" t="inlineStr">
        <is>
          <t>SMALL
(0-300/wk)</t>
        </is>
      </c>
      <c r="F72" s="68" t="inlineStr">
        <is>
          <t>Yes</t>
        </is>
      </c>
      <c r="G72" s="68" t="inlineStr">
        <is>
          <t>STATE only
(NOT USDA — FLAG)</t>
        </is>
      </c>
      <c r="H72" s="68" t="inlineStr">
        <is>
          <t>State-inspected — not in FSIS data by construction</t>
        </is>
      </c>
      <c r="I72" s="68" t="inlineStr">
        <is>
          <t>State-inspected — intrastate NC only (FLAG for export)</t>
        </is>
      </c>
      <c r="J72" s="68" t="inlineStr">
        <is>
          <t>Not in FSIS data by construction</t>
        </is>
      </c>
      <c r="K72" s="68" t="inlineStr">
        <is>
          <t>unknown</t>
        </is>
      </c>
      <c r="L72" s="68" t="inlineStr">
        <is>
          <t>Plausible</t>
        </is>
      </c>
      <c r="M72" s="111" t="inlineStr">
        <is>
          <t>mixed — confirm</t>
        </is>
      </c>
      <c r="N72" s="68" t="inlineStr">
        <is>
          <t>Implausible</t>
        </is>
      </c>
      <c r="O72" s="68" t="inlineStr">
        <is>
          <t>see notes →</t>
        </is>
      </c>
      <c r="P72" s="23" t="inlineStr">
        <is>
          <t>CAUTION</t>
        </is>
      </c>
      <c r="Q72" s="68" t="inlineStr">
        <is>
          <t>Med</t>
        </is>
      </c>
      <c r="R72"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3" ht="31.8" customHeight="1" s="59">
      <c r="A73" s="4" t="inlineStr">
        <is>
          <t>Frank Corriher Beef and Sausage</t>
        </is>
      </c>
      <c r="B73" s="68" t="inlineStr">
        <is>
          <t>China Grove, NC (Rowan)</t>
        </is>
      </c>
      <c r="C73" s="68" t="inlineStr">
        <is>
          <t>TA — AMBIGUOUS record</t>
        </is>
      </c>
      <c r="D73" s="68" t="inlineStr">
        <is>
          <t>unknown</t>
        </is>
      </c>
      <c r="E73" s="24" t="inlineStr">
        <is>
          <t>unknown
(confirm)</t>
        </is>
      </c>
      <c r="F73" s="68" t="inlineStr">
        <is>
          <t>Ambiguous — see notes</t>
        </is>
      </c>
      <c r="G73" s="68" t="inlineStr">
        <is>
          <t>USDA ✓ TA-21022 / M21022</t>
        </is>
      </c>
      <c r="H73" s="68" t="inlineStr">
        <is>
          <t>None found</t>
        </is>
      </c>
      <c r="I73" s="68" t="inlineStr">
        <is>
          <t>TA/federal number exists — verify</t>
        </is>
      </c>
      <c r="J73" s="68" t="inlineStr">
        <is>
          <t>None found</t>
        </is>
      </c>
      <c r="K73" s="68" t="inlineStr">
        <is>
          <t>unknown</t>
        </is>
      </c>
      <c r="L73" s="68" t="inlineStr">
        <is>
          <t>Unknown</t>
        </is>
      </c>
      <c r="M73" s="110" t="inlineStr">
        <is>
          <t>NO · ~187 mi</t>
        </is>
      </c>
      <c r="N73" s="68" t="inlineStr">
        <is>
          <t>Unknown</t>
        </is>
      </c>
      <c r="O73" s="68" t="inlineStr">
        <is>
          <t>(704) 857-5519</t>
        </is>
      </c>
      <c r="P73" s="23" t="inlineStr">
        <is>
          <t>CAUTION</t>
        </is>
      </c>
      <c r="Q73" s="68" t="inlineStr">
        <is>
          <t>Low</t>
        </is>
      </c>
      <c r="R73" s="68" t="inlineStr">
        <is>
          <t>DATA ANOMALY: NCDA lists Activities='Processing' but populates Slaughter Species='C' — every other processing-only plant leaves that blank. Either a stale slaughter grant or a data error. Worth ONE phone call.</t>
        </is>
      </c>
    </row>
    <row r="74" ht="31.8" customHeight="1" s="59">
      <c r="A74" s="4" t="inlineStr">
        <is>
          <t>Deer Shack Processing</t>
        </is>
      </c>
      <c r="B74" s="68" t="inlineStr">
        <is>
          <t>Mount Holly, NC (Gaston)</t>
        </is>
      </c>
      <c r="C74" s="68" t="inlineStr">
        <is>
          <t>CUSTOM-EXEMPT</t>
        </is>
      </c>
      <c r="D74" s="68" t="inlineStr">
        <is>
          <t>unknown</t>
        </is>
      </c>
      <c r="E74" s="24" t="inlineStr">
        <is>
          <t>unknown
(confirm)</t>
        </is>
      </c>
      <c r="F74" s="68" t="inlineStr">
        <is>
          <t>Yes — SWINE-ONLY</t>
        </is>
      </c>
      <c r="G74" s="68" t="inlineStr">
        <is>
          <t>CUSTOM-EXEMPT
(no inspection, no sale)</t>
        </is>
      </c>
      <c r="H74" s="68" t="inlineStr">
        <is>
          <t>Custom-exempt — outside FSIS enforcement</t>
        </is>
      </c>
      <c r="I74" s="68" t="inlineStr">
        <is>
          <t>Custom-exempt — not saleable, not exportable</t>
        </is>
      </c>
      <c r="J74" s="68" t="inlineStr">
        <is>
          <t>n/a</t>
        </is>
      </c>
      <c r="K74" s="68" t="inlineStr">
        <is>
          <t>n/a</t>
        </is>
      </c>
      <c r="L74" s="68" t="inlineStr">
        <is>
          <t>Not usable for a regulated chain</t>
        </is>
      </c>
      <c r="M74" s="110" t="inlineStr">
        <is>
          <t>NO · ~223 mi</t>
        </is>
      </c>
      <c r="N74" s="68" t="inlineStr">
        <is>
          <t>No</t>
        </is>
      </c>
      <c r="O74" s="68" t="inlineStr">
        <is>
          <t>(704) 718-9135</t>
        </is>
      </c>
      <c r="P74" s="28" t="inlineStr">
        <is>
          <t>OUT / FLAG</t>
        </is>
      </c>
      <c r="Q74" s="68" t="inlineStr">
        <is>
          <t>Med</t>
        </is>
      </c>
      <c r="R74" s="68" t="inlineStr">
        <is>
          <t>Custom-exempt: owner-return only, product cannot be sold. Listed for completeness.</t>
        </is>
      </c>
    </row>
    <row r="75" ht="58.6" customHeight="1" s="59">
      <c r="A75" s="4" t="inlineStr">
        <is>
          <t>Randolph Packing / Harpley's</t>
        </is>
      </c>
      <c r="B75" s="68" t="inlineStr">
        <is>
          <t>Asheboro, NC</t>
        </is>
      </c>
      <c r="C75" s="68" t="inlineStr">
        <is>
          <t>BEEF packer — EXCLUDED</t>
        </is>
      </c>
      <c r="D75" s="68" t="inlineStr">
        <is>
          <t>n/a — ~350-400 CATTLE/day</t>
        </is>
      </c>
      <c r="E75" s="24" t="inlineStr">
        <is>
          <t>n/a</t>
        </is>
      </c>
      <c r="F75" s="68" t="inlineStr">
        <is>
          <t>NO SWINE FLAGS in FSIS
— confirms BEEF ONLY</t>
        </is>
      </c>
      <c r="G75" s="68" t="inlineStr">
        <is>
          <t>USDA ✓ M6590
(Harpley's Meat Packing Inc.)</t>
        </is>
      </c>
      <c r="H75" s="68" t="inlineStr">
        <is>
          <t>n/a — beef plant, excluded</t>
        </is>
      </c>
      <c r="I75" s="68" t="inlineStr">
        <is>
          <t>n/a</t>
        </is>
      </c>
      <c r="J75" s="68" t="inlineStr">
        <is>
          <t>n/a</t>
        </is>
      </c>
      <c r="K75" s="68" t="inlineStr">
        <is>
          <t>n/a</t>
        </is>
      </c>
      <c r="L75" s="68" t="inlineStr">
        <is>
          <t>No</t>
        </is>
      </c>
      <c r="M75" s="110" t="inlineStr">
        <is>
          <t>NO (est.)</t>
        </is>
      </c>
      <c r="N75" s="68" t="inlineStr">
        <is>
          <t>No</t>
        </is>
      </c>
      <c r="O75" s="68" t="inlineStr">
        <is>
          <t>—</t>
        </is>
      </c>
      <c r="P75" s="28" t="inlineStr">
        <is>
          <t>OUT / FLAG</t>
        </is>
      </c>
      <c r="Q75" s="68" t="inlineStr">
        <is>
          <t>High</t>
        </is>
      </c>
      <c r="R75"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6" ht="19.7" customHeight="1" s="59">
      <c r="A76" s="118" t="inlineStr">
        <is>
          <t>★ ADDED 2026-08-17 — FOCUS-REGION SWEEP (client-directed: current base re-research + Western NC · North of Raleigh · Eastern NC). 14 agents; 5 claims adversarially verified.</t>
        </is>
      </c>
    </row>
    <row r="77" ht="98.8" customHeight="1" s="59">
      <c r="A77" s="146" t="inlineStr">
        <is>
          <t>McLamb's Abattoir and Meats, Inc.</t>
        </is>
      </c>
      <c r="B77" s="83" t="inlineStr">
        <is>
          <t>Benson, NC (Johnston)</t>
        </is>
      </c>
      <c r="C77" s="83" t="inlineStr">
        <is>
          <t>NC STATE-inspected slaughter + processing</t>
        </is>
      </c>
      <c r="D77" s="83" t="inlineStr">
        <is>
          <t>unknown — state plants
publish no volumes</t>
        </is>
      </c>
      <c r="E77" s="143" t="inlineStr">
        <is>
          <t>unknown
(confirm)</t>
        </is>
      </c>
      <c r="F77" s="134" t="inlineStr">
        <is>
          <t>Multi-species incl. HOGS
(state species A,B,C,D,E)</t>
        </is>
      </c>
      <c r="G77" s="83" t="inlineStr">
        <is>
          <t>STATE ✓ P-247
(NC state — APHIS-equivalent
for our harvest path)</t>
        </is>
      </c>
      <c r="H77" s="83" t="inlineStr">
        <is>
          <t>None found (state plants sit outside FSIS reporting — site-visit finding)</t>
        </is>
      </c>
      <c r="I77" s="83" t="inlineStr">
        <is>
          <t>NC state inspection = APHIS-accepted equivalent when WE harvest; export-eligible via ATM assembly</t>
        </is>
      </c>
      <c r="J77" s="83" t="inlineStr">
        <is>
          <t>Family abattoir; operator Shane Lee. Nothing published either way.</t>
        </is>
      </c>
      <c r="K77" s="83" t="inlineStr">
        <is>
          <t>Plausible-untested — custom-oriented family floor; offal return is the norm in this class</t>
        </is>
      </c>
      <c r="L77" s="83" t="inlineStr">
        <is>
          <t>Nahunta playbook: relationship-first, our crew on site</t>
        </is>
      </c>
      <c r="M77" s="88" t="inlineStr">
        <is>
          <t>YES · ~37 mi</t>
        </is>
      </c>
      <c r="N77" s="83" t="inlineStr">
        <is>
          <t>Plausible</t>
        </is>
      </c>
      <c r="O77" s="83" t="inlineStr">
        <is>
          <t>(919) 894-2587
Operator: Shane Lee
623 Benson-Hardee Rd, Benson</t>
        </is>
      </c>
      <c r="P77" s="140" t="inlineStr">
        <is>
          <t>POSSIBLE</t>
        </is>
      </c>
      <c r="Q77" s="83" t="inlineStr">
        <is>
          <t>Med</t>
        </is>
      </c>
      <c r="R77"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78" ht="72" customHeight="1" s="59">
      <c r="A78" s="146" t="inlineStr">
        <is>
          <t>Gale McLamb Meats</t>
        </is>
      </c>
      <c r="B78" s="83" t="inlineStr">
        <is>
          <t>Dunn, NC (Harnett)</t>
        </is>
      </c>
      <c r="C78" s="83" t="inlineStr">
        <is>
          <t>NC STATE-inspected slaughter + processing</t>
        </is>
      </c>
      <c r="D78" s="83" t="inlineStr">
        <is>
          <t>unknown — likely small
retail-butcher scale</t>
        </is>
      </c>
      <c r="E78" s="143" t="inlineStr">
        <is>
          <t>unknown
(confirm)</t>
        </is>
      </c>
      <c r="F78" s="134" t="inlineStr">
        <is>
          <t>Cattle + HOGS
(state species A,B,C)</t>
        </is>
      </c>
      <c r="G78" s="83" t="inlineStr">
        <is>
          <t>STATE ✓ P-221
(NC state — APHIS-equivalent
for our harvest path)</t>
        </is>
      </c>
      <c r="H78" s="83" t="inlineStr">
        <is>
          <t>None found (state plants sit outside FSIS reporting)</t>
        </is>
      </c>
      <c r="I78" s="83" t="inlineStr">
        <is>
          <t>NC state inspection = APHIS-accepted equivalent when WE harvest</t>
        </is>
      </c>
      <c r="J78" s="83" t="inlineStr">
        <is>
          <t>Family plant since 1980 (Gale &amp; Linda McLamb + two sons). Nothing published either way.</t>
        </is>
      </c>
      <c r="K78" s="83" t="inlineStr">
        <is>
          <t>Plausible-untested</t>
        </is>
      </c>
      <c r="L78" s="83" t="inlineStr">
        <is>
          <t>Nahunta playbook; Martin's-adjacent fallback</t>
        </is>
      </c>
      <c r="M78" s="88" t="inlineStr">
        <is>
          <t>YES · ~44 mi</t>
        </is>
      </c>
      <c r="N78" s="83" t="inlineStr">
        <is>
          <t>Plausible</t>
        </is>
      </c>
      <c r="O78" s="83" t="inlineStr">
        <is>
          <t>(910) 892-7279
4216 US 301 N, Dunn</t>
        </is>
      </c>
      <c r="P78" s="140" t="inlineStr">
        <is>
          <t>POSSIBLE</t>
        </is>
      </c>
      <c r="Q78" s="83" t="inlineStr">
        <is>
          <t>Med</t>
        </is>
      </c>
      <c r="R78"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79" ht="72" customHeight="1" s="59">
      <c r="A79" s="146" t="inlineStr">
        <is>
          <t>SCR International Corp.</t>
        </is>
      </c>
      <c r="B79" s="83" t="inlineStr">
        <is>
          <t>Fairmont, NC (Robeson)</t>
        </is>
      </c>
      <c r="C79" s="83" t="inlineStr">
        <is>
          <t>USDA federal (T-A) whole-pig ROASTER house</t>
        </is>
      </c>
      <c r="D79" s="83" t="inlineStr">
        <is>
          <t>~19-192/wk
(FSIS cat 2)</t>
        </is>
      </c>
      <c r="E79" s="139" t="inlineStr">
        <is>
          <t>SMALL
(0-300/wk)</t>
        </is>
      </c>
      <c r="F79" s="134" t="inlineStr">
        <is>
          <t>MARKET + SOW flags —
reality: roasters 10-110 lb
for the lechon/ethnic trade</t>
        </is>
      </c>
      <c r="G79" s="83" t="inlineStr">
        <is>
          <t>USDA ✓ M9199 + P9199
(TA-9199 in the state TA directory)</t>
        </is>
      </c>
      <c r="H79" s="83" t="inlineStr">
        <is>
          <t>None found</t>
        </is>
      </c>
      <c r="I79" s="83" t="inlineStr">
        <is>
          <t>Federal grant → harvest-path eligible in principle</t>
        </is>
      </c>
      <c r="J79" s="83" t="inlineStr">
        <is>
          <t>None found (no FTP documentation, no HH enforcement rows)</t>
        </is>
      </c>
      <c r="K79" s="83" t="inlineStr">
        <is>
          <t>WEAK — roasters dressed whole; small-pig anatomy wrong for surgical models; sow flag likely incidental</t>
        </is>
      </c>
      <c r="L79" s="83" t="inlineStr">
        <is>
          <t>No upside vs Parks</t>
        </is>
      </c>
      <c r="M79" s="89" t="inlineStr">
        <is>
          <t>NO · ~114 mi</t>
        </is>
      </c>
      <c r="N79" s="83" t="inlineStr">
        <is>
          <t>Duplicates Parks' niche</t>
        </is>
      </c>
      <c r="O79" s="83" t="inlineStr">
        <is>
          <t>(910) 628-8267
alt (917) 698-3312
csmeatinternational@gmail.com</t>
        </is>
      </c>
      <c r="P79" s="140" t="inlineStr">
        <is>
          <t>CAUTION</t>
        </is>
      </c>
      <c r="Q79" s="83" t="inlineStr">
        <is>
          <t>Med</t>
        </is>
      </c>
      <c r="R79"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0" ht="85.40000000000001" customHeight="1" s="59">
      <c r="A80" s="146" t="inlineStr">
        <is>
          <t>Caudle Meat (Greene Co.) — WATCH</t>
        </is>
      </c>
      <c r="B80" s="83" t="inlineStr">
        <is>
          <t>Greene County, NC (site unlocated)</t>
        </is>
      </c>
      <c r="C80" s="83" t="inlineStr">
        <is>
          <t>NCAMPI grantee — NO inspection grant yet</t>
        </is>
      </c>
      <c r="D80" s="83" t="inlineStr">
        <is>
          <t>n/a — not yet operating
(no directory record)</t>
        </is>
      </c>
      <c r="E80" s="143" t="inlineStr">
        <is>
          <t>unknown
(confirm)</t>
        </is>
      </c>
      <c r="F80" s="134" t="inlineStr">
        <is>
          <t>unknown</t>
        </is>
      </c>
      <c r="G80" s="83" t="inlineStr">
        <is>
          <t>NOT in any 2026-08-10 directory
(state, TA, or custom)</t>
        </is>
      </c>
      <c r="H80" s="83" t="inlineStr">
        <is>
          <t>n/a</t>
        </is>
      </c>
      <c r="I80" s="83" t="inlineStr">
        <is>
          <t>n/a</t>
        </is>
      </c>
      <c r="J80" s="83" t="inlineStr">
        <is>
          <t>unknown</t>
        </is>
      </c>
      <c r="K80" s="83" t="inlineStr">
        <is>
          <t>unknown</t>
        </is>
      </c>
      <c r="L80" s="83" t="inlineStr">
        <is>
          <t>unknown</t>
        </is>
      </c>
      <c r="M80" s="89" t="inlineStr">
        <is>
          <t>confirm</t>
        </is>
      </c>
      <c r="N80" s="83" t="inlineStr">
        <is>
          <t>unknown</t>
        </is>
      </c>
      <c r="O80" s="83" t="inlineStr">
        <is>
          <t>— (a 'Caudle's Meat Processing, LLC'
is registered in Cary NC — link unconfirmed)</t>
        </is>
      </c>
      <c r="P80" s="140" t="inlineStr">
        <is>
          <t>WATCH</t>
        </is>
      </c>
      <c r="Q80" s="83" t="inlineStr">
        <is>
          <t>Low-Med</t>
        </is>
      </c>
      <c r="R80"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1" ht="72" customHeight="1" s="59">
      <c r="A81" s="146" t="inlineStr">
        <is>
          <t>Select Meats, Inc.</t>
        </is>
      </c>
      <c r="B81" s="83" t="inlineStr">
        <is>
          <t>Kannapolis, NC (Rowan)</t>
        </is>
      </c>
      <c r="C81" s="83" t="inlineStr">
        <is>
          <t>USDA federal (T-A) SLAUGHTER-ONLY plant</t>
        </is>
      </c>
      <c r="D81" s="83" t="inlineStr">
        <is>
          <t>~19-192/wk all species
(FSIS cat 2)</t>
        </is>
      </c>
      <c r="E81" s="139" t="inlineStr">
        <is>
          <t>SMALL
(0-300/wk)</t>
        </is>
      </c>
      <c r="F81" s="134" t="inlineStr">
        <is>
          <t>MARKET only
(cattle + hogs; mgr Gerald Wood)</t>
        </is>
      </c>
      <c r="G81" s="83" t="inlineStr">
        <is>
          <t>USDA ✓ M10757
(TA-10757 in the state TA directory)</t>
        </is>
      </c>
      <c r="H81" s="83" t="inlineStr">
        <is>
          <t>None found</t>
        </is>
      </c>
      <c r="I81" s="83" t="inlineStr">
        <is>
          <t>Federal grant → harvest-path eligible</t>
        </is>
      </c>
      <c r="J81" s="83" t="inlineStr">
        <is>
          <t>None found</t>
        </is>
      </c>
      <c r="K81" s="83" t="inlineStr">
        <is>
          <t>Plausible-unknown — slaughter-only custom plant, organ return typical but undocumented</t>
        </is>
      </c>
      <c r="L81" s="83" t="inlineStr">
        <is>
          <t>Could be a CQP-style Model A host IF the building supports it — near-zero public footprint</t>
        </is>
      </c>
      <c r="M81" s="89" t="inlineStr">
        <is>
          <t>NO · ~190 mi</t>
        </is>
      </c>
      <c r="N81" s="83" t="inlineStr">
        <is>
          <t>Plausible</t>
        </is>
      </c>
      <c r="O81" s="83" t="inlineStr">
        <is>
          <t>(704) 202-9340 (FSIS)
alt (704) 933-7550 (NCDA&amp;CS)
Mgr: Gerald Wood</t>
        </is>
      </c>
      <c r="P81" s="140" t="inlineStr">
        <is>
          <t>POSSIBLE</t>
        </is>
      </c>
      <c r="Q81" s="83" t="inlineStr">
        <is>
          <t>Low-Med</t>
        </is>
      </c>
      <c r="R81"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2" ht="72" customHeight="1" s="59">
      <c r="A82" s="146" t="inlineStr">
        <is>
          <t>Crawley's Abattoir</t>
        </is>
      </c>
      <c r="B82" s="83" t="inlineStr">
        <is>
          <t>Morganton, NC (Burke)</t>
        </is>
      </c>
      <c r="C82" s="83" t="inlineStr">
        <is>
          <t>NC STATE-inspected slaughter + processing</t>
        </is>
      </c>
      <c r="D82" s="83" t="inlineStr">
        <is>
          <t>unknown — state plants
publish no volumes</t>
        </is>
      </c>
      <c r="E82" s="143" t="inlineStr">
        <is>
          <t>unknown
(confirm)</t>
        </is>
      </c>
      <c r="F82" s="134" t="inlineStr">
        <is>
          <t>HOGS + goats/sheep
(state species C, D, E)</t>
        </is>
      </c>
      <c r="G82" s="83" t="inlineStr">
        <is>
          <t>STATE ✓ P-101
(NC state — APHIS-equivalent
for our harvest path)</t>
        </is>
      </c>
      <c r="H82" s="83" t="inlineStr">
        <is>
          <t>None found (state plants sit outside FSIS reporting)</t>
        </is>
      </c>
      <c r="I82" s="83" t="inlineStr">
        <is>
          <t>NC state inspection = APHIS-accepted equivalent when WE harvest</t>
        </is>
      </c>
      <c r="J82" s="83" t="inlineStr">
        <is>
          <t>Nothing published either way.</t>
        </is>
      </c>
      <c r="K82" s="83" t="inlineStr">
        <is>
          <t>Plausible-untested</t>
        </is>
      </c>
      <c r="L82" s="83" t="inlineStr">
        <is>
          <t>Western-crew / Model B only (distance)</t>
        </is>
      </c>
      <c r="M82" s="89" t="inlineStr">
        <is>
          <t>NO · ~245 mi</t>
        </is>
      </c>
      <c r="N82" s="83" t="inlineStr">
        <is>
          <t>Plausible</t>
        </is>
      </c>
      <c r="O82" s="83" t="inlineStr">
        <is>
          <t>(828) 584-6356</t>
        </is>
      </c>
      <c r="P82" s="140" t="inlineStr">
        <is>
          <t>POSSIBLE</t>
        </is>
      </c>
      <c r="Q82" s="83" t="inlineStr">
        <is>
          <t>Low-Med</t>
        </is>
      </c>
      <c r="R82"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3" ht="112.2" customHeight="1" s="59">
      <c r="A83" s="146" t="inlineStr">
        <is>
          <t>Western NC micro federal plants (roll-up)</t>
        </is>
      </c>
      <c r="B83" s="83" t="inlineStr">
        <is>
          <t>Marion / Rutherfordton / Marshville / Yadkinville, NC</t>
        </is>
      </c>
      <c r="C83" s="83" t="inlineStr">
        <is>
          <t>4 small USDA federal plants, all cat 1</t>
        </is>
      </c>
      <c r="D83" s="83" t="inlineStr">
        <is>
          <t>&lt;19/wk each
(FSIS cat 1)</t>
        </is>
      </c>
      <c r="E83" s="139" t="inlineStr">
        <is>
          <t>SMALL
(0-300/wk)</t>
        </is>
      </c>
      <c r="F83" s="134" t="inlineStr">
        <is>
          <t>Mixed (market; some sow/boar)</t>
        </is>
      </c>
      <c r="G83" s="83" t="inlineStr">
        <is>
          <t>USDA ✓ — Blueridge Processing M2225 (Marion);
Circle S Meats M1916 (Rutherfordton);
Plantation Processing M790 (Marshville);
Cool Springs M1041 (Yadkinville)</t>
        </is>
      </c>
      <c r="H83" s="83" t="inlineStr">
        <is>
          <t>None found</t>
        </is>
      </c>
      <c r="I83" s="83" t="inlineStr">
        <is>
          <t>Federal grants → harvest-path eligible</t>
        </is>
      </c>
      <c r="J83" s="83" t="inlineStr">
        <is>
          <t>None found</t>
        </is>
      </c>
      <c r="K83" s="83" t="inlineStr">
        <is>
          <t>n/a at this volume</t>
        </is>
      </c>
      <c r="L83" s="83" t="inlineStr">
        <is>
          <t>No — too small, too far</t>
        </is>
      </c>
      <c r="M83" s="89" t="inlineStr">
        <is>
          <t>NO · 170-283 mi</t>
        </is>
      </c>
      <c r="N83" s="83" t="inlineStr">
        <is>
          <t>No</t>
        </is>
      </c>
      <c r="O83" s="83" t="inlineStr">
        <is>
          <t>Blueridge (828) 803-1264 · Circle S (828) 429-3047
(FSIS lists a typo'd number) ·
Plantation (704) 385-9429 · Cool Springs (336) 835-5377</t>
        </is>
      </c>
      <c r="P83" s="141" t="inlineStr">
        <is>
          <t>OUT / FLAG</t>
        </is>
      </c>
      <c r="Q83" s="83" t="inlineStr">
        <is>
          <t>High</t>
        </is>
      </c>
      <c r="R83"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4" ht="125.6" customHeight="1" s="59">
      <c r="A84" s="146" t="inlineStr">
        <is>
          <t>⚠ CLOSURES 2025-26 (roll-up) — the small-plant pool is SHRINKING</t>
        </is>
      </c>
      <c r="B84" s="83" t="inlineStr">
        <is>
          <t>across NC</t>
        </is>
      </c>
      <c r="C84" s="83" t="inlineStr">
        <is>
          <t>FSIS-inactive establishments</t>
        </is>
      </c>
      <c r="D84" s="83" t="inlineStr">
        <is>
          <t>n/a</t>
        </is>
      </c>
      <c r="E84" s="143" t="inlineStr">
        <is>
          <t>n/a</t>
        </is>
      </c>
      <c r="F84" s="134" t="inlineStr">
        <is>
          <t>n/a</t>
        </is>
      </c>
      <c r="G84" s="83" t="inlineStr">
        <is>
          <t>All confirmed on the FSIS INACTIVE
directory retrieved 2026-08-17</t>
        </is>
      </c>
      <c r="H84" s="83" t="inlineStr">
        <is>
          <t>n/a</t>
        </is>
      </c>
      <c r="I84" s="83" t="inlineStr">
        <is>
          <t>n/a</t>
        </is>
      </c>
      <c r="J84" s="83" t="inlineStr">
        <is>
          <t>n/a</t>
        </is>
      </c>
      <c r="K84" s="83" t="inlineStr">
        <is>
          <t>n/a</t>
        </is>
      </c>
      <c r="L84" s="83" t="inlineStr">
        <is>
          <t>n/a</t>
        </is>
      </c>
      <c r="M84" s="89" t="inlineStr">
        <is>
          <t>n/a</t>
        </is>
      </c>
      <c r="N84" s="83" t="inlineStr">
        <is>
          <t>n/a</t>
        </is>
      </c>
      <c r="O84" s="83" t="inlineStr">
        <is>
          <t>—</t>
        </is>
      </c>
      <c r="P84" s="141" t="inlineStr">
        <is>
          <t>OUT / FLAG</t>
        </is>
      </c>
      <c r="Q84" s="83" t="inlineStr">
        <is>
          <t>High</t>
        </is>
      </c>
      <c r="R84"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5" ht="19.7" customHeight="1" s="59">
      <c r="A85" s="118" t="inlineStr">
        <is>
          <t>SOUTH CAROLINA — NEWLY FOUND (Clemson SCMPID official workbook)</t>
        </is>
      </c>
    </row>
    <row r="86" ht="58.6" customHeight="1" s="59">
      <c r="A86" s="4" t="inlineStr">
        <is>
          <t>SC 'Cross Utilization Federal' slaughter plants (roll-up)</t>
        </is>
      </c>
      <c r="B86" s="68" t="inlineStr">
        <is>
          <t>SC</t>
        </is>
      </c>
      <c r="C86" s="68" t="inlineStr">
        <is>
          <t>FEDERAL est. inspected by SC state staff (SC's Talmadge-Aiken analogue)</t>
        </is>
      </c>
      <c r="D86" s="68" t="inlineStr">
        <is>
          <t>unknown</t>
        </is>
      </c>
      <c r="E86" s="24" t="inlineStr">
        <is>
          <t>unknown
(confirm)</t>
        </is>
      </c>
      <c r="F86" s="68" t="inlineStr">
        <is>
          <t>CONFIRM — no species column in SC file</t>
        </is>
      </c>
      <c r="G86" s="68" t="inlineStr">
        <is>
          <t>USDA federal-equivalent
(interstate/export eligible)</t>
        </is>
      </c>
      <c r="H86" s="68" t="inlineStr">
        <is>
          <t>None found — and SC LEGALLY REFUSES to release humane records, so screening returns false negatives by construction</t>
        </is>
      </c>
      <c r="I86" s="68" t="inlineStr">
        <is>
          <t>Federal-equivalent — SC's ONLY export-eligible slaughter route. APHIS listing unverified</t>
        </is>
      </c>
      <c r="J86" s="68" t="inlineStr">
        <is>
          <t>None found</t>
        </is>
      </c>
      <c r="K86" s="68" t="inlineStr">
        <is>
          <t>unknown</t>
        </is>
      </c>
      <c r="L86" s="68" t="inlineStr">
        <is>
          <t>Plausible</t>
        </is>
      </c>
      <c r="M86" s="111" t="inlineStr">
        <is>
          <t>mixed — confirm</t>
        </is>
      </c>
      <c r="N86" s="68" t="inlineStr">
        <is>
          <t>Plausible</t>
        </is>
      </c>
      <c r="O86" s="68" t="inlineStr">
        <is>
          <t>see notes →</t>
        </is>
      </c>
      <c r="P86" s="23" t="inlineStr">
        <is>
          <t>POSSIBLE</t>
        </is>
      </c>
      <c r="Q86" s="68" t="inlineStr">
        <is>
          <t>Med</t>
        </is>
      </c>
      <c r="R86"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7" ht="98.8" customHeight="1" s="59">
      <c r="A87" s="4" t="inlineStr">
        <is>
          <t>SC state-inspected slaughter plants (roll-up)</t>
        </is>
      </c>
      <c r="B87" s="68" t="inlineStr">
        <is>
          <t>SC</t>
        </is>
      </c>
      <c r="C87" s="68" t="inlineStr">
        <is>
          <t>SC STATE-inspected (intrastate only)</t>
        </is>
      </c>
      <c r="D87" s="68" t="inlineStr">
        <is>
          <t>unknown (est. SMALL)</t>
        </is>
      </c>
      <c r="E87" s="22" t="inlineStr">
        <is>
          <t>SMALL
(0-300/wk)</t>
        </is>
      </c>
      <c r="F87" s="68" t="inlineStr">
        <is>
          <t>CONFIRM — no species column</t>
        </is>
      </c>
      <c r="G87" s="68" t="inlineStr">
        <is>
          <t>STATE only
(NOT USDA — FLAG)</t>
        </is>
      </c>
      <c r="H87" s="68" t="inlineStr">
        <is>
          <t>SC law blocks release of humane-handling records — public screening is unreliable by construction</t>
        </is>
      </c>
      <c r="I87" s="112" t="inlineStr">
        <is>
          <t>⛔ State-inspected, non-NC — NOT accepted as equivalent. Needs USDA/FSIS to qualify for Path 1.</t>
        </is>
      </c>
      <c r="J87" s="68" t="inlineStr">
        <is>
          <t>SC LEGALLY REFUSES to release humane-handling records — screening returns false negatives by construction</t>
        </is>
      </c>
      <c r="K87" s="68" t="inlineStr">
        <is>
          <t>unknown</t>
        </is>
      </c>
      <c r="L87" s="68" t="inlineStr">
        <is>
          <t>Plausible</t>
        </is>
      </c>
      <c r="M87" s="111" t="inlineStr">
        <is>
          <t>mixed — confirm</t>
        </is>
      </c>
      <c r="N87" s="68" t="inlineStr">
        <is>
          <t>Implausible</t>
        </is>
      </c>
      <c r="O87" s="68" t="inlineStr">
        <is>
          <t>see notes →</t>
        </is>
      </c>
      <c r="P87" s="23" t="inlineStr">
        <is>
          <t>CAUTION</t>
        </is>
      </c>
      <c r="Q87" s="68" t="inlineStr">
        <is>
          <t>Med</t>
        </is>
      </c>
      <c r="R87"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88" ht="19.7" customHeight="1" s="59">
      <c r="A88" s="118" t="inlineStr">
        <is>
          <t>TENNESSEE &amp; VIRGINIA — SOW plants and corrections</t>
        </is>
      </c>
    </row>
    <row r="89" ht="58.6" customHeight="1" s="59">
      <c r="A89" s="4" t="inlineStr">
        <is>
          <t>Swaggerty Sausage Co.</t>
        </is>
      </c>
      <c r="B89" s="68" t="inlineStr">
        <is>
          <t>Kodak, TN (Sevier)</t>
        </is>
      </c>
      <c r="C89" s="68" t="inlineStr">
        <is>
          <t>USDA federal — PRIMARILY SOWS</t>
        </is>
      </c>
      <c r="D89" s="68" t="inlineStr">
        <is>
          <t>~4,250/wk (850 hd/day)</t>
        </is>
      </c>
      <c r="E89" s="27" t="inlineStr">
        <is>
          <t>MEDIUM-HIGH
(2,500-5,000/wk)</t>
        </is>
      </c>
      <c r="F89" s="68" t="inlineStr">
        <is>
          <t>Yes — SOWS</t>
        </is>
      </c>
      <c r="G89" s="68" t="inlineStr">
        <is>
          <t>USDA ✓ M8314 + V8314</t>
        </is>
      </c>
      <c r="H89" s="25" t="inlineStr">
        <is>
          <t>⚠ Two TN OSHA machine-guarding actions (2018 complaint-driven, 2024 planned; same 1910.212(a)(1) standard 6 yrs apart)</t>
        </is>
      </c>
      <c r="I89" s="68" t="inlineStr">
        <is>
          <t>Federal (M8314). Not confirmed on public export lists</t>
        </is>
      </c>
      <c r="J89" s="68" t="inlineStr">
        <is>
          <t>⚠ Two TN OSHA machine-guarding actions 6 yrs apart (2018, 2024, same standard) — worker-welfare flag</t>
        </is>
      </c>
      <c r="K89" s="68" t="inlineStr">
        <is>
          <t>No existing organ programme — would have to be BUILT</t>
        </is>
      </c>
      <c r="L89" s="68" t="inlineStr">
        <is>
          <t>Possible</t>
        </is>
      </c>
      <c r="M89" s="110" t="inlineStr">
        <is>
          <t>NO</t>
        </is>
      </c>
      <c r="N89" s="68" t="inlineStr">
        <is>
          <t>Plausible</t>
        </is>
      </c>
      <c r="O89" s="68" t="inlineStr">
        <is>
          <t>2827 Swaggerty Rd, Kodak TN 37764</t>
        </is>
      </c>
      <c r="P89" s="23" t="inlineStr">
        <is>
          <t>POSSIBLE</t>
        </is>
      </c>
      <c r="Q89" s="68" t="inlineStr">
        <is>
          <t>Med</t>
        </is>
      </c>
      <c r="R89" s="68" t="inlineStr">
        <is>
          <t>#7 US SOW plant; 50,000 sq ft expansion recently online. MEDIUM-HIGH tier. Sow anatomy is closer to adult human scale — potentially an ADVANTAGE for pelvic/bariatric blocks. Confirm against the anatomical spec.</t>
        </is>
      </c>
    </row>
    <row r="90" ht="112.2" customHeight="1" s="59">
      <c r="A90" s="4" t="inlineStr">
        <is>
          <t>Wampler's Farm Sausage Co.</t>
        </is>
      </c>
      <c r="B90" s="68" t="inlineStr">
        <is>
          <t>Lenoir City, TN (Loudon)</t>
        </is>
      </c>
      <c r="C90" s="68" t="inlineStr">
        <is>
          <t>USDA federal — PRIMARILY SOWS</t>
        </is>
      </c>
      <c r="D90" s="68" t="inlineStr">
        <is>
          <t>~1,500/wk (300 hd/day)</t>
        </is>
      </c>
      <c r="E90" s="20" t="inlineStr">
        <is>
          <t>MEDIUM
(350-2,500/wk)</t>
        </is>
      </c>
      <c r="F90" s="133" t="inlineStr">
        <is>
          <t>MARKET + SOW
(not sow-only)</t>
        </is>
      </c>
      <c r="G90" s="68" t="inlineStr">
        <is>
          <t>USDA ✓ M9065 + P9065 + V9065</t>
        </is>
      </c>
      <c r="H90"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90" s="68" t="inlineStr">
        <is>
          <t>Federal (M9065). Not confirmed on public export lists</t>
        </is>
      </c>
      <c r="J90" s="68" t="inlineStr">
        <is>
          <t>Family-owned since 1937 BUT production hiring routes through 3 staffing agencies at $12-14/hr — against the tenure criterion</t>
        </is>
      </c>
      <c r="K90" s="68" t="inlineStr">
        <is>
          <t>unknown</t>
        </is>
      </c>
      <c r="L90" s="68" t="inlineStr">
        <is>
          <t>Possible</t>
        </is>
      </c>
      <c r="M90" s="110" t="inlineStr">
        <is>
          <t>NO</t>
        </is>
      </c>
      <c r="N90" s="68" t="inlineStr">
        <is>
          <t>Plausible</t>
        </is>
      </c>
      <c r="O90" s="68" t="inlineStr">
        <is>
          <t>(865) 986-2056
781 Highway 70 W</t>
        </is>
      </c>
      <c r="P90" s="23" t="inlineStr">
        <is>
          <t>POSSIBLE</t>
        </is>
      </c>
      <c r="Q90" s="68" t="inlineStr">
        <is>
          <t>Med</t>
        </is>
      </c>
      <c r="R90"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1" ht="45.2" customHeight="1" s="59">
      <c r="A91" s="4" t="inlineStr">
        <is>
          <t>Tyson (Hillshire / Jimmy Dean) — Newbern</t>
        </is>
      </c>
      <c r="B91" s="68" t="inlineStr">
        <is>
          <t>Newbern, TN (Dyer)</t>
        </is>
      </c>
      <c r="C91" s="68" t="inlineStr">
        <is>
          <t>Industrial — PRIMARILY SOWS</t>
        </is>
      </c>
      <c r="D91" s="68" t="inlineStr">
        <is>
          <t>~14,000/wk (2,800 hd/day)</t>
        </is>
      </c>
      <c r="E91" s="26" t="inlineStr">
        <is>
          <t>HIGH
(&gt;5,000/wk)</t>
        </is>
      </c>
      <c r="F91" s="68" t="inlineStr">
        <is>
          <t>MARKET + SOW
(roaster: No, boar/stag: No)</t>
        </is>
      </c>
      <c r="G91" s="68" t="inlineStr">
        <is>
          <t>USDA ✓ M8080 + P8080
(FSIS lists The Hillshire Brands Company)</t>
        </is>
      </c>
      <c r="H91" s="68" t="inlineStr">
        <is>
          <t>Not individually researched</t>
        </is>
      </c>
      <c r="I91" s="68" t="inlineStr">
        <is>
          <t>Federal. Export status not researched</t>
        </is>
      </c>
      <c r="J91" s="68" t="inlineStr">
        <is>
          <t>Corporate industrial</t>
        </is>
      </c>
      <c r="K91" s="68" t="inlineStr">
        <is>
          <t>unknown</t>
        </is>
      </c>
      <c r="L91" s="68" t="inlineStr">
        <is>
          <t>Low plausibility</t>
        </is>
      </c>
      <c r="M91" s="110" t="inlineStr">
        <is>
          <t>NO</t>
        </is>
      </c>
      <c r="N91" s="68" t="inlineStr">
        <is>
          <t>Model B only</t>
        </is>
      </c>
      <c r="O91" s="68" t="inlineStr">
        <is>
          <t>—</t>
        </is>
      </c>
      <c r="P91" s="23" t="inlineStr">
        <is>
          <t>POSSIBLE</t>
        </is>
      </c>
      <c r="Q91" s="68" t="inlineStr">
        <is>
          <t>High</t>
        </is>
      </c>
      <c r="R91" s="68" t="inlineStr">
        <is>
          <t>#3 US SOW plant. HIGH tier — access, not volume, is the constraint. Corporate conversation, not a plant conversation.</t>
        </is>
      </c>
    </row>
    <row r="92" ht="85.40000000000001" customHeight="1" s="59">
      <c r="A92" s="4" t="inlineStr">
        <is>
          <t>Gunnoe Sausage Co.</t>
        </is>
      </c>
      <c r="B92" s="68" t="inlineStr">
        <is>
          <t>Goode, VA (Bedford)</t>
        </is>
      </c>
      <c r="C92" s="68" t="inlineStr">
        <is>
          <t>Dedicated SOW slaughterhouse since 1965</t>
        </is>
      </c>
      <c r="D92" s="68" t="inlineStr">
        <is>
          <t>~450/wk (110 hd/day 2016 → 90/day 2017, DECLINING)</t>
        </is>
      </c>
      <c r="E92" s="20" t="inlineStr">
        <is>
          <t>MEDIUM
(350-2,500/wk)</t>
        </is>
      </c>
      <c r="F92" s="68" t="inlineStr">
        <is>
          <t>Yes — SOWS</t>
        </is>
      </c>
      <c r="G92" s="68" t="inlineStr">
        <is>
          <t>unknown — est. no. NOT captured</t>
        </is>
      </c>
      <c r="H92" s="68" t="inlineStr">
        <is>
          <t>None found (FSIS unreachable)</t>
        </is>
      </c>
      <c r="I92" s="68" t="inlineStr">
        <is>
          <t>Establishment number not captured — inspection + export status UNKNOWN</t>
        </is>
      </c>
      <c r="J92" s="68" t="inlineStr">
        <is>
          <t>None found</t>
        </is>
      </c>
      <c r="K92" s="68" t="inlineStr">
        <is>
          <t>unknown</t>
        </is>
      </c>
      <c r="L92" s="68" t="inlineStr">
        <is>
          <t>Plausible (small family op)</t>
        </is>
      </c>
      <c r="M92" s="110" t="inlineStr">
        <is>
          <t>NO</t>
        </is>
      </c>
      <c r="N92" s="68" t="inlineStr">
        <is>
          <t>Plausible</t>
        </is>
      </c>
      <c r="O92" s="68" t="inlineStr">
        <is>
          <t>(540) 586-1091
3989 Cifax Rd · gunnoesausage.com</t>
        </is>
      </c>
      <c r="P92" s="141" t="inlineStr">
        <is>
          <t>OUT / FLAG</t>
        </is>
      </c>
      <c r="Q92" s="68" t="inlineStr">
        <is>
          <t>High</t>
        </is>
      </c>
      <c r="R92"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3" ht="45.2" customHeight="1" s="59">
      <c r="A93" s="4" t="inlineStr">
        <is>
          <t>VIRGINIA — coverage gap (action required)</t>
        </is>
      </c>
      <c r="B93" s="68" t="inlineStr">
        <is>
          <t>VA statewide</t>
        </is>
      </c>
      <c r="C93" s="68" t="inlineStr">
        <is>
          <t>n/a — enumeration incomplete</t>
        </is>
      </c>
      <c r="D93" s="68" t="inlineStr">
        <is>
          <t>n/a</t>
        </is>
      </c>
      <c r="E93" s="24" t="inlineStr">
        <is>
          <t>n/a</t>
        </is>
      </c>
      <c r="F93" s="68" t="inlineStr">
        <is>
          <t>n/a</t>
        </is>
      </c>
      <c r="G93" s="68" t="inlineStr">
        <is>
          <t>VDACS publishes NO online directory</t>
        </is>
      </c>
      <c r="H93" s="68" t="inlineStr">
        <is>
          <t>n/a</t>
        </is>
      </c>
      <c r="I93" s="68" t="inlineStr">
        <is>
          <t>n/a</t>
        </is>
      </c>
      <c r="J93" s="68" t="inlineStr">
        <is>
          <t>n/a</t>
        </is>
      </c>
      <c r="K93" s="68" t="inlineStr">
        <is>
          <t>n/a</t>
        </is>
      </c>
      <c r="L93" s="68" t="inlineStr">
        <is>
          <t>n/a</t>
        </is>
      </c>
      <c r="M93" s="110" t="inlineStr">
        <is>
          <t>NO</t>
        </is>
      </c>
      <c r="N93" s="68" t="inlineStr">
        <is>
          <t>n/a</t>
        </is>
      </c>
      <c r="O93" s="68" t="inlineStr">
        <is>
          <t>VDACS 804-786-4569
omps@vdacs.virginia.gov</t>
        </is>
      </c>
      <c r="P93" s="23" t="inlineStr">
        <is>
          <t>CAUTION</t>
        </is>
      </c>
      <c r="Q93" s="68" t="inlineStr">
        <is>
          <t>High</t>
        </is>
      </c>
      <c r="R9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4" ht="19.7" customHeight="1" s="59">
      <c r="A94" s="118" t="inlineStr">
        <is>
          <t>MEDIUM-HIGH BAND (2,500-5,000/wk) — FSIS category-4 sweep, the enumerable universe</t>
        </is>
      </c>
    </row>
    <row r="95" ht="58.6" customHeight="1" s="59">
      <c r="A95" s="4" t="inlineStr">
        <is>
          <t>Swaggerty Sausage Company</t>
        </is>
      </c>
      <c r="B95" s="68" t="inlineStr">
        <is>
          <t>Kodak, TN (Sevier)</t>
        </is>
      </c>
      <c r="C95" s="68" t="inlineStr">
        <is>
          <t>Captive SOW abattoir + sausage mfr (FSIS 'Large')</t>
        </is>
      </c>
      <c r="D95" s="68" t="inlineStr">
        <is>
          <t>~4,250/wk (850 hd/day EMI 2017; cat-4 confirms ≥2,000/wk)</t>
        </is>
      </c>
      <c r="E95" s="27" t="inlineStr">
        <is>
          <t>MEDIUM-HIGH
(2,500-5,000/wk)</t>
        </is>
      </c>
      <c r="F95" s="68" t="inlineStr">
        <is>
          <t>Yes — SOW ONLY (FSIS flags: sow=TRUE, market=FALSE)</t>
        </is>
      </c>
      <c r="G95" s="68" t="inlineStr">
        <is>
          <t>USDA ✓ M8314 + V8314 (V = voluntary grant)</t>
        </is>
      </c>
      <c r="H95" s="68" t="inlineStr">
        <is>
          <t>See the Welfare &amp; culture column — enforcement detail is carried there for these rows</t>
        </is>
      </c>
      <c r="I95" s="68" t="inlineStr">
        <is>
          <t>Not verified — APHIS publishes no searchable list; confirm with APHIS VS</t>
        </is>
      </c>
      <c r="J95" s="68" t="inlineStr">
        <is>
          <t>NO suspension in ANY FSIS QER FY2024Q1-FY2026Q2 (no public record ≠ clean). Prior TN OSHA machine-guarding actions 2018 &amp; 2024</t>
        </is>
      </c>
      <c r="K95" s="68" t="inlineStr">
        <is>
          <t>No existing organ programme — would be built. V-grant is useful for non-amenable/research material</t>
        </is>
      </c>
      <c r="L95" s="68" t="inlineStr">
        <is>
          <t>Plausible — single site, family-owned, decision-maker reachable</t>
        </is>
      </c>
      <c r="M95" s="110" t="inlineStr">
        <is>
          <t>NO</t>
        </is>
      </c>
      <c r="N95" s="68" t="inlineStr">
        <is>
          <t>Plausible</t>
        </is>
      </c>
      <c r="O95" s="68" t="inlineStr">
        <is>
          <t>(865) 933-2625
2827 Swaggerty Rd, Kodak TN 37764</t>
        </is>
      </c>
      <c r="P95" s="20" t="inlineStr">
        <is>
          <t>STRONG FIT</t>
        </is>
      </c>
      <c r="Q95" s="68" t="inlineStr">
        <is>
          <t>Med-High</t>
        </is>
      </c>
      <c r="R95"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6" ht="125.6" customHeight="1" s="59">
      <c r="A96" s="4" t="inlineStr">
        <is>
          <t>Peoria Packing, Ltd.</t>
        </is>
      </c>
      <c r="B96" s="68" t="inlineStr">
        <is>
          <t>Grant Park, IL (slaughter)</t>
        </is>
      </c>
      <c r="C96" s="68" t="inlineStr">
        <is>
          <t>USDA federal slaughter; sister processing plant in Chicago</t>
        </is>
      </c>
      <c r="D96" s="68" t="inlineStr">
        <is>
          <t>~3,000/wk (600 hd/day EMI 2017; cat-4)</t>
        </is>
      </c>
      <c r="E96" s="27" t="inlineStr">
        <is>
          <t>MEDIUM-HIGH
(2,500-5,000/wk)</t>
        </is>
      </c>
      <c r="F96" s="68" t="inlineStr">
        <is>
          <t>Yes — MARKET HOGS (butcher hogs 180-230 lb)</t>
        </is>
      </c>
      <c r="G96" s="68" t="inlineStr">
        <is>
          <t>USDA ✓ M21651 (slaughter)
Sister M21826+V21826 Chicago = Certification-Export</t>
        </is>
      </c>
      <c r="H96" s="68" t="inlineStr">
        <is>
          <t>See the Welfare &amp; culture column — enforcement detail is carried there for these rows</t>
        </is>
      </c>
      <c r="I96" s="68" t="inlineStr">
        <is>
          <t>Not verified — APHIS publishes no searchable list; confirm with APHIS VS</t>
        </is>
      </c>
      <c r="J96" s="68" t="inlineStr">
        <is>
          <t>NO suspension in any QER FY2024-FY2026 (no public record)</t>
        </is>
      </c>
      <c r="K96"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96" s="68" t="inlineStr">
        <is>
          <t>Plausible</t>
        </is>
      </c>
      <c r="M96" s="110" t="inlineStr">
        <is>
          <t>NO</t>
        </is>
      </c>
      <c r="N96" s="68" t="inlineStr">
        <is>
          <t>EXCELLENT — already positions as medical/pharma supplier with spec flexibility</t>
        </is>
      </c>
      <c r="O96" s="68" t="inlineStr">
        <is>
          <t>(815) 465-9824 (Grant Park)
(312) 226-2600 (Chicago)</t>
        </is>
      </c>
      <c r="P96" s="20" t="inlineStr">
        <is>
          <t>STRONG FIT</t>
        </is>
      </c>
      <c r="Q96" s="68" t="inlineStr">
        <is>
          <t>Med</t>
        </is>
      </c>
      <c r="R96" s="68" t="inlineStr">
        <is>
          <t>★ BEST UNNAMED FIND — a genuine sleeper nobody had surfaced. Market hogs (not sows) so anatomy is smaller — confirm block dimensions suit the spec. Sister plant is export-certified.</t>
        </is>
      </c>
    </row>
    <row r="97" ht="179.2" customHeight="1" s="59">
      <c r="A97" s="4" t="inlineStr">
        <is>
          <t>Perry Way Foods, LLC (Sustainable Swine Resources)</t>
        </is>
      </c>
      <c r="B97" s="68" t="inlineStr">
        <is>
          <t>Watertown, WI</t>
        </is>
      </c>
      <c r="C97" s="68" t="inlineStr">
        <is>
          <t>SOW abattoir + medical tissue operation</t>
        </is>
      </c>
      <c r="D97" s="68" t="inlineStr">
        <is>
          <t>~4,250/wk (850 hd/day EMI 2017) — LIKELY HIGHER NOW (absorbed Momence volume + 2nd shift)</t>
        </is>
      </c>
      <c r="E97" s="27" t="inlineStr">
        <is>
          <t>MEDIUM-HIGH
(2,500-5,000/wk)</t>
        </is>
      </c>
      <c r="F97" s="68" t="inlineStr">
        <is>
          <t>Yes — SOW ONLY</t>
        </is>
      </c>
      <c r="G97" s="68" t="inlineStr">
        <is>
          <t>USDA ✓ M1962 + P1962</t>
        </is>
      </c>
      <c r="H97" s="68" t="inlineStr">
        <is>
          <t>See the Welfare &amp; culture column — enforcement detail is carried there for these rows</t>
        </is>
      </c>
      <c r="I97" s="68" t="inlineStr">
        <is>
          <t>Not verified — APHIS publishes no searchable list; confirm with APHIS VS</t>
        </is>
      </c>
      <c r="J97" s="68" t="inlineStr">
        <is>
          <t>NO suspension in any QER FY2024-FY2026 (no public record)</t>
        </is>
      </c>
      <c r="K97"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97" s="68" t="inlineStr">
        <is>
          <t>⚠ May be REFUSED on channel conflict</t>
        </is>
      </c>
      <c r="M97" s="110" t="inlineStr">
        <is>
          <t>NO</t>
        </is>
      </c>
      <c r="N97" s="68" t="inlineStr">
        <is>
          <t>Already built and running — but for their own account</t>
        </is>
      </c>
      <c r="O97" s="68" t="inlineStr">
        <is>
          <t>(920) 261-1053
1222 Perry Way, Watertown WI 53094</t>
        </is>
      </c>
      <c r="P97" s="23" t="inlineStr">
        <is>
          <t>CAUTION</t>
        </is>
      </c>
      <c r="Q97" s="68" t="inlineStr">
        <is>
          <t>Med-High</t>
        </is>
      </c>
      <c r="R97"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98" ht="58.6" customHeight="1" s="59">
      <c r="A98" s="4" t="inlineStr">
        <is>
          <t>Banner Creek, LLC (Sustainable Swine Resources)</t>
        </is>
      </c>
      <c r="B98" s="68" t="inlineStr">
        <is>
          <t>Holton, KS</t>
        </is>
      </c>
      <c r="C98" s="68" t="inlineStr">
        <is>
          <t>SOW abattoir (Johnsonville / SSR)</t>
        </is>
      </c>
      <c r="D98" s="68" t="inlineStr">
        <is>
          <t>~5,500/wk (1,100 hd/day EMI 2017) — at/just above ceiling; likely higher post-Momence</t>
        </is>
      </c>
      <c r="E98" s="26" t="inlineStr">
        <is>
          <t>HIGH
(&gt;5,000/wk)</t>
        </is>
      </c>
      <c r="F98" s="68" t="inlineStr">
        <is>
          <t>Yes — SOW ONLY</t>
        </is>
      </c>
      <c r="G98" s="68" t="inlineStr">
        <is>
          <t>USDA ✓ M5536 + P5536</t>
        </is>
      </c>
      <c r="H98" s="68" t="inlineStr">
        <is>
          <t>See the Welfare &amp; culture column — enforcement detail is carried there for these rows</t>
        </is>
      </c>
      <c r="I98" s="68" t="inlineStr">
        <is>
          <t>Not verified — APHIS publishes no searchable list; confirm with APHIS VS</t>
        </is>
      </c>
      <c r="J98" s="68" t="inlineStr">
        <is>
          <t>NO suspension in any QER FY2024-FY2026 (no public record)</t>
        </is>
      </c>
      <c r="K98" s="68" t="inlineStr">
        <is>
          <t>Same SSR medical-tissue infrastructure as Perry Way (ISO 22442-2, GMP rooms, Customization Center)</t>
        </is>
      </c>
      <c r="L98" s="68" t="inlineStr">
        <is>
          <t>⚠ Same competitor caveat</t>
        </is>
      </c>
      <c r="M98" s="110" t="inlineStr">
        <is>
          <t>NO</t>
        </is>
      </c>
      <c r="N98" s="68" t="inlineStr">
        <is>
          <t>Already built for their own account</t>
        </is>
      </c>
      <c r="O98" s="68" t="inlineStr">
        <is>
          <t>(785) 364-3126
619 East 4th St, Holton KS 66436</t>
        </is>
      </c>
      <c r="P98" s="23" t="inlineStr">
        <is>
          <t>CAUTION</t>
        </is>
      </c>
      <c r="Q98" s="68" t="inlineStr">
        <is>
          <t>Med</t>
        </is>
      </c>
      <c r="R98" s="68" t="inlineStr">
        <is>
          <t>Second SSR harvest site. Top-of-band or just over. Same channel-conflict caveat as Perry Way.</t>
        </is>
      </c>
    </row>
    <row r="99" ht="192.6" customHeight="1" s="59">
      <c r="A99" s="4" t="inlineStr">
        <is>
          <t>Calihan Processing Cooperative</t>
        </is>
      </c>
      <c r="B99" s="68" t="inlineStr">
        <is>
          <t>Peoria, IL</t>
        </is>
      </c>
      <c r="C99" s="68" t="inlineStr">
        <is>
          <t>Producer-owned cooperative sow/market abattoir</t>
        </is>
      </c>
      <c r="D99" s="68" t="inlineStr">
        <is>
          <t>~3,500/wk — BEST-VERIFIED FIGURE IN THE BAND ('700 sows per day', company's own site)</t>
        </is>
      </c>
      <c r="E99" s="27" t="inlineStr">
        <is>
          <t>MEDIUM-HIGH
(2,500-5,000/wk)</t>
        </is>
      </c>
      <c r="F99" s="68" t="inlineStr">
        <is>
          <t>Yes — MKT + SOW + boar</t>
        </is>
      </c>
      <c r="G99" s="68" t="inlineStr">
        <is>
          <t>USDA ✓ M6775 + V6775
✅ Certification-Export ON THE GRANT</t>
        </is>
      </c>
      <c r="H99" s="68" t="inlineStr">
        <is>
          <t>See the Welfare &amp; culture column — enforcement detail is carried there for these rows</t>
        </is>
      </c>
      <c r="I99" s="68" t="inlineStr">
        <is>
          <t>Not verified — APHIS publishes no searchable list; confirm with APHIS VS</t>
        </is>
      </c>
      <c r="J99"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99" s="68" t="inlineStr">
        <is>
          <t>unknown</t>
        </is>
      </c>
      <c r="L99" s="68" t="inlineStr">
        <is>
          <t>Plausible</t>
        </is>
      </c>
      <c r="M99" s="110" t="inlineStr">
        <is>
          <t>NO</t>
        </is>
      </c>
      <c r="N99" s="68" t="inlineStr">
        <is>
          <t>Plausible — new co-op board may welcome new revenue</t>
        </is>
      </c>
      <c r="O99" s="68" t="inlineStr">
        <is>
          <t>(309) 512-7124
One South Street, Peoria IL 61602
Ben Elbert (Plant Mgr) · Jason Jones (EVP Pork)</t>
        </is>
      </c>
      <c r="P99" s="23" t="inlineStr">
        <is>
          <t>CAUTION</t>
        </is>
      </c>
      <c r="Q99" s="68" t="inlineStr">
        <is>
          <t>High</t>
        </is>
      </c>
      <c r="R99"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0" ht="72" customHeight="1" s="59">
      <c r="A100" s="4" t="inlineStr">
        <is>
          <t>Clausen Meat Company, Inc.</t>
        </is>
      </c>
      <c r="B100" s="68" t="inlineStr">
        <is>
          <t>Turlock, CA (Merced)</t>
        </is>
      </c>
      <c r="C100" s="68" t="inlineStr">
        <is>
          <t>Federal abattoir; absorbed Jim's Farm Meats (Atwater)</t>
        </is>
      </c>
      <c r="D100" s="68" t="inlineStr">
        <is>
          <t>unknown precisely — cat-4 proves ≥2,000/wk; 2,500-5,000 is an INFERENCE from the absorbed 850 hd/day plant</t>
        </is>
      </c>
      <c r="E100" s="27" t="inlineStr">
        <is>
          <t>MEDIUM-HIGH
(2,500-5,000/wk)</t>
        </is>
      </c>
      <c r="F100" s="68" t="inlineStr">
        <is>
          <t>Yes — MKT + SOW + roaster</t>
        </is>
      </c>
      <c r="G100" s="68" t="inlineStr">
        <is>
          <t>USDA ✓ M325</t>
        </is>
      </c>
      <c r="H100" s="68" t="inlineStr">
        <is>
          <t>See the Welfare &amp; culture column — enforcement detail is carried there for these rows</t>
        </is>
      </c>
      <c r="I100" s="68" t="inlineStr">
        <is>
          <t>Not verified — APHIS publishes no searchable list; confirm with APHIS VS</t>
        </is>
      </c>
      <c r="J100" s="68" t="inlineStr">
        <is>
          <t>🚨 INH suspension 15 Nov 2023 — NOT reinstated until 12 Apr 2024, roughly FIVE MONTHS out. A long suspension; warrants scrutiny</t>
        </is>
      </c>
      <c r="K100" s="68" t="inlineStr">
        <is>
          <t>unknown</t>
        </is>
      </c>
      <c r="L100" s="68" t="inlineStr">
        <is>
          <t>Plausible</t>
        </is>
      </c>
      <c r="M100" s="110" t="inlineStr">
        <is>
          <t>NO</t>
        </is>
      </c>
      <c r="N100" s="68" t="inlineStr">
        <is>
          <t>Plausible</t>
        </is>
      </c>
      <c r="O100" s="68" t="inlineStr">
        <is>
          <t>(209) 667-8690
19455 E Clausen Rd, Turlock CA 95380</t>
        </is>
      </c>
      <c r="P100" s="23" t="inlineStr">
        <is>
          <t>CAUTION</t>
        </is>
      </c>
      <c r="Q100" s="68" t="inlineStr">
        <is>
          <t>Low-Med</t>
        </is>
      </c>
      <c r="R100" s="68" t="inlineStr">
        <is>
          <t>The ONLY serious in-band candidate on the WEST COAST, and rare MKT+SOW+roaster flexibility. Volume is an inference, not a published figure — verify volume AND welfare directly.</t>
        </is>
      </c>
    </row>
    <row r="101" ht="19.7" customHeight="1" s="59">
      <c r="A101" s="118" t="inlineStr">
        <is>
          <t>JUST ABOVE BAND (~5,000-7,500/wk) — viable if the ceiling flexes</t>
        </is>
      </c>
    </row>
    <row r="102" ht="45.2" customHeight="1" s="59">
      <c r="A102" s="4" t="inlineStr">
        <is>
          <t>Leidy's, LLC</t>
        </is>
      </c>
      <c r="B102" s="68" t="inlineStr">
        <is>
          <t>Souderton, PA</t>
        </is>
      </c>
      <c r="C102" s="68" t="inlineStr">
        <is>
          <t>USDA federal — MARKET hogs</t>
        </is>
      </c>
      <c r="D102" s="68" t="inlineStr">
        <is>
          <t>~6,750/wk (1,350 hd/day EMI 2017)</t>
        </is>
      </c>
      <c r="E102" s="26" t="inlineStr">
        <is>
          <t>HIGH
(&gt;5,000/wk)</t>
        </is>
      </c>
      <c r="F102" s="68" t="inlineStr">
        <is>
          <t>Yes — MARKET</t>
        </is>
      </c>
      <c r="G102" s="68" t="inlineStr">
        <is>
          <t>USDA ✓ M9520+P9520+V9520
✅ EXPORT-CERTIFIED</t>
        </is>
      </c>
      <c r="H102" s="68" t="inlineStr">
        <is>
          <t>See the Welfare &amp; culture column — enforcement detail is carried there for these rows</t>
        </is>
      </c>
      <c r="I102" s="68" t="inlineStr">
        <is>
          <t>Not verified — APHIS publishes no searchable list; confirm with APHIS VS</t>
        </is>
      </c>
      <c r="J102" s="68" t="inlineStr">
        <is>
          <t>No QER suspension FY2024-FY2026 (no public record)</t>
        </is>
      </c>
      <c r="K102" s="68" t="inlineStr">
        <is>
          <t>unknown</t>
        </is>
      </c>
      <c r="L102" s="68" t="inlineStr">
        <is>
          <t>Plausible</t>
        </is>
      </c>
      <c r="M102" s="110" t="inlineStr">
        <is>
          <t>NO</t>
        </is>
      </c>
      <c r="N102" s="68" t="inlineStr">
        <is>
          <t>Plausible</t>
        </is>
      </c>
      <c r="O102" s="68" t="inlineStr">
        <is>
          <t>(215) 723-4606</t>
        </is>
      </c>
      <c r="P102" s="23" t="inlineStr">
        <is>
          <t>POSSIBLE</t>
        </is>
      </c>
      <c r="Q102" s="68" t="inlineStr">
        <is>
          <t>Med</t>
        </is>
      </c>
      <c r="R102" s="68" t="inlineStr">
        <is>
          <t>MID-ATLANTIC and EXPORT-CERTIFIED — relevant to the Pennsylvania-abattoir lead from Animal Biotech. Closest large export-capable plant to the NC operation.</t>
        </is>
      </c>
    </row>
    <row r="103" ht="45.2" customHeight="1" s="59">
      <c r="A103" s="4" t="inlineStr">
        <is>
          <t>Tri Eagle Provisions</t>
        </is>
      </c>
      <c r="B103" s="68" t="inlineStr">
        <is>
          <t>Tippecanoe, IN</t>
        </is>
      </c>
      <c r="C103" s="68" t="inlineStr">
        <is>
          <t>USDA federal — market + roaster</t>
        </is>
      </c>
      <c r="D103" s="68" t="inlineStr">
        <is>
          <t>~5,500/wk (1,100 hd/day EMI 2017)</t>
        </is>
      </c>
      <c r="E103" s="26" t="inlineStr">
        <is>
          <t>HIGH
(&gt;5,000/wk)</t>
        </is>
      </c>
      <c r="F103" s="68" t="inlineStr">
        <is>
          <t>Yes — MKT + roaster</t>
        </is>
      </c>
      <c r="G103" s="68" t="inlineStr">
        <is>
          <t>USDA ✓ M17496</t>
        </is>
      </c>
      <c r="H103" s="68" t="inlineStr">
        <is>
          <t>See the Welfare &amp; culture column — enforcement detail is carried there for these rows</t>
        </is>
      </c>
      <c r="I103" s="68" t="inlineStr">
        <is>
          <t>Not verified — APHIS publishes no searchable list; confirm with APHIS VS</t>
        </is>
      </c>
      <c r="J103" s="68" t="inlineStr">
        <is>
          <t>No QER suspension FY2024-FY2026</t>
        </is>
      </c>
      <c r="K103" s="68" t="inlineStr">
        <is>
          <t>unknown</t>
        </is>
      </c>
      <c r="L103" s="68" t="inlineStr">
        <is>
          <t>Plausible</t>
        </is>
      </c>
      <c r="M103" s="110" t="inlineStr">
        <is>
          <t>NO</t>
        </is>
      </c>
      <c r="N103" s="68" t="inlineStr">
        <is>
          <t>Plausible</t>
        </is>
      </c>
      <c r="O103" s="68" t="inlineStr">
        <is>
          <t>(574) 223-4600</t>
        </is>
      </c>
      <c r="P103" s="23" t="inlineStr">
        <is>
          <t>POSSIBLE</t>
        </is>
      </c>
      <c r="Q103" s="68" t="inlineStr">
        <is>
          <t>Med</t>
        </is>
      </c>
      <c r="R103" s="68" t="inlineStr">
        <is>
          <t>DBAs Vin Lee Ron, Maple Creek Packing.</t>
        </is>
      </c>
    </row>
    <row r="104" ht="45.2" customHeight="1" s="59">
      <c r="A104" s="4" t="inlineStr">
        <is>
          <t>Verschoor Meats</t>
        </is>
      </c>
      <c r="B104" s="68" t="inlineStr">
        <is>
          <t>Sioux City, IA</t>
        </is>
      </c>
      <c r="C104" s="68" t="inlineStr">
        <is>
          <t>USDA federal — market + boar</t>
        </is>
      </c>
      <c r="D104" s="68" t="inlineStr">
        <is>
          <t>~6,000/wk (1,200 hd/day EMI 2017)</t>
        </is>
      </c>
      <c r="E104" s="26" t="inlineStr">
        <is>
          <t>HIGH
(&gt;5,000/wk)</t>
        </is>
      </c>
      <c r="F104" s="68" t="inlineStr">
        <is>
          <t>Yes — MKT + boar</t>
        </is>
      </c>
      <c r="G104" s="68" t="inlineStr">
        <is>
          <t>USDA ✓ M363</t>
        </is>
      </c>
      <c r="H104" s="68" t="inlineStr">
        <is>
          <t>See the Welfare &amp; culture column — enforcement detail is carried there for these rows</t>
        </is>
      </c>
      <c r="I104" s="68" t="inlineStr">
        <is>
          <t>Not verified — APHIS publishes no searchable list; confirm with APHIS VS</t>
        </is>
      </c>
      <c r="J104" s="68" t="inlineStr">
        <is>
          <t>No QER suspension FY2024-FY2026</t>
        </is>
      </c>
      <c r="K104" s="68" t="inlineStr">
        <is>
          <t>unknown</t>
        </is>
      </c>
      <c r="L104" s="68" t="inlineStr">
        <is>
          <t>Plausible</t>
        </is>
      </c>
      <c r="M104" s="110" t="inlineStr">
        <is>
          <t>NO</t>
        </is>
      </c>
      <c r="N104" s="68" t="inlineStr">
        <is>
          <t>Plausible</t>
        </is>
      </c>
      <c r="O104" s="68" t="inlineStr">
        <is>
          <t>(712) 252-1847</t>
        </is>
      </c>
      <c r="P104" s="23" t="inlineStr">
        <is>
          <t>POSSIBLE</t>
        </is>
      </c>
      <c r="Q104" s="68" t="inlineStr">
        <is>
          <t>Med</t>
        </is>
      </c>
      <c r="R104" s="68" t="inlineStr">
        <is>
          <t>Iowa option just above band.</t>
        </is>
      </c>
    </row>
    <row r="105" ht="45.2" customHeight="1" s="59">
      <c r="A105" s="4" t="inlineStr">
        <is>
          <t>Premium Minnesota Pork</t>
        </is>
      </c>
      <c r="B105" s="68" t="inlineStr">
        <is>
          <t>Luverne, MN</t>
        </is>
      </c>
      <c r="C105" s="68" t="inlineStr">
        <is>
          <t>USDA federal — market</t>
        </is>
      </c>
      <c r="D105" s="68" t="inlineStr">
        <is>
          <t>unknown — FSIS category 4 (≥2,000/wk)</t>
        </is>
      </c>
      <c r="E105" s="24" t="inlineStr">
        <is>
          <t>unknown
(confirm)</t>
        </is>
      </c>
      <c r="F105" s="68" t="inlineStr">
        <is>
          <t>Yes — MARKET</t>
        </is>
      </c>
      <c r="G105" s="68" t="inlineStr">
        <is>
          <t>USDA ✓ M21069L (newer grant, 2022)</t>
        </is>
      </c>
      <c r="H105" s="68" t="inlineStr">
        <is>
          <t>See the Welfare &amp; culture column — enforcement detail is carried there for these rows</t>
        </is>
      </c>
      <c r="I105" s="68" t="inlineStr">
        <is>
          <t>Not verified — APHIS publishes no searchable list; confirm with APHIS VS</t>
        </is>
      </c>
      <c r="J105" s="68" t="inlineStr">
        <is>
          <t>No QER suspension FY2024-FY2026</t>
        </is>
      </c>
      <c r="K105" s="68" t="inlineStr">
        <is>
          <t>unknown</t>
        </is>
      </c>
      <c r="L105" s="68" t="inlineStr">
        <is>
          <t>Plausible</t>
        </is>
      </c>
      <c r="M105" s="110" t="inlineStr">
        <is>
          <t>NO</t>
        </is>
      </c>
      <c r="N105" s="68" t="inlineStr">
        <is>
          <t>Plausible</t>
        </is>
      </c>
      <c r="O105" s="68" t="inlineStr">
        <is>
          <t>(712) 752-8666</t>
        </is>
      </c>
      <c r="P105" s="23" t="inlineStr">
        <is>
          <t>POSSIBLE</t>
        </is>
      </c>
      <c r="Q105" s="68" t="inlineStr">
        <is>
          <t>Low-Med</t>
        </is>
      </c>
      <c r="R105" s="68" t="inlineStr">
        <is>
          <t>Newer establishment; volume unpublished.</t>
        </is>
      </c>
    </row>
    <row r="106" ht="19.7" customHeight="1" s="59">
      <c r="A106" s="118" t="inlineStr">
        <is>
          <t>SOW &amp; DUAL-CLASS PLANTS — verified against USDA's own species flags</t>
        </is>
      </c>
    </row>
    <row r="107" ht="165.8" customHeight="1" s="59">
      <c r="A107" s="4" t="inlineStr">
        <is>
          <t>Pioneer Packing Company, Inc.</t>
        </is>
      </c>
      <c r="B107" s="68" t="inlineStr">
        <is>
          <t>Bowling Green, OH</t>
        </is>
      </c>
      <c r="C107" s="68" t="inlineStr">
        <is>
          <t>PURE SOW/BOAR abattoir (FSIS 'Small')</t>
        </is>
      </c>
      <c r="D107" s="68" t="inlineStr">
        <is>
          <t>~2,250-2,430/wk (450 hd/day EMI 2017, flat)</t>
        </is>
      </c>
      <c r="E107" s="20" t="inlineStr">
        <is>
          <t>MEDIUM
(350-2,500/wk)</t>
        </is>
      </c>
      <c r="F107" s="68" t="inlineStr">
        <is>
          <t>Yes — SOW + BOAR ONLY (market_swine flag BLANK)</t>
        </is>
      </c>
      <c r="G107" s="68" t="inlineStr">
        <is>
          <t>USDA ✓ M372 (grant 2021)</t>
        </is>
      </c>
      <c r="H107" s="68" t="inlineStr">
        <is>
          <t>See the Welfare &amp; culture column — enforcement detail is carried there for these rows</t>
        </is>
      </c>
      <c r="I107" s="68" t="inlineStr">
        <is>
          <t>Not verified — APHIS publishes no searchable list; confirm with APHIS VS</t>
        </is>
      </c>
      <c r="J107" s="68" t="inlineStr">
        <is>
          <t>Not on the current FSIS enforcement page (that page covers only ~Aug 2025-Jul 2026 — NOT a clean record)</t>
        </is>
      </c>
      <c r="K107"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107" s="68" t="inlineStr">
        <is>
          <t>STRONG — sow+boar only, single small site, pre-rigor culture</t>
        </is>
      </c>
      <c r="M107" s="110" t="inlineStr">
        <is>
          <t>NO</t>
        </is>
      </c>
      <c r="N107" s="68" t="inlineStr">
        <is>
          <t>STRONG — 'harvest to our spec' extends an existing SKU concept rather than creating a new discipline</t>
        </is>
      </c>
      <c r="O107" s="68" t="inlineStr">
        <is>
          <t>(419) 352-5283
510 Napoleon Rd, Bowling Green OH 43402
Mon-Fri 7am-2pm</t>
        </is>
      </c>
      <c r="P107" s="20" t="inlineStr">
        <is>
          <t>STRONG FIT</t>
        </is>
      </c>
      <c r="Q107" s="68" t="inlineStr">
        <is>
          <t>Med-High</t>
        </is>
      </c>
      <c r="R107"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08" ht="72" customHeight="1" s="59">
      <c r="A108" s="4" t="inlineStr">
        <is>
          <t>F.B. Purnell Sausage Co.</t>
        </is>
      </c>
      <c r="B108" s="68" t="inlineStr">
        <is>
          <t>Simpsonville, KY</t>
        </is>
      </c>
      <c r="C108" s="68" t="inlineStr">
        <is>
          <t>Sow + market slaughter + sausage mfr</t>
        </is>
      </c>
      <c r="D108" s="68" t="inlineStr">
        <is>
          <t>~2,500-2,700/wk (600/day 2016 → 500/day 2017 — DECLINING)</t>
        </is>
      </c>
      <c r="E108" s="27" t="inlineStr">
        <is>
          <t>MEDIUM-HIGH
(2,500-5,000/wk)</t>
        </is>
      </c>
      <c r="F108" s="68" t="inlineStr">
        <is>
          <t>Yes — BOTH sow AND market (USDA flags both = Yes)</t>
        </is>
      </c>
      <c r="G108" s="68" t="inlineStr">
        <is>
          <t>USDA ✓ M7464 + P7464 (grant 2021; category refreshed 2025-06)</t>
        </is>
      </c>
      <c r="H108" s="68" t="inlineStr">
        <is>
          <t>See the Welfare &amp; culture column — enforcement detail is carried there for these rows</t>
        </is>
      </c>
      <c r="I108" s="68" t="inlineStr">
        <is>
          <t>Not verified — APHIS publishes no searchable list; confirm with APHIS VS</t>
        </is>
      </c>
      <c r="J108" s="68" t="inlineStr">
        <is>
          <t>Not on the current FSIS enforcement page (1-yr window only — not a clean record)</t>
        </is>
      </c>
      <c r="K108" s="68" t="inlineStr">
        <is>
          <t>None found</t>
        </is>
      </c>
      <c r="L108" s="68" t="inlineStr">
        <is>
          <t>Plausible — small, family-run, single site, already runs a poultry grant so used to multi-programme oversight</t>
        </is>
      </c>
      <c r="M108" s="110" t="inlineStr">
        <is>
          <t>NO</t>
        </is>
      </c>
      <c r="N108" s="68" t="inlineStr">
        <is>
          <t>Plausible, but sausage-focused workflow means viscera likely already committed to rendering</t>
        </is>
      </c>
      <c r="O108" s="68" t="inlineStr">
        <is>
          <t>(502) 722-5626
6931 Shelbyville Rd · itsgooo-od.com</t>
        </is>
      </c>
      <c r="P108" s="23" t="inlineStr">
        <is>
          <t>POSSIBLE</t>
        </is>
      </c>
      <c r="Q108" s="68" t="inlineStr">
        <is>
          <t>Med</t>
        </is>
      </c>
      <c r="R108" s="68" t="inlineStr">
        <is>
          <t>BEST DUAL-CLASS SUPPLY: the only plant flagged for BOTH sow and market-hog slaughter, so animal class can be specced PER TISSUE BLOCK. Volume trend was downward 2016→2017.</t>
        </is>
      </c>
    </row>
    <row r="109" ht="165.8" customHeight="1" s="59">
      <c r="A109" s="4" t="inlineStr">
        <is>
          <t>BEF Foods (Bob Evans) — Xenia</t>
        </is>
      </c>
      <c r="B109" s="68" t="inlineStr">
        <is>
          <t>Xenia, OH</t>
        </is>
      </c>
      <c r="C109" s="68" t="inlineStr">
        <is>
          <t>SOW-ONLY abattoir; Post Holdings subsidiary</t>
        </is>
      </c>
      <c r="D109" s="133" t="inlineStr">
        <is>
          <t>192–1,923/wk (FSIS cat 3)</t>
        </is>
      </c>
      <c r="E109" s="133" t="inlineStr">
        <is>
          <t>MEDIUM
(350-2,500/wk)</t>
        </is>
      </c>
      <c r="F109" s="68" t="inlineStr">
        <is>
          <t>Yes — SOW ONLY</t>
        </is>
      </c>
      <c r="G109" s="68" t="inlineStr">
        <is>
          <t>USDA ✓ M6785 (grant 2020)</t>
        </is>
      </c>
      <c r="H109" s="68" t="inlineStr">
        <is>
          <t>See the Welfare &amp; culture column — enforcement detail is carried there for these rows</t>
        </is>
      </c>
      <c r="I109" s="68" t="inlineStr">
        <is>
          <t>Not verified — APHIS publishes no searchable list; confirm with APHIS VS</t>
        </is>
      </c>
      <c r="J109"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09" s="68" t="inlineStr">
        <is>
          <t>None found</t>
        </is>
      </c>
      <c r="L109" s="68" t="inlineStr">
        <is>
          <t>WEAK-MEDIUM — big-corporate parent means legal/insurance friction for third-party staff on the kill floor</t>
        </is>
      </c>
      <c r="M109" s="110" t="inlineStr">
        <is>
          <t>NO</t>
        </is>
      </c>
      <c r="N109" s="68" t="inlineStr">
        <is>
          <t>MEDIUM</t>
        </is>
      </c>
      <c r="O109" s="68" t="inlineStr">
        <is>
          <t>(937) 372-4494
640 Birch Rd, Xenia OH 45385</t>
        </is>
      </c>
      <c r="P109" s="23" t="inlineStr">
        <is>
          <t>CAUTION</t>
        </is>
      </c>
      <c r="Q109" s="68" t="inlineStr">
        <is>
          <t>Med-High</t>
        </is>
      </c>
      <c r="R109"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0" ht="139" customHeight="1" s="59">
      <c r="A110" s="4" t="inlineStr">
        <is>
          <t>BEF Foods (Bob Evans) — Hillsdale</t>
        </is>
      </c>
      <c r="B110" s="68" t="inlineStr">
        <is>
          <t>Hillsdale, MI</t>
        </is>
      </c>
      <c r="C110" s="68" t="inlineStr">
        <is>
          <t>SOW-ONLY abattoir (open since 1964)</t>
        </is>
      </c>
      <c r="D110" s="133" t="inlineStr">
        <is>
          <t>192–1,923/wk (FSIS cat 3)</t>
        </is>
      </c>
      <c r="E110" s="133" t="inlineStr">
        <is>
          <t>MEDIUM
(350-2,500/wk)</t>
        </is>
      </c>
      <c r="F110" s="68" t="inlineStr">
        <is>
          <t>Yes — SOW ONLY</t>
        </is>
      </c>
      <c r="G110" s="68" t="inlineStr">
        <is>
          <t>USDA ✓ M952 (grant 2021)</t>
        </is>
      </c>
      <c r="H110"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10" s="68" t="inlineStr">
        <is>
          <t>Not verified — APHIS publishes no searchable list; confirm with APHIS VS</t>
        </is>
      </c>
      <c r="J110" s="68" t="inlineStr">
        <is>
          <t>Not on the current enforcement page — BUT corporate humane-handling systems are shared with Xenia, so treat the 2018 Xenia action as a COMPANY-LEVEL signal</t>
        </is>
      </c>
      <c r="K110" s="68" t="inlineStr">
        <is>
          <t>None found</t>
        </is>
      </c>
      <c r="L110" s="68" t="inlineStr">
        <is>
          <t>WEAK-MEDIUM (corporate)</t>
        </is>
      </c>
      <c r="M110" s="110" t="inlineStr">
        <is>
          <t>NO</t>
        </is>
      </c>
      <c r="N110" s="68" t="inlineStr">
        <is>
          <t>MEDIUM</t>
        </is>
      </c>
      <c r="O110" s="68" t="inlineStr">
        <is>
          <t>No phone in the USDA file — route via Post / Bob Evans corporate</t>
        </is>
      </c>
      <c r="P110" s="23" t="inlineStr">
        <is>
          <t>CAUTION</t>
        </is>
      </c>
      <c r="Q110" s="68" t="inlineStr">
        <is>
          <t>Med</t>
        </is>
      </c>
      <c r="R110" s="68" t="inlineStr">
        <is>
          <t>⚠ VOLUME CORRECTED to FSIS cat 3 (~192–1,923/wk); tier corrected to MEDIUM. || Confirmed operating by the same Post FY2025 10-K sentence.</t>
        </is>
      </c>
    </row>
    <row r="111" ht="165.8" customHeight="1" s="59">
      <c r="A111" s="4" t="inlineStr">
        <is>
          <t>Dean Sausage Co. (Attalla)</t>
        </is>
      </c>
      <c r="B111" s="68" t="inlineStr">
        <is>
          <t>Attalla, AL</t>
        </is>
      </c>
      <c r="C111" s="68" t="inlineStr">
        <is>
          <t>SOW slaughter plant marketed purely as a sausage brand</t>
        </is>
      </c>
      <c r="D111" s="133" t="inlineStr">
        <is>
          <t>19–192/wk (FSIS cat 2)</t>
        </is>
      </c>
      <c r="E111" s="133" t="inlineStr">
        <is>
          <t>SMALL
(0-300/wk)</t>
        </is>
      </c>
      <c r="F111" s="135" t="inlineStr">
        <is>
          <t>SOW</t>
        </is>
      </c>
      <c r="G111" s="68" t="inlineStr">
        <is>
          <t>USDA ✓ M6621 + P6621</t>
        </is>
      </c>
      <c r="H111"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11" s="68" t="inlineStr">
        <is>
          <t>Not verified — APHIS publishes no searchable list; confirm with APHIS VS</t>
        </is>
      </c>
      <c r="J111"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11" s="68" t="inlineStr">
        <is>
          <t>None found</t>
        </is>
      </c>
      <c r="L111" s="68" t="inlineStr">
        <is>
          <t>WEAK — placing our own harvesters inside a plant with an active repeat record for machine guarding and blocked egress is a direct worker-safety and insurance exposure</t>
        </is>
      </c>
      <c r="M111" s="110" t="inlineStr">
        <is>
          <t>NO</t>
        </is>
      </c>
      <c r="N111" s="68" t="inlineStr">
        <is>
          <t>MEDIUM — arm's-length purchase avoids the exposure</t>
        </is>
      </c>
      <c r="O111" s="68" t="inlineStr">
        <is>
          <t>(256) 538-6082
3750 Pleasant Valley Rd · ~85 staff, founded 1955</t>
        </is>
      </c>
      <c r="P111" s="23" t="inlineStr">
        <is>
          <t>CAUTION</t>
        </is>
      </c>
      <c r="Q111" s="68" t="inlineStr">
        <is>
          <t>High</t>
        </is>
      </c>
      <c r="R111"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2" ht="85.40000000000001" customHeight="1" s="59">
      <c r="A112" s="4" t="inlineStr">
        <is>
          <t>Carlton Packing Co. (dba Carlton Farms)</t>
        </is>
      </c>
      <c r="B112" s="68" t="inlineStr">
        <is>
          <t>Carlton, OR</t>
        </is>
      </c>
      <c r="C112" s="68" t="inlineStr">
        <is>
          <t>Market-hog + roaster slaughter, also beef; custom-exempt too</t>
        </is>
      </c>
      <c r="D112" s="68" t="inlineStr">
        <is>
          <t>~1,875-2,025/wk (375 hd/day, flat) — mixed-species floor means hog share is lower</t>
        </is>
      </c>
      <c r="E112" s="20" t="inlineStr">
        <is>
          <t>MEDIUM
(350-2,500/wk)</t>
        </is>
      </c>
      <c r="F112" s="68" t="inlineStr">
        <is>
          <t>Yes — MARKET + ROASTER, NO SOW</t>
        </is>
      </c>
      <c r="G112" s="68" t="inlineStr">
        <is>
          <t>USDA ✓ M9228 + P9228 + V9228
(V = VOLUNTARY grant)</t>
        </is>
      </c>
      <c r="H112" s="68" t="inlineStr">
        <is>
          <t>See the Welfare &amp; culture column — enforcement detail is carried there for these rows</t>
        </is>
      </c>
      <c r="I112" s="68" t="inlineStr">
        <is>
          <t>Not verified — APHIS publishes no searchable list; confirm with APHIS VS</t>
        </is>
      </c>
      <c r="J112" s="68" t="inlineStr">
        <is>
          <t>None found (limited-window caveat)</t>
        </is>
      </c>
      <c r="K112" s="68" t="inlineStr">
        <is>
          <t>⭐ The V GRANT IS THE KEY DETAIL: voluntary inspection is the mechanism USDA uses for NON-AMENABLE / NON-FOOD-USE product — so this plant already has the regulatory scaffolding for non-food biomedical harvest</t>
        </is>
      </c>
      <c r="L112" s="68" t="inlineStr">
        <is>
          <t>MEDIUM-STRONG — small, clean, traceable</t>
        </is>
      </c>
      <c r="M112" s="110" t="inlineStr">
        <is>
          <t>NO</t>
        </is>
      </c>
      <c r="N112" s="68" t="inlineStr">
        <is>
          <t>STRONG</t>
        </is>
      </c>
      <c r="O112" s="68" t="inlineStr">
        <is>
          <t>(503) 852-7166
10600 NW Westside Rd · carltonfarms.com</t>
        </is>
      </c>
      <c r="P112" s="23" t="inlineStr">
        <is>
          <t>POSSIBLE</t>
        </is>
      </c>
      <c r="Q112" s="68" t="inlineStr">
        <is>
          <t>Med-High</t>
        </is>
      </c>
      <c r="R112"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3" ht="72" customHeight="1" s="59">
      <c r="A113" s="4" t="inlineStr">
        <is>
          <t>Dealaman Enterprises, Inc.</t>
        </is>
      </c>
      <c r="B113" s="68" t="inlineStr">
        <is>
          <t>Warren, NJ</t>
        </is>
      </c>
      <c r="C113" s="68" t="inlineStr">
        <is>
          <t>Market + roaster + sheep slaughter since 1905</t>
        </is>
      </c>
      <c r="D113" s="68" t="inlineStr">
        <is>
          <t>~1,000-1,200/wk — BEST-CORROBORATED FIGURE IN THE STUDY (EMI 200/day AND a Bloomberg-sourced '1,200 pigs a week' agree)</t>
        </is>
      </c>
      <c r="E113" s="20" t="inlineStr">
        <is>
          <t>MEDIUM
(350-2,500/wk)</t>
        </is>
      </c>
      <c r="F113" s="68" t="inlineStr">
        <is>
          <t>Yes — MARKET + ROASTER + sheep. NO SOW</t>
        </is>
      </c>
      <c r="G113" s="68" t="inlineStr">
        <is>
          <t>USDA ✓ M7562 (grant 2021)</t>
        </is>
      </c>
      <c r="H113" s="68" t="inlineStr">
        <is>
          <t>See the Welfare &amp; culture column — enforcement detail is carried there for these rows</t>
        </is>
      </c>
      <c r="I113" s="68" t="inlineStr">
        <is>
          <t>Not verified — APHIS publishes no searchable list; confirm with APHIS VS</t>
        </is>
      </c>
      <c r="J113" s="68" t="inlineStr">
        <is>
          <t>None found (limited-window caveat). Positively framed in trade press — used by small farms 'who value personalized service and humane treatment'</t>
        </is>
      </c>
      <c r="K113" s="68" t="inlineStr">
        <is>
          <t>None found</t>
        </is>
      </c>
      <c r="L113" s="68" t="inlineStr">
        <is>
          <t>MEDIUM — small, relationship-driven, likely receptive</t>
        </is>
      </c>
      <c r="M113" s="110" t="inlineStr">
        <is>
          <t>NO</t>
        </is>
      </c>
      <c r="N113" s="68" t="inlineStr">
        <is>
          <t>MEDIUM</t>
        </is>
      </c>
      <c r="O113" s="68" t="inlineStr">
        <is>
          <t>(908) 755-1780 / (908) 647-5533
214 Mountainview Rd · ~30 staff</t>
        </is>
      </c>
      <c r="P113" s="23" t="inlineStr">
        <is>
          <t>CAUTION</t>
        </is>
      </c>
      <c r="Q113" s="68" t="inlineStr">
        <is>
          <t>Med-High</t>
        </is>
      </c>
      <c r="R113"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4" ht="19.7" customHeight="1" s="59">
      <c r="A114" s="118" t="inlineStr">
        <is>
          <t>PENNSYLVANIA CLUSTER — the Animal Biotech lead, now closed out (73 PA swine plants enumerated)</t>
        </is>
      </c>
    </row>
    <row r="115" ht="72" customHeight="1" s="59">
      <c r="A115" s="4" t="inlineStr">
        <is>
          <t>Leidy's, LLC</t>
        </is>
      </c>
      <c r="B115" s="68" t="inlineStr">
        <is>
          <t>Souderton, PA</t>
        </is>
      </c>
      <c r="C115" s="68" t="inlineStr">
        <is>
          <t>USDA federal market-hog slaughter, operating since 1893</t>
        </is>
      </c>
      <c r="D115" s="68" t="inlineStr">
        <is>
          <t>~5,000-7,000/wk (EMI 1,350/day; company/trade say 1,000-1,200/day; 220+ staff)</t>
        </is>
      </c>
      <c r="E115" s="26" t="inlineStr">
        <is>
          <t>HIGH
(&gt;5,000/wk)</t>
        </is>
      </c>
      <c r="F115" s="68" t="inlineStr">
        <is>
          <t>Yes — MARKET</t>
        </is>
      </c>
      <c r="G115" s="68" t="inlineStr">
        <is>
          <t>USDA ✓ M9520+P9520+V9520
✅ EXPORT-CERTIFIED</t>
        </is>
      </c>
      <c r="H115" s="68" t="inlineStr">
        <is>
          <t>See the Welfare &amp; culture column — enforcement detail is carried there for these rows</t>
        </is>
      </c>
      <c r="I115" s="68" t="inlineStr">
        <is>
          <t>Not verified — APHIS publishes no searchable list; confirm with APHIS VS</t>
        </is>
      </c>
      <c r="J115" s="68" t="inlineStr">
        <is>
          <t>Not on the current FSIS enforcement page (1-yr window)</t>
        </is>
      </c>
      <c r="K115" s="68" t="inlineStr">
        <is>
          <t>None published</t>
        </is>
      </c>
      <c r="L115" s="68" t="inlineStr">
        <is>
          <t>Plausible — ASK WHETHER ABI OR LAMPIRE TECHNICIANS ALREADY HARVEST HERE; if so, a Model A precedent already exists</t>
        </is>
      </c>
      <c r="M115" s="110" t="inlineStr">
        <is>
          <t>NO</t>
        </is>
      </c>
      <c r="N115" s="68" t="inlineStr">
        <is>
          <t>Plausible</t>
        </is>
      </c>
      <c r="O115" s="68" t="inlineStr">
        <is>
          <t>(215) 723-4606
266 W Cherry Ln, Souderton PA</t>
        </is>
      </c>
      <c r="P115" s="20" t="inlineStr">
        <is>
          <t>STRONG FIT</t>
        </is>
      </c>
      <c r="Q115" s="68" t="inlineStr">
        <is>
          <t>Med</t>
        </is>
      </c>
      <c r="R115" s="68" t="inlineStr">
        <is>
          <t>★ BEST PA ENTRY POINT. ~5 MILES from Animal Biotech Industries' lab at Harleysville, and one of only TWO PA swine plants holding export certification. Also appears in the 'just above band' group — Medium-High/High boundary.</t>
        </is>
      </c>
    </row>
    <row r="116" ht="45.2" customHeight="1" s="59">
      <c r="A116" s="4" t="inlineStr">
        <is>
          <t>Clemens Food Group</t>
        </is>
      </c>
      <c r="B116" s="68" t="inlineStr">
        <is>
          <t>Hatfield, PA</t>
        </is>
      </c>
      <c r="C116" s="68" t="inlineStr">
        <is>
          <t>Large industrial market-hog packer</t>
        </is>
      </c>
      <c r="D116" s="68" t="inlineStr">
        <is>
          <t>~58,000-63,000/wk (11,700 hd/day)</t>
        </is>
      </c>
      <c r="E116" s="26" t="inlineStr">
        <is>
          <t>HIGH
(&gt;5,000/wk)</t>
        </is>
      </c>
      <c r="F116" s="68" t="inlineStr">
        <is>
          <t>Yes — MARKET</t>
        </is>
      </c>
      <c r="G116" s="68" t="inlineStr">
        <is>
          <t>USDA ✓ M791+P791+V791
✅ EXPORT-CERTIFIED</t>
        </is>
      </c>
      <c r="H116" s="68" t="inlineStr">
        <is>
          <t>See the Welfare &amp; culture column — enforcement detail is carried there for these rows</t>
        </is>
      </c>
      <c r="I116" s="68" t="inlineStr">
        <is>
          <t>Not verified — APHIS publishes no searchable list; confirm with APHIS VS</t>
        </is>
      </c>
      <c r="J116" s="68" t="inlineStr">
        <is>
          <t>Not on the current enforcement page (1-yr window)</t>
        </is>
      </c>
      <c r="K116" s="68" t="inlineStr">
        <is>
          <t>None published</t>
        </is>
      </c>
      <c r="L116" s="68" t="inlineStr">
        <is>
          <t>Unlikely at this scale — corporate-level agreement required</t>
        </is>
      </c>
      <c r="M116" s="110" t="inlineStr">
        <is>
          <t>NO</t>
        </is>
      </c>
      <c r="N116" s="68" t="inlineStr">
        <is>
          <t>Model B far more realistic</t>
        </is>
      </c>
      <c r="O116" s="68" t="inlineStr">
        <is>
          <t>2700 Clemens Rd, Hatfield PA</t>
        </is>
      </c>
      <c r="P116" s="23" t="inlineStr">
        <is>
          <t>POSSIBLE</t>
        </is>
      </c>
      <c r="Q116" s="68" t="inlineStr">
        <is>
          <t>Med</t>
        </is>
      </c>
      <c r="R116" s="68" t="inlineStr">
        <is>
          <t>The only HIGH-tier PA option and ~5 miles from Animal Biotech's Harleysville lab. Volume solves everything except access.</t>
        </is>
      </c>
    </row>
    <row r="117" ht="58.6" customHeight="1" s="59">
      <c r="A117" s="4" t="inlineStr">
        <is>
          <t>PA SOW plants (roll-up)</t>
        </is>
      </c>
      <c r="B117" s="68" t="inlineStr">
        <is>
          <t>eastern PA</t>
        </is>
      </c>
      <c r="C117" s="68" t="inlineStr">
        <is>
          <t>USDA federal, sow-capable</t>
        </is>
      </c>
      <c r="D117" s="68" t="inlineStr">
        <is>
          <t>unknown</t>
        </is>
      </c>
      <c r="E117" s="24" t="inlineStr">
        <is>
          <t>unknown
(confirm)</t>
        </is>
      </c>
      <c r="F117" s="68" t="inlineStr">
        <is>
          <t>Yes — market + SOW + roaster (+boar at two)</t>
        </is>
      </c>
      <c r="G117" s="68" t="inlineStr">
        <is>
          <t>USDA ✓ — see notes</t>
        </is>
      </c>
      <c r="H117" s="68" t="inlineStr">
        <is>
          <t>See the Welfare &amp; culture column — enforcement detail is carried there for these rows</t>
        </is>
      </c>
      <c r="I117" s="68" t="inlineStr">
        <is>
          <t>Not verified — APHIS publishes no searchable list; confirm with APHIS VS</t>
        </is>
      </c>
      <c r="J117" s="68" t="inlineStr">
        <is>
          <t>Not on the current enforcement page (1-yr window)</t>
        </is>
      </c>
      <c r="K117" s="68" t="inlineStr">
        <is>
          <t>None published</t>
        </is>
      </c>
      <c r="L117" s="68" t="inlineStr">
        <is>
          <t>Plausible (small plants)</t>
        </is>
      </c>
      <c r="M117" s="111" t="inlineStr">
        <is>
          <t>mixed — confirm</t>
        </is>
      </c>
      <c r="N117" s="68" t="inlineStr">
        <is>
          <t>Plausible</t>
        </is>
      </c>
      <c r="O117" s="68" t="inlineStr">
        <is>
          <t>see notes →</t>
        </is>
      </c>
      <c r="P117" s="23" t="inlineStr">
        <is>
          <t>POSSIBLE</t>
        </is>
      </c>
      <c r="Q117" s="68" t="inlineStr">
        <is>
          <t>Med</t>
        </is>
      </c>
      <c r="R117"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18" ht="192.6" customHeight="1" s="59">
      <c r="A118" s="4" t="inlineStr">
        <is>
          <t>⚑ The ABI / LAMPIRE abattoir inference</t>
        </is>
      </c>
      <c r="B118" s="68" t="inlineStr">
        <is>
          <t>Harleysville &amp; Pipersville, PA</t>
        </is>
      </c>
      <c r="C118" s="68" t="inlineStr">
        <is>
          <t>tissue suppliers, not slaughterers</t>
        </is>
      </c>
      <c r="D118" s="68" t="inlineStr">
        <is>
          <t>n/a</t>
        </is>
      </c>
      <c r="E118" s="24" t="inlineStr">
        <is>
          <t>n/a</t>
        </is>
      </c>
      <c r="F118" s="68" t="inlineStr">
        <is>
          <t>n/a</t>
        </is>
      </c>
      <c r="G118" s="68" t="inlineStr">
        <is>
          <t>n/a — they BUY from PA abattoirs</t>
        </is>
      </c>
      <c r="H118" s="68" t="inlineStr">
        <is>
          <t>See the Welfare &amp; culture column — enforcement detail is carried there for these rows</t>
        </is>
      </c>
      <c r="I118" s="68" t="inlineStr">
        <is>
          <t>Not verified — APHIS publishes no searchable list; confirm with APHIS VS</t>
        </is>
      </c>
      <c r="J118" s="68" t="inlineStr">
        <is>
          <t>n/a</t>
        </is>
      </c>
      <c r="K118"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18" s="68" t="inlineStr">
        <is>
          <t>n/a</t>
        </is>
      </c>
      <c r="M118" s="110" t="inlineStr">
        <is>
          <t>NO</t>
        </is>
      </c>
      <c r="N118" s="68" t="inlineStr">
        <is>
          <t>n/a</t>
        </is>
      </c>
      <c r="O118" s="68" t="inlineStr">
        <is>
          <t>ABI (215) 766-7413 · LAMPIRE Pipersville</t>
        </is>
      </c>
      <c r="P118" s="23" t="inlineStr">
        <is>
          <t>POSSIBLE</t>
        </is>
      </c>
      <c r="Q118" s="68" t="inlineStr">
        <is>
          <t>Med (inference)</t>
        </is>
      </c>
      <c r="R118"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19" ht="19.7" customHeight="1" s="59">
      <c r="A119" s="118" t="inlineStr">
        <is>
          <t>⚠ CORRECTED / REFUTED BY THE FSIS PRIMARY-DATA SWEEP</t>
        </is>
      </c>
    </row>
    <row r="120" ht="152.4" customHeight="1" s="59">
      <c r="A120" s="138" t="inlineStr">
        <is>
          <t>Kansas City Sausage / Coastal Protein — RESOLVED NEGATIVE (CLOSED)</t>
        </is>
      </c>
      <c r="B120" s="68" t="inlineStr">
        <is>
          <t>Godwin, NC</t>
        </is>
      </c>
      <c r="C120" s="68" t="inlineStr">
        <is>
          <t>NO ACTIVE OR INACTIVE FSIS ESTABLISHMENT AT THE SITE</t>
        </is>
      </c>
      <c r="D120" s="68" t="inlineStr">
        <is>
          <t>n/a — dead as an inspected source</t>
        </is>
      </c>
      <c r="E120" s="143" t="inlineStr">
        <is>
          <t>n/a</t>
        </is>
      </c>
      <c r="F120" s="68" t="inlineStr">
        <is>
          <t>n/a</t>
        </is>
      </c>
      <c r="G120" s="68" t="inlineStr">
        <is>
          <t>KCS's own establishment M760A (DBAs
'Coastal Protein; Pine Ridge Farms')
went FSIS-INACTIVE 9/3/2024</t>
        </is>
      </c>
      <c r="H120" s="68" t="inlineStr">
        <is>
          <t>See the Welfare &amp; culture column — enforcement detail is carried there for these rows</t>
        </is>
      </c>
      <c r="I120" s="68" t="inlineStr">
        <is>
          <t>Not verified — APHIS publishes no searchable list; confirm with APHIS VS</t>
        </is>
      </c>
      <c r="J120" s="68" t="inlineStr">
        <is>
          <t>n/a</t>
        </is>
      </c>
      <c r="K120" s="68" t="inlineStr">
        <is>
          <t>n/a</t>
        </is>
      </c>
      <c r="L120" s="68" t="inlineStr">
        <is>
          <t>No</t>
        </is>
      </c>
      <c r="M120" s="109" t="inlineStr">
        <is>
          <t>YES · ~45 mi</t>
        </is>
      </c>
      <c r="N120" s="68" t="inlineStr">
        <is>
          <t>No</t>
        </is>
      </c>
      <c r="O120" s="68" t="inlineStr">
        <is>
          <t>—</t>
        </is>
      </c>
      <c r="P120" s="141" t="inlineStr">
        <is>
          <t>OUT / FLAG</t>
        </is>
      </c>
      <c r="Q120" s="68" t="inlineStr">
        <is>
          <t>High</t>
        </is>
      </c>
      <c r="R120"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1" ht="85.40000000000001" customHeight="1" s="59">
      <c r="A121" s="4" t="inlineStr">
        <is>
          <t>Gunnoe Sausage Co. — REFUTED</t>
        </is>
      </c>
      <c r="B121" s="68" t="inlineStr">
        <is>
          <t>Goode, VA</t>
        </is>
      </c>
      <c r="C121" s="68" t="inlineStr">
        <is>
          <t>NO ACTIVE FSIS ESTABLISHMENT</t>
        </is>
      </c>
      <c r="D121" s="68" t="inlineStr">
        <is>
          <t>n/a</t>
        </is>
      </c>
      <c r="E121" s="24" t="inlineStr">
        <is>
          <t>n/a</t>
        </is>
      </c>
      <c r="F121" s="68" t="inlineStr">
        <is>
          <t>n/a</t>
        </is>
      </c>
      <c r="G121" s="68" t="inlineStr">
        <is>
          <t>No active FSIS establishment found</t>
        </is>
      </c>
      <c r="H121" s="68" t="inlineStr">
        <is>
          <t>See the Welfare &amp; culture column — enforcement detail is carried there for these rows</t>
        </is>
      </c>
      <c r="I121" s="68" t="inlineStr">
        <is>
          <t>Not verified — APHIS publishes no searchable list; confirm with APHIS VS</t>
        </is>
      </c>
      <c r="J121" s="68" t="inlineStr">
        <is>
          <t>n/a</t>
        </is>
      </c>
      <c r="K121" s="68" t="inlineStr">
        <is>
          <t>n/a</t>
        </is>
      </c>
      <c r="L121" s="68" t="inlineStr">
        <is>
          <t>No</t>
        </is>
      </c>
      <c r="M121" s="110" t="inlineStr">
        <is>
          <t>NO</t>
        </is>
      </c>
      <c r="N121" s="68" t="inlineStr">
        <is>
          <t>No</t>
        </is>
      </c>
      <c r="O121" s="68" t="inlineStr">
        <is>
          <t>—</t>
        </is>
      </c>
      <c r="P121" s="28" t="inlineStr">
        <is>
          <t>OUT / FLAG</t>
        </is>
      </c>
      <c r="Q121" s="68" t="inlineStr">
        <is>
          <t>Med-High</t>
        </is>
      </c>
      <c r="R121"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2" ht="72" customHeight="1" s="59">
      <c r="A122" s="4" t="inlineStr">
        <is>
          <t>Below-band leads — all REFUTED on volume</t>
        </is>
      </c>
      <c r="B122" s="68" t="inlineStr">
        <is>
          <t>KY / OH / MI / AL / OR / NJ / TX</t>
        </is>
      </c>
      <c r="C122" s="68" t="inlineStr">
        <is>
          <t>FSIS category 2-3 = below 2,000/wk</t>
        </is>
      </c>
      <c r="D122" s="68" t="inlineStr">
        <is>
          <t>below band</t>
        </is>
      </c>
      <c r="E122" s="22" t="inlineStr">
        <is>
          <t>SMALL
(0-300/wk)</t>
        </is>
      </c>
      <c r="F122" s="68" t="inlineStr">
        <is>
          <t>mixed</t>
        </is>
      </c>
      <c r="G122" s="68" t="inlineStr">
        <is>
          <t>USDA ✓ (various)</t>
        </is>
      </c>
      <c r="H122" s="68" t="inlineStr">
        <is>
          <t>See the Welfare &amp; culture column — enforcement detail is carried there for these rows</t>
        </is>
      </c>
      <c r="I122" s="68" t="inlineStr">
        <is>
          <t>Not verified — APHIS publishes no searchable list; confirm with APHIS VS</t>
        </is>
      </c>
      <c r="J122" s="68" t="inlineStr">
        <is>
          <t>various</t>
        </is>
      </c>
      <c r="K122" s="68" t="inlineStr">
        <is>
          <t>unknown</t>
        </is>
      </c>
      <c r="L122" s="68" t="inlineStr">
        <is>
          <t>varies</t>
        </is>
      </c>
      <c r="M122" s="110" t="inlineStr">
        <is>
          <t>NO</t>
        </is>
      </c>
      <c r="N122" s="68" t="inlineStr">
        <is>
          <t>varies</t>
        </is>
      </c>
      <c r="O122" s="68" t="inlineStr">
        <is>
          <t>see notes →</t>
        </is>
      </c>
      <c r="P122" s="23" t="inlineStr">
        <is>
          <t>CAUTION</t>
        </is>
      </c>
      <c r="Q122" s="68" t="inlineStr">
        <is>
          <t>High</t>
        </is>
      </c>
      <c r="R122"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3" ht="72" customHeight="1" s="59">
      <c r="A123" s="4" t="inlineStr">
        <is>
          <t>Plants that no longer slaughter — REFUTED</t>
        </is>
      </c>
      <c r="B123" s="68" t="inlineStr">
        <is>
          <t>OR / TX / IL</t>
        </is>
      </c>
      <c r="C123" s="68" t="inlineStr">
        <is>
          <t>exited slaughter or no establishment</t>
        </is>
      </c>
      <c r="D123" s="68" t="inlineStr">
        <is>
          <t>n/a</t>
        </is>
      </c>
      <c r="E123" s="24" t="inlineStr">
        <is>
          <t>n/a</t>
        </is>
      </c>
      <c r="F123" s="68" t="inlineStr">
        <is>
          <t>n/a</t>
        </is>
      </c>
      <c r="G123" s="68" t="inlineStr">
        <is>
          <t>n/a</t>
        </is>
      </c>
      <c r="H123" s="68" t="inlineStr">
        <is>
          <t>See the Welfare &amp; culture column — enforcement detail is carried there for these rows</t>
        </is>
      </c>
      <c r="I123" s="68" t="inlineStr">
        <is>
          <t>Not verified — APHIS publishes no searchable list; confirm with APHIS VS</t>
        </is>
      </c>
      <c r="J123" s="68" t="inlineStr">
        <is>
          <t>n/a</t>
        </is>
      </c>
      <c r="K123" s="68" t="inlineStr">
        <is>
          <t>n/a</t>
        </is>
      </c>
      <c r="L123" s="68" t="inlineStr">
        <is>
          <t>No</t>
        </is>
      </c>
      <c r="M123" s="110" t="inlineStr">
        <is>
          <t>NO</t>
        </is>
      </c>
      <c r="N123" s="68" t="inlineStr">
        <is>
          <t>No</t>
        </is>
      </c>
      <c r="O123" s="68" t="inlineStr">
        <is>
          <t>—</t>
        </is>
      </c>
      <c r="P123" s="28" t="inlineStr">
        <is>
          <t>OUT / FLAG</t>
        </is>
      </c>
      <c r="Q123" s="68" t="inlineStr">
        <is>
          <t>High</t>
        </is>
      </c>
      <c r="R123"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4" ht="72" customHeight="1" s="59">
      <c r="A124" s="4" t="inlineStr">
        <is>
          <t>Fauquier's Finest — DATA ANOMALY</t>
        </is>
      </c>
      <c r="B124" s="68" t="inlineStr">
        <is>
          <t>Bealeton, VA</t>
        </is>
      </c>
      <c r="C124" s="68" t="inlineStr">
        <is>
          <t>USDA federal, multi-species</t>
        </is>
      </c>
      <c r="D124" s="68" t="inlineStr">
        <is>
          <t>CONTRADICTORY: FSIS size 'Very Small' (&lt;10 employees / &lt;$2.5M) YET slaughter_volume_category = 4 (≥100,000 head/yr)</t>
        </is>
      </c>
      <c r="E124" s="24" t="inlineStr">
        <is>
          <t>unknown
(confirm)</t>
        </is>
      </c>
      <c r="F124" s="68" t="inlineStr">
        <is>
          <t>Yes — MKT+SOW+boar+beef</t>
        </is>
      </c>
      <c r="G124" s="68" t="inlineStr">
        <is>
          <t>USDA ✓ M33940</t>
        </is>
      </c>
      <c r="H124" s="68" t="inlineStr">
        <is>
          <t>See the Welfare &amp; culture column — enforcement detail is carried there for these rows</t>
        </is>
      </c>
      <c r="I124" s="68" t="inlineStr">
        <is>
          <t>Not verified — APHIS publishes no searchable list; confirm with APHIS VS</t>
        </is>
      </c>
      <c r="J124" s="68" t="inlineStr">
        <is>
          <t>🚨 INH suspension 04 Dec 2024 → reinstated 06 Mar 2025</t>
        </is>
      </c>
      <c r="K124" s="68" t="inlineStr">
        <is>
          <t>unknown</t>
        </is>
      </c>
      <c r="L124" s="68" t="inlineStr">
        <is>
          <t>Structurally suits Model A (custom processor)</t>
        </is>
      </c>
      <c r="M124" s="110" t="inlineStr">
        <is>
          <t>NO</t>
        </is>
      </c>
      <c r="N124" s="68" t="inlineStr">
        <is>
          <t>unknown</t>
        </is>
      </c>
      <c r="O124" s="68" t="inlineStr">
        <is>
          <t>(540) 439-7227
11746 AG Industrial Dr, Bealeton VA 22712</t>
        </is>
      </c>
      <c r="P124" s="23" t="inlineStr">
        <is>
          <t>CAUTION</t>
        </is>
      </c>
      <c r="Q124" s="68" t="inlineStr">
        <is>
          <t>Low</t>
        </is>
      </c>
      <c r="R124"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5" ht="15" customHeight="1" s="59"/>
    <row r="126" ht="19.7" customHeight="1" s="59">
      <c r="A126" s="119" t="inlineStr">
        <is>
          <t>★★ PRIORITY OUTREACH — TISSUE COLLECTORS OPERATING INSIDE THIRD-PARTY PLANTS (they already run Model A at industrial scale)</t>
        </is>
      </c>
    </row>
    <row r="127" ht="58.6" customHeight="1" s="59">
      <c r="A127" s="51" t="inlineStr">
        <is>
          <t>Scientific Protein Laboratories (SPL)</t>
        </is>
      </c>
      <c r="B127" s="53" t="inlineStr">
        <is>
          <t>Waunakee, WI</t>
        </is>
      </c>
      <c r="C127" s="53" t="inlineStr">
        <is>
          <t>HEPARIN / mucosa collector — operates INSIDE third-party USDA plants</t>
        </is>
      </c>
      <c r="D127" s="53" t="inlineStr">
        <is>
          <t>n/a — collects, does not slaughter</t>
        </is>
      </c>
      <c r="E127" s="50" t="inlineStr">
        <is>
          <t>n/a</t>
        </is>
      </c>
      <c r="F127" s="53" t="inlineStr">
        <is>
          <t>n/a (works on others' hog lines)</t>
        </is>
      </c>
      <c r="G127" s="53" t="inlineStr">
        <is>
          <t>n/a — collects at USDA-inspected plants</t>
        </is>
      </c>
      <c r="H127" s="53" t="inlineStr">
        <is>
          <t>Not researched — they are operators, not slaughter plants</t>
        </is>
      </c>
      <c r="I127" s="53" t="inlineStr">
        <is>
          <t>Not verified — ask directly; they run an established export-grade pharma supply chain</t>
        </is>
      </c>
      <c r="J127" s="53" t="inlineStr">
        <is>
          <t>Pharma-grade operation; heparin API feeds regulated medicine supply</t>
        </is>
      </c>
      <c r="K127" s="53" t="inlineStr">
        <is>
          <t>⭐ THIS IS THE POINT: they recover porcine MUCOSA under written protocol, with their OWN CREWS, on someone else's kill floor, paying for line position</t>
        </is>
      </c>
      <c r="L127" s="53" t="inlineStr">
        <is>
          <t>They ARE Model A — at industrial scale, already proven</t>
        </is>
      </c>
      <c r="M127" s="110" t="inlineStr">
        <is>
          <t>NO</t>
        </is>
      </c>
      <c r="N127" s="53" t="inlineStr">
        <is>
          <t>n/a — they are an operator, not a host</t>
        </is>
      </c>
      <c r="O127" s="53" t="inlineStr">
        <is>
          <t>Waunakee, WI (find current number via company site)</t>
        </is>
      </c>
      <c r="P127" s="54" t="inlineStr">
        <is>
          <t>★★ PRIORITY
CONTACT</t>
        </is>
      </c>
      <c r="Q127" s="49" t="inlineStr">
        <is>
          <t>Med</t>
        </is>
      </c>
      <c r="R127"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28" ht="72" customHeight="1" s="59">
      <c r="A128" s="51" t="inlineStr">
        <is>
          <t>DeWied International</t>
        </is>
      </c>
      <c r="B128" s="53" t="inlineStr">
        <is>
          <t>San Antonio, TX</t>
        </is>
      </c>
      <c r="C128" s="53" t="inlineStr">
        <is>
          <t>NATURAL CASINGS collector — operates INSIDE third-party USDA plants</t>
        </is>
      </c>
      <c r="D128" s="53" t="inlineStr">
        <is>
          <t>n/a — collects, does not slaughter</t>
        </is>
      </c>
      <c r="E128" s="50" t="inlineStr">
        <is>
          <t>n/a</t>
        </is>
      </c>
      <c r="F128" s="53" t="inlineStr">
        <is>
          <t>n/a (works on others' hog lines)</t>
        </is>
      </c>
      <c r="G128" s="53" t="inlineStr">
        <is>
          <t>USDA ✓ V27254
(voluntary grant, Certification–Export;
FSIS lists 'Oversea Dewied International LLC')</t>
        </is>
      </c>
      <c r="H128" s="53" t="inlineStr">
        <is>
          <t>Not researched — they are operators, not slaughter plants</t>
        </is>
      </c>
      <c r="I128" s="53" t="inlineStr">
        <is>
          <t>Not verified — ask directly; casings are widely exported so export documentation experience is likely</t>
        </is>
      </c>
      <c r="J128" s="53" t="inlineStr">
        <is>
          <t>Long-established casings house; merged with Oversea Casing 2018</t>
        </is>
      </c>
      <c r="K128" s="53" t="inlineStr">
        <is>
          <t>⭐ Same model: own crews recovering ONE tissue (intestine/casings) under written protocol inside third-party plants</t>
        </is>
      </c>
      <c r="L128" s="53" t="inlineStr">
        <is>
          <t>They ARE Model A — at industrial scale, already proven</t>
        </is>
      </c>
      <c r="M128" s="110" t="inlineStr">
        <is>
          <t>NO</t>
        </is>
      </c>
      <c r="N128" s="53" t="inlineStr">
        <is>
          <t>n/a — they are an operator, not a host</t>
        </is>
      </c>
      <c r="O128" s="53" t="inlineStr">
        <is>
          <t>San Antonio, TX (find current number via company site)</t>
        </is>
      </c>
      <c r="P128" s="54" t="inlineStr">
        <is>
          <t>★★ PRIORITY
CONTACT</t>
        </is>
      </c>
      <c r="Q128" s="49" t="inlineStr">
        <is>
          <t>High</t>
        </is>
      </c>
      <c r="R128"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2">
    <mergeCell ref="A27:R27"/>
    <mergeCell ref="A101:R101"/>
    <mergeCell ref="A2:R2"/>
    <mergeCell ref="A33:R33"/>
    <mergeCell ref="A85:R85"/>
    <mergeCell ref="A76:R76"/>
    <mergeCell ref="A5:R5"/>
    <mergeCell ref="A126:R126"/>
    <mergeCell ref="A8:R8"/>
    <mergeCell ref="A106:R106"/>
    <mergeCell ref="A53:R53"/>
    <mergeCell ref="A38:R38"/>
    <mergeCell ref="A114:R114"/>
    <mergeCell ref="A48:R48"/>
    <mergeCell ref="A59:R59"/>
    <mergeCell ref="A24:R24"/>
    <mergeCell ref="A45:R45"/>
    <mergeCell ref="A1:R1"/>
    <mergeCell ref="A94:R94"/>
    <mergeCell ref="A61:R61"/>
    <mergeCell ref="A119:R119"/>
    <mergeCell ref="A88:R88"/>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7.xml><?xml version="1.0" encoding="utf-8"?>
<worksheet xmlns="http://schemas.openxmlformats.org/spreadsheetml/2006/main">
  <sheetPr>
    <tabColor rgb="00C00000"/>
    <outlinePr summaryBelow="1" summaryRight="1"/>
    <pageSetUpPr fitToPage="1"/>
  </sheetPr>
  <dimension ref="A1:G34"/>
  <sheetViews>
    <sheetView showGridLines="0" workbookViewId="0">
      <pane ySplit="1" topLeftCell="A2" activePane="bottomLeft" state="frozen"/>
      <selection pane="bottomLeft" activeCell="A1" sqref="A1"/>
    </sheetView>
  </sheetViews>
  <sheetFormatPr baseColWidth="8" defaultRowHeight="15"/>
  <cols>
    <col width="24" customWidth="1" style="59" min="1" max="1"/>
    <col width="16" customWidth="1" style="59" min="2" max="2"/>
    <col width="30" customWidth="1" style="59" min="3" max="3"/>
    <col width="30" customWidth="1" style="59" min="4" max="4"/>
    <col width="34" customWidth="1" style="59" min="5" max="5"/>
    <col width="30" customWidth="1" style="59" min="6" max="6"/>
    <col width="34" customWidth="1" style="59" min="7" max="7"/>
  </cols>
  <sheetData>
    <row r="1" ht="25.1" customHeight="1" s="59">
      <c r="A1" s="173" t="inlineStr">
        <is>
          <t>NC Supplier Comparison — Current Base vs Focus-Region Alternatives (2026-08-17)</t>
        </is>
      </c>
      <c r="B1" s="171" t="n"/>
      <c r="C1" s="171" t="n"/>
      <c r="D1" s="171" t="n"/>
      <c r="E1" s="171" t="n"/>
      <c r="F1" s="171" t="n"/>
      <c r="G1" s="172" t="n"/>
    </row>
    <row r="2" ht="45.2" customHeight="1" s="59">
      <c r="A2" s="148" t="inlineStr">
        <is>
          <t>Client-directed re-research: the five CURRENT suppliers (client ground truth 2026-08-17) re-verified, plus sweeps of Western NC, the counties north of Raleigh, and the rest of eastern NC. Sources: FSIS MPI + Establishment Demographic datasets and all three NCDA&amp;CS directories (dated 2026-08-10), retrieved fresh 2026-08-17; plant sites, county records, deeds and news; the five most decision-relevant claims adversarially verified by independent agents. Distances are OSRM road miles from the Pikeville anchor. Direct-tissue vendors intentionally excluded (client: 'probably indeed expensive').</t>
        </is>
      </c>
      <c r="B2" s="171" t="n"/>
      <c r="C2" s="171" t="n"/>
      <c r="D2" s="171" t="n"/>
      <c r="E2" s="171" t="n"/>
      <c r="F2" s="171" t="n"/>
      <c r="G2" s="172" t="n"/>
    </row>
    <row r="3" ht="15" customHeight="1" s="59"/>
    <row r="4" ht="19.7" customHeight="1" s="59">
      <c r="A4" s="150" t="inlineStr">
        <is>
          <t>A · THE CURRENT BASE — what we have, verified</t>
        </is>
      </c>
      <c r="B4" s="171" t="n"/>
      <c r="C4" s="171" t="n"/>
      <c r="D4" s="171" t="n"/>
      <c r="E4" s="171" t="n"/>
      <c r="F4" s="171" t="n"/>
      <c r="G4" s="172" t="n"/>
    </row>
    <row r="5" ht="31.8" customHeight="1" s="59">
      <c r="A5" s="152" t="inlineStr">
        <is>
          <t>Supplier</t>
        </is>
      </c>
      <c r="B5" s="152" t="inlineStr">
        <is>
          <t>What we get today
(your words)</t>
        </is>
      </c>
      <c r="C5" s="152" t="inlineStr">
        <is>
          <t>Verified 2026-08-17</t>
        </is>
      </c>
      <c r="D5" s="152" t="inlineStr">
        <is>
          <t>Capacity &amp; ceiling</t>
        </is>
      </c>
      <c r="E5" s="152" t="inlineStr">
        <is>
          <t>Welfare &amp; enforcement</t>
        </is>
      </c>
      <c r="F5" s="152" t="inlineStr">
        <is>
          <t>Who decides</t>
        </is>
      </c>
      <c r="G5" s="152" t="inlineStr">
        <is>
          <t>The move</t>
        </is>
      </c>
    </row>
    <row r="6" ht="98.8" customHeight="1" s="59">
      <c r="A6" s="153" t="inlineStr">
        <is>
          <t>NAHUNTA
Pikeville · P-80A (NC state)
~0 mi</t>
        </is>
      </c>
      <c r="B6" s="154" t="inlineStr">
        <is>
          <t>Model A live — our crews on site. Best quality &amp; relationship in the base. (Client-stated.)</t>
        </is>
      </c>
      <c r="C6" s="154" t="inlineStr">
        <is>
          <t>Both grants active (directory 2026-08-10); Specimen Permits page LIVE, linking to the NCDA&amp;CS form; specials posted 2026-08-17.</t>
        </is>
      </c>
      <c r="D6" s="154" t="inlineStr">
        <is>
          <t>~150/day claimed peak; 500+/wk (mid-2010s). Current kill UNVERIFIED — ask Brandon. Ceiling = quality anchor, not volume.</t>
        </is>
      </c>
      <c r="E6" s="154" t="inlineStr">
        <is>
          <t>No records — but state plants sit outside FSIS reporting; welfare here is a site-visit finding (our crews are the evidence).</t>
        </is>
      </c>
      <c r="F6" s="154" t="inlineStr">
        <is>
          <t>GM Brandon Pierce (bpierce@nahuntapork.com). Larry Pierce = Wayne Co. sheriff, general election 2026-11-03.</t>
        </is>
      </c>
      <c r="G6" s="154" t="inlineStr">
        <is>
          <t>Standing ANNUAL specimen permit + fixed weekly harvest days; take the NO-RETAIL-SKU organs first (kidneys, lungs, aortas, bladders, uteri, pancreas); modest capex to lock floor space; avoid Q4 retail peak; confirm which ENTITY signs.</t>
        </is>
      </c>
    </row>
    <row r="7" ht="112.2" customHeight="1" s="59">
      <c r="A7" s="153" t="inlineStr">
        <is>
          <t>MARTIN'S
Falcon · M6720 (T-A)
~45 mi</t>
        </is>
      </c>
      <c r="B7" s="154" t="inlineStr">
        <is>
          <t>Highest capacity in the base but DIFFICULT to work with; our crews on site. (Client-stated.)</t>
        </is>
      </c>
      <c r="C7" s="154" t="inlineStr">
        <is>
          <t>Active grant; bought 3 adjacent parcels 2021 (investment); clean QERs FY25-FY26Q2; zero OSHA 2016-26. 'Difficult' has NO regulatory explanation — it is relational.</t>
        </is>
      </c>
      <c r="D7" s="154" t="inlineStr">
        <is>
          <t>Cat 3 = hard band 192-1,917/wk. The 2,500/wk top figure EXCEEDS the ceiling — treat as unverified.</t>
        </is>
      </c>
      <c r="E7" s="154" t="inlineStr">
        <is>
          <t>Cleanest checkable record in the base. (QERs exclude ordinary NRs — FOIA still open.)</t>
        </is>
      </c>
      <c r="F7" s="154" t="inlineStr">
        <is>
          <t>President BETH HOLMES (beth@martinspork.com) — accountant by training; lead with economics.</t>
        </is>
      </c>
      <c r="G7" s="154" t="inlineStr">
        <is>
          <t>IRREPLACEABLE (verified): all three cat-3 market-hog floors in NC/SC/VA are already ours. Reduce dependence by CONTRACT: fund a dedicated harvest bay/chiller on the 2021-expanded footprint for a multi-year floor-access deal; shift overflow to the Sims cluster + Nahunta.</t>
        </is>
      </c>
    </row>
    <row r="8" ht="98.8" customHeight="1" s="59">
      <c r="A8" s="153" t="inlineStr">
        <is>
          <t>CUSTOM QUALITY PACKERS
Sims · M20129 / TA-20129
~45 mi</t>
        </is>
      </c>
      <c r="B8" s="154" t="inlineStr">
        <is>
          <t>Like Parks, but WE SEND HARVESTERS — Model A live. (Client-stated.)</t>
        </is>
      </c>
      <c r="C8" s="154" t="inlineStr">
        <is>
          <t>Hog-only (state species C), market+roaster; ~500/wk stated vs cat-3 band. Space-constrained: the owner's own site says Dean Street exists because CQP ran out of room.</t>
        </is>
      </c>
      <c r="D8" s="154" t="inlineStr">
        <is>
          <t>Paper headroom to ~1,900/wk; realistic +100-300/wk via a DEDICATED CLIENT KILL DAY (est., verify with Twitty).</t>
        </is>
      </c>
      <c r="E8" s="154" t="inlineStr">
        <is>
          <t>⚠ NEW FACT: four humane-handling actions 2018-2020 (2 suspensions, NOIE, reinstatement — all abeyed in days) + PETA HMSA probe request 6/11/2020. CLEAN FY24-FY26Q2. Audit before scaling; verify the 'Animal Welfare Approved' claim.</t>
        </is>
      </c>
      <c r="F8" s="154" t="inlineStr">
        <is>
          <t>Owner/operator Barrett Twitty (also owns Nash Pigg Farms + Dean Street Processing).</t>
        </is>
      </c>
      <c r="G8" s="154" t="inlineStr">
        <is>
          <t>Buy a dedicated kill day, don't compete for slots. UNIQUE LEVER: Twitty can CONTRACT-RAISE hogs to our spec (genetics/nutrition) with birth-to-harvest traceability — strengthens the EU dossier like nothing else in the base.</t>
        </is>
      </c>
    </row>
    <row r="9" ht="112.2" customHeight="1" s="59">
      <c r="A9" s="153" t="inlineStr">
        <is>
          <t>PARKS FAMILY MEATS
Warsaw · M18296A (T-A)
~45 mi</t>
        </is>
      </c>
      <c r="B9" s="154" t="inlineStr">
        <is>
          <t>Small; barbecue pigs; low quantities; a bit expensive. (Client-stated; 3rd-party review echoes 'a little expensive'.)</t>
        </is>
      </c>
      <c r="C9" s="154" t="inlineStr">
        <is>
          <t>STRUCTURALLY BIGGER THAN OUR MENTAL MODEL: slaughter-only floor, market + roaster flags, stated 400/day capacity not fully used, clean every checkable quarter — and the parent is THE PARKS COMPANIES: 29 facilities, 11 states, own trucking.</t>
        </is>
      </c>
      <c r="D9" s="154" t="inlineStr">
        <is>
          <t>Cat 3 band; stated 400/day ≈ 100k/yr nameplate vs cat-3 actuals below that — headroom exists.</t>
        </is>
      </c>
      <c r="E9" s="154" t="inlineStr">
        <is>
          <t>Clean FY2024-FY2026Q2 (checkable quarters).</t>
        </is>
      </c>
      <c r="F9" s="154" t="inlineStr">
        <is>
          <t>Kevin Krum, COO — (910) 290-0075, kevin.krum@parkslivestock.com (was the plant's own contact); Plant Supervisor Albino Cardoso. Maxwell = corporate sales, Danville IL.</t>
        </is>
      </c>
      <c r="G9" s="154" t="inlineStr">
        <is>
          <t>'Small and expensive' is most plausibly SPOT PRICING on a premium roaster niche, not a ceiling. Ask Krum: market-weight share of the week + a contracted client kill day at PROGRAM pricing. Unique lever: the parent can SOURCE hogs to our spec across 11 states and truck them to its own floor.</t>
        </is>
      </c>
    </row>
    <row r="10" ht="125.6" customHeight="1" s="59">
      <c r="A10" s="153" t="inlineStr">
        <is>
          <t>VILLARI / THE PORK CO.
Warsaw · M20608
~45 mi</t>
        </is>
      </c>
      <c r="B10" s="154" t="inlineStr">
        <is>
          <t>LEAF FAT ONLY — 'they can't do organs.' (Client-stated.)</t>
        </is>
      </c>
      <c r="C10" s="154" t="inlineStr">
        <is>
          <t>'No organs' is NEGOTIABLE BUT HARD NEAR-TERM: no regulatory/contractual blocker, no third party holds the viscera (goes to rendering; Darling Rose Hill ~10 mi inferred). Real obstacle = the WASTEWATER crisis: $3.27M pre-treatment project, county loan 3/2026, friction with Warsaw.</t>
        </is>
      </c>
      <c r="D10" s="154" t="inlineStr">
        <is>
          <t>~1,500 hd/day — the ONLY current supplier whose scale could cover the entire organ need from a low-single-digit share of the kill.</t>
        </is>
      </c>
      <c r="E10" s="154" t="inlineStr">
        <is>
          <t>⚠⚠ Repeat egregious failure mode: bleed-rail consciousness 2022 (suspension) AND 5/6/2025 (NOIE deferred 5/15). Clean thru Mar 2026; Apr-Aug 2026 unverifiable until Q3 QER. Gate any deepening on it.</t>
        </is>
      </c>
      <c r="F10" s="154" t="inlineStr">
        <is>
          <t>GM Cory Johnson · Plant Mgr Rickie Purnell (ops); CEO Joe Villari (strategic). $800K NCAMPI award 7/7/2026 = leverage moment.</t>
        </is>
      </c>
      <c r="G10" s="154" t="inlineStr">
        <is>
          <t>THE WEDGE: paid, client-crewed viscera-table pilot NOW (our crew, zero plant labor — leaf-fat segregation already proves per-head diversion works here); big-volume ask AFTER wastewater Phase I/II lands (~2027).</t>
        </is>
      </c>
    </row>
    <row r="11" ht="15" customHeight="1" s="59"/>
    <row r="12" ht="19.7" customHeight="1" s="59">
      <c r="A12" s="155" t="inlineStr">
        <is>
          <t>B · THE GAP THE BASE LEAVES OPEN</t>
        </is>
      </c>
      <c r="B12" s="171" t="n"/>
      <c r="C12" s="171" t="n"/>
      <c r="D12" s="171" t="n"/>
      <c r="E12" s="171" t="n"/>
      <c r="F12" s="171" t="n"/>
      <c r="G12" s="172" t="n"/>
    </row>
    <row r="13" ht="45.2" customHeight="1" s="59">
      <c r="A13" s="157" t="inlineStr">
        <is>
          <t>ORGANS AT VOLUME, WITH LOW FRICTION. Villari has the volume but no organs (until the wedge lands); Martin's has the volume but the friction; Nahunta has the quality but a ~150/day ceiling; Parks and CQP work but are small and priced as spot business. Everything below is judged against that gap. One structural fact frames it all (adversarially confirmed): ALL THREE cat-3 market-hog floors in NC/SC/VA are already in this base — growth comes from working the base better and from sow-class / state-inspected / cluster plays, not from finding a new Martin's.</t>
        </is>
      </c>
      <c r="B13" s="171" t="n"/>
      <c r="C13" s="171" t="n"/>
      <c r="D13" s="171" t="n"/>
      <c r="E13" s="171" t="n"/>
      <c r="F13" s="171" t="n"/>
      <c r="G13" s="172" t="n"/>
    </row>
    <row r="14" ht="15" customHeight="1" s="59"/>
    <row r="15" ht="19.7" customHeight="1" s="59">
      <c r="A15" s="150" t="inlineStr">
        <is>
          <t>C · THE ALTERNATIVES, RANKED — what each adds vs the base</t>
        </is>
      </c>
      <c r="B15" s="171" t="n"/>
      <c r="C15" s="171" t="n"/>
      <c r="D15" s="171" t="n"/>
      <c r="E15" s="171" t="n"/>
      <c r="F15" s="171" t="n"/>
      <c r="G15" s="172" t="n"/>
    </row>
    <row r="16" ht="18.4" customHeight="1" s="59">
      <c r="A16" s="152" t="inlineStr">
        <is>
          <t>#</t>
        </is>
      </c>
      <c r="B16" s="152" t="inlineStr">
        <is>
          <t>Candidate</t>
        </is>
      </c>
      <c r="C16" s="152" t="inlineStr">
        <is>
          <t>Region · distance</t>
        </is>
      </c>
      <c r="D16" s="152" t="inlineStr">
        <is>
          <t>What it is (verified)</t>
        </is>
      </c>
      <c r="E16" s="152" t="inlineStr">
        <is>
          <t>What it adds vs the base</t>
        </is>
      </c>
      <c r="F16" s="152" t="inlineStr">
        <is>
          <t>Limits / gates</t>
        </is>
      </c>
      <c r="G16" s="152" t="inlineStr">
        <is>
          <t>Next step</t>
        </is>
      </c>
    </row>
    <row r="17" ht="58.6" customHeight="1" s="59">
      <c r="A17" s="159" t="inlineStr">
        <is>
          <t>1</t>
        </is>
      </c>
      <c r="B17" s="160" t="inlineStr">
        <is>
          <t>LARRY'S SAUSAGE
Fayetteville · M8305 (T-A)</t>
        </is>
      </c>
      <c r="C17" s="154" t="inlineStr">
        <is>
          <t>EAST · ~65 mi</t>
        </is>
      </c>
      <c r="D17" s="154" t="inlineStr">
        <is>
          <t>Sow-only, cat 2 (19-192/wk), family-run since 1952, ~20 min from Martin's.</t>
        </is>
      </c>
      <c r="E17" s="154" t="inlineStr">
        <is>
          <t>★ BEST STRUCTURAL ORGAN ADD IN THE EAST: sows are killed for sausage meat — viscera/organs/aortas are NOT their product. Sow organs ≈ adult human scale.</t>
        </is>
      </c>
      <c r="F17" s="154" t="inlineStr">
        <is>
          <t>GATED by the Anatomical Spec (sow vs market hog — internal, still unanswered). Never contacted; willingness unknown.</t>
        </is>
      </c>
      <c r="G17" s="154" t="inlineStr">
        <is>
          <t>PRIORITY CALL. (910) 483-5148 · office Tue 9-3.</t>
        </is>
      </c>
    </row>
    <row r="18" ht="72" customHeight="1" s="59">
      <c r="A18" s="159" t="inlineStr">
        <is>
          <t>2</t>
        </is>
      </c>
      <c r="B18" s="160" t="inlineStr">
        <is>
          <t>McLAMB'S ABATTOIR
Benson · P-247 (NC state)</t>
        </is>
      </c>
      <c r="C18" s="154" t="inlineStr">
        <is>
          <t>EAST/I-95 · ~37 mi</t>
        </is>
      </c>
      <c r="D18" s="154" t="inlineStr">
        <is>
          <t>State-inspected multi-species floor incl. hogs; operator Shane Lee; right off I-95.</t>
        </is>
      </c>
      <c r="E18" s="154" t="inlineStr">
        <is>
          <t>Closest unworked candidate to base — nearer than Parks/Martin's/CQP. Same APHIS-equivalent path as Nahunta. Candidate for a SECOND NAHUNTA-STYLE RELATIONSHIP.</t>
        </is>
      </c>
      <c r="F18" s="154" t="inlineStr">
        <is>
          <t>Volume unknown (state plants publish none) — one call closes it.</t>
        </is>
      </c>
      <c r="G18" s="154" t="inlineStr">
        <is>
          <t>CALL with Gale McLamb (below) as an I-95 pair. (919) 894-2587.</t>
        </is>
      </c>
    </row>
    <row r="19" ht="45.2" customHeight="1" s="59">
      <c r="A19" s="159" t="inlineStr">
        <is>
          <t>3</t>
        </is>
      </c>
      <c r="B19" s="160" t="inlineStr">
        <is>
          <t>GALE McLAMB MEATS
Dunn · P-221 (NC state)</t>
        </is>
      </c>
      <c r="C19" s="154" t="inlineStr">
        <is>
          <t>EAST/I-95 · ~44 mi</t>
        </is>
      </c>
      <c r="D19" s="154" t="inlineStr">
        <is>
          <t>State-inspected; cattle + hogs; family plant since 1980.</t>
        </is>
      </c>
      <c r="E19" s="154" t="inlineStr">
        <is>
          <t>Martin's-adjacent fallback on the same corridor; Nahunta playbook applies directly.</t>
        </is>
      </c>
      <c r="F19" s="154" t="inlineStr">
        <is>
          <t>Likely small retail-butcher scale; volume unknown.</t>
        </is>
      </c>
      <c r="G19" s="154" t="inlineStr">
        <is>
          <t>CALL as part of the I-95 pair. (910) 892-7279.</t>
        </is>
      </c>
    </row>
    <row r="20" ht="72" customHeight="1" s="59">
      <c r="A20" s="161" t="inlineStr">
        <is>
          <t>4</t>
        </is>
      </c>
      <c r="B20" s="160" t="inlineStr">
        <is>
          <t>PIEDMONT CUSTOM MEATS
Gibsonville · M7975 (T-A)</t>
        </is>
      </c>
      <c r="C20" s="154" t="inlineStr">
        <is>
          <t>WEST · ~116 mi — INSIDE the radius (borderline)</t>
        </is>
      </c>
      <c r="D20" s="154" t="inlineStr">
        <is>
          <t>Only NC plant with ALL FOUR hog classes; AWA-certified on a Temple Grandin-designed layout; Mon-Fri kill days; 600+ farm clients; slaughter-only structure.</t>
        </is>
      </c>
      <c r="E20" s="154" t="inlineStr">
        <is>
          <t>Best Model A host + best EU-facing welfare story of ANY candidate. Their own $5.06/head disposal fee shows viscera are DISCARDED today — organs exist and are being thrown away.</t>
        </is>
      </c>
      <c r="F20" s="154" t="inlineStr">
        <is>
          <t>Cat 2 = ≤~192/wk ACROSS ALL SPECIES — not a Martin's replacement. 150-lb pig minimum.</t>
        </is>
      </c>
      <c r="G20" s="154" t="inlineStr">
        <is>
          <t>Model A pilot call: (336) 628-4949 (scheduling) / (336) 584-8247.</t>
        </is>
      </c>
    </row>
    <row r="21" ht="58.6" customHeight="1" s="59">
      <c r="A21" s="161" t="inlineStr">
        <is>
          <t>5</t>
        </is>
      </c>
      <c r="B21" s="160" t="inlineStr">
        <is>
          <t>BASS FARMS
Spring Hope · M3521 (T-A)</t>
        </is>
      </c>
      <c r="C21" s="154" t="inlineStr">
        <is>
          <t>NORTH · ~40 mi</t>
        </is>
      </c>
      <c r="D21" s="154" t="inlineStr">
        <is>
          <t>NEWEST swine grant in NC (2/17/2026, sow-only) after a $2.2M/40-job expansion; 60-yr sausage brand; President Kenneth Edwards.</t>
        </is>
      </c>
      <c r="E21" s="154" t="inlineStr">
        <is>
          <t>Sow organs/aortas going to WASTE today, 40 min from Sims; growth-mode operator likely open to revenue from waste tissue.</t>
        </is>
      </c>
      <c r="F21" s="154" t="inlineStr">
        <is>
          <t>&lt;19 sows/wk — a micro-volume mature-anatomy ADD-ON, not a lane. Kill floor feeds their own sausage line.</t>
        </is>
      </c>
      <c r="G21" s="154" t="inlineStr">
        <is>
          <t>Pilot conversation; pair with CQP crew days. (252) 478-4147.</t>
        </is>
      </c>
    </row>
    <row r="22" ht="58.6" customHeight="1" s="59">
      <c r="A22" s="161" t="inlineStr">
        <is>
          <t>6</t>
        </is>
      </c>
      <c r="B22" s="160" t="inlineStr">
        <is>
          <t>FLOWERS SLAUGHTER HOUSE
Sims · M21747</t>
        </is>
      </c>
      <c r="C22" s="154" t="inlineStr">
        <is>
          <t>NORTH · ~45 mi</t>
        </is>
      </c>
      <c r="D22" s="154" t="inlineStr">
        <is>
          <t>Cat 2, market + BOAR/STAG (largest male anatomy in the region); 3 miles from CQP; contacts Alan Sharp / Tim Boswell.</t>
        </is>
      </c>
      <c r="E22" s="154" t="inlineStr">
        <is>
          <t>Redundancy for the Sims Model A operation + third leg of the cluster (CQP + Flowers + Bass = one crew, three floors).</t>
        </is>
      </c>
      <c r="F22" s="154" t="inlineStr">
        <is>
          <t>One-tenth of CQP's volume; custom beef/game side is uninspected — stay on the hog line.</t>
        </is>
      </c>
      <c r="G22" s="154" t="inlineStr">
        <is>
          <t>Fold into the Sims cluster. (252) 237-2982.</t>
        </is>
      </c>
    </row>
    <row r="23" ht="45.2" customHeight="1" s="59">
      <c r="A23" s="161" t="inlineStr">
        <is>
          <t>7</t>
        </is>
      </c>
      <c r="B23" s="160" t="inlineStr">
        <is>
          <t>VILLARI ORGAN PILOT
(not a new plant)</t>
        </is>
      </c>
      <c r="C23" s="154" t="inlineStr">
        <is>
          <t>EAST · ~45 mi</t>
        </is>
      </c>
      <c r="D23" s="154" t="inlineStr">
        <is>
          <t>The wedge into the base's only industrial-scale floor (see current base row).</t>
        </is>
      </c>
      <c r="E23" s="154" t="inlineStr">
        <is>
          <t>A low-single-digit share of 1,500 hd/day covers the entire organ need.</t>
        </is>
      </c>
      <c r="F23" s="154" t="inlineStr">
        <is>
          <t>Wastewater project + humane record set the timing and the gate.</t>
        </is>
      </c>
      <c r="G23" s="154" t="inlineStr">
        <is>
          <t>Pitch Johnson/Purnell now; volume ask ~2027.</t>
        </is>
      </c>
    </row>
    <row r="24" ht="112.2" customHeight="1" s="59">
      <c r="A24" s="162" t="inlineStr">
        <is>
          <t>8</t>
        </is>
      </c>
      <c r="B24" s="160" t="inlineStr">
        <is>
          <t>WESTERN STATE TRIO
Caldwell P-312 · Price's P-307 · McLaughlin's P-85</t>
        </is>
      </c>
      <c r="C24" s="154" t="inlineStr">
        <is>
          <t>WEST · 201-227 mi</t>
        </is>
      </c>
      <c r="D24" s="154" t="inlineStr">
        <is>
          <t>Three swine-ONLY state plants = the Nahunta structural formula x3 (verified on the 2026-08-10 directory). Price's kills Mon/Wed and hand-scrapes to preserve skin; McLaughlin's consumes livers (livermush) but blocks/aortas don't compete.</t>
        </is>
      </c>
      <c r="E24" s="154" t="inlineStr">
        <is>
          <t>A future WESTERN MINI-NAHUNTA if a western crew or Model B ever exists; same APHIS-equivalent export path.</t>
        </is>
      </c>
      <c r="F24" s="154" t="inlineStr">
        <is>
          <t>All outside the 120-mi radius; volumes unpublished; would need its own crew or overnight trips.</t>
        </is>
      </c>
      <c r="G24" s="154" t="inlineStr">
        <is>
          <t>Park until a western crew is justified; then visit Caldwell first.</t>
        </is>
      </c>
    </row>
    <row r="25" ht="58.6" customHeight="1" s="59">
      <c r="A25" s="162" t="inlineStr">
        <is>
          <t>9</t>
        </is>
      </c>
      <c r="B25" s="160" t="inlineStr">
        <is>
          <t>WILKES ABATTOIR (Apple Brandy)
N. Wilkesboro · M19511 (T-A)</t>
        </is>
      </c>
      <c r="C25" s="154" t="inlineStr">
        <is>
          <t>WEST · ~209 mi</t>
        </is>
      </c>
      <c r="D25" s="154" t="inlineStr">
        <is>
          <t>Hogs ≈ HALF the kill (highest confirmed hog share in the west); slaughter-only; owner Seth Church since 2019.</t>
        </is>
      </c>
      <c r="E25" s="154" t="inlineStr">
        <is>
          <t>A real hog floor with farmer-service culture.</t>
        </is>
      </c>
      <c r="F25" s="154" t="inlineStr">
        <is>
          <t>Cat 2; prior-owner (Thomas Brothers) humane suspensions 2009/15/18 — site history an EU auditor could surface.</t>
        </is>
      </c>
      <c r="G25" s="154" t="inlineStr">
        <is>
          <t>Second western call after Piedmont, if ever.</t>
        </is>
      </c>
    </row>
    <row r="26" ht="85.40000000000001" customHeight="1" s="59">
      <c r="A26" s="163" t="inlineStr">
        <is>
          <t>10</t>
        </is>
      </c>
      <c r="B26" s="160" t="inlineStr">
        <is>
          <t>DEPRIORITIZED / CLOSED</t>
        </is>
      </c>
      <c r="C26" s="154" t="inlineStr">
        <is>
          <t>—</t>
        </is>
      </c>
      <c r="D26" s="154" t="inlineStr">
        <is>
          <t>SCR International (Fairmont) = a second Parks (roaster/lechon house), ~114 mi, dead website. Acre Station = quality but ~150/wk and 2 hrs out. Riverside = &lt;19/wk, dead domain.</t>
        </is>
      </c>
      <c r="E26" s="154" t="inlineStr">
        <is>
          <t>KANSAS CITY SAUSAGE (Godwin) = RESOLVED DEAD: M760A inactive 9/3/2024; zero establishments at the site in active OR inactive directories. Custom-exempt floors (Clarkton, Miller, Mino's, Prospect) = ineligible, removed.</t>
        </is>
      </c>
      <c r="F26" s="154" t="inlineStr">
        <is>
          <t>Closures 2025-26: Country Slaughter 6/25, Assured Community 11/25, R.D. Jones, Mac's Farms, Jerusalem, Neese 7/26, Mitchell's Chop Shop 7/26.</t>
        </is>
      </c>
      <c r="G26" s="154" t="inlineStr">
        <is>
          <t>The pool is SHRINKING — lock in survivors sooner, not later.</t>
        </is>
      </c>
    </row>
    <row r="27" ht="15" customHeight="1" s="59"/>
    <row r="28" ht="19.7" customHeight="1" s="59">
      <c r="A28" s="150" t="inlineStr">
        <is>
          <t>D · REGION VERDICTS</t>
        </is>
      </c>
      <c r="B28" s="171" t="n"/>
      <c r="C28" s="171" t="n"/>
      <c r="D28" s="171" t="n"/>
      <c r="E28" s="171" t="n"/>
      <c r="F28" s="171" t="n"/>
      <c r="G28" s="172" t="n"/>
    </row>
    <row r="29" ht="45.2" customHeight="1" s="59">
      <c r="A29" s="164" t="inlineStr">
        <is>
          <t>WESTERN NC — VERDICT (adversarially confirmed)</t>
        </is>
      </c>
      <c r="B29" s="154" t="inlineStr">
        <is>
          <t>NO VOLUME PLAY EXISTS: every western swine plant is cat 1-2 (≤~192/wk, all species combined), no new western swine grant since 10/2024, and 2025-26 attrition took Country Slaughter (Rockingham), Neese (Burlington) and Triad Halal's swine flags. What the west DOES offer: the best welfare story in the state (Piedmont — AWA/Temple Grandin, and actually inside the 120-mi radius at 116 road mi) and three swine-only state plants that replicate Nahunta's structure (Caldwell, Price's, McLaughlin's — 201-227 mi, western-crew/Model B only).</t>
        </is>
      </c>
      <c r="C29" s="171" t="n"/>
      <c r="D29" s="171" t="n"/>
      <c r="E29" s="171" t="n"/>
      <c r="F29" s="171" t="n"/>
      <c r="G29" s="172" t="n"/>
    </row>
    <row r="30" ht="45.2" customHeight="1" s="59">
      <c r="A30" s="164" t="inlineStr">
        <is>
          <t>NORTH OF RALEIGH — VERDICT (adversarially confirmed)</t>
        </is>
      </c>
      <c r="B30" s="154" t="inlineStr">
        <is>
          <t>A CONFIRMED DESERT, with one bright spot: across all 13 counties north/northeast of Raleigh there are exactly THREE inspected livestock kill floors — Bass Farms, CQP and Flowers, all clustered on the Nash/Wilson line (the only other inspected slaughter is a Perdue chicken plant in Bertie Co.). Zero state-inspected slaughter; six counties have no meat establishments at all. The bright spot: that cluster is OURS — CQP is current, Flowers is 3 mi away, Bass is new and hungry. One crew, three floors, 37-45 road miles.</t>
        </is>
      </c>
      <c r="C30" s="171" t="n"/>
      <c r="D30" s="171" t="n"/>
      <c r="E30" s="171" t="n"/>
      <c r="F30" s="171" t="n"/>
      <c r="G30" s="172" t="n"/>
    </row>
    <row r="31" ht="45.2" customHeight="1" s="59">
      <c r="A31" s="164" t="inlineStr">
        <is>
          <t>EASTERN NC — VERDICT</t>
        </is>
      </c>
      <c r="B31" s="154" t="inlineStr">
        <is>
          <t>The decisions live here. Two organ-relevant sow plants (Larry's at volume; Bass at micro), two missed state-inspected plants on I-95 (McLamb's Benson 37 mi, Gale McLamb Dunn 44 mi — the Nahunta playbook, closer than any current supplier except Nahunta), the Villari organ wedge, and the Godwin question CLOSED (dead). Watch: 'Caudle Meat' won a $189K NCAMPI grant (7/7/2026) with no inspection grant yet — possible new Greene Co. capacity; get there first.</t>
        </is>
      </c>
      <c r="C31" s="171" t="n"/>
      <c r="D31" s="171" t="n"/>
      <c r="E31" s="171" t="n"/>
      <c r="F31" s="171" t="n"/>
      <c r="G31" s="172" t="n"/>
    </row>
    <row r="32" ht="15" customHeight="1" s="59"/>
    <row r="33" ht="19.7" customHeight="1" s="59">
      <c r="A33" s="166" t="inlineStr">
        <is>
          <t>E · BOTTOM LINE</t>
        </is>
      </c>
      <c r="B33" s="171" t="n"/>
      <c r="C33" s="171" t="n"/>
      <c r="D33" s="171" t="n"/>
      <c r="E33" s="171" t="n"/>
      <c r="F33" s="171" t="n"/>
      <c r="G33" s="172" t="n"/>
    </row>
    <row r="34" ht="72" customHeight="1" s="59">
      <c r="A34" s="168" t="inlineStr">
        <is>
          <t>THE SEQUENCED MOVES — (1) CALL LARRY'S: the single best structural organ add; gate on the sow-vs-market-hog spec decision (Anatomical Spec tab — still the #1 internal action). (2) CALL THE I-95 STATE PAIR (McLamb's Benson + Gale McLamb Dunn): two Nahunta-playbook floors at 37-44 mi nobody has ever worked. (3) BUY A DEDICATED CQP KILL DAY and pilot Bass + Flowers as the Sims cluster (one crew, three floors) — after the CQP welfare audit. (4) PITCH THE VILLARI VISCERA-TABLE PILOT to Johnson/Purnell while the $800K NCAMPI award is warm; big-volume ask ~2027 post-wastewater. (5) RESET MARTIN'S WITH BETH HOLMES on economics (bench fee + per-head; optionally fund a harvest bay for a multi-year agreement) — it is irreplaceable and clean on paper. (6) ASK KRUM AT PARKS for program pricing on a contracted market-hog window + parent-company hog sourcing to spec. (7) PIEDMONT MODEL A PILOT as the EU-facing welfare showcase (116 mi, borderline inside the radius). West beyond Piedmont: park until a western crew exists.</t>
        </is>
      </c>
      <c r="B34" s="171" t="n"/>
      <c r="C34" s="171" t="n"/>
      <c r="D34" s="171" t="n"/>
      <c r="E34" s="171" t="n"/>
      <c r="F34" s="171" t="n"/>
      <c r="G34" s="172" t="n"/>
    </row>
  </sheetData>
  <mergeCells count="12">
    <mergeCell ref="A13:G13"/>
    <mergeCell ref="A1:G1"/>
    <mergeCell ref="B31:G31"/>
    <mergeCell ref="A34:G34"/>
    <mergeCell ref="A12:G12"/>
    <mergeCell ref="A4:G4"/>
    <mergeCell ref="A2:G2"/>
    <mergeCell ref="A15:G15"/>
    <mergeCell ref="B30:G30"/>
    <mergeCell ref="A33:G33"/>
    <mergeCell ref="B29:G29"/>
    <mergeCell ref="A28:G28"/>
  </mergeCells>
  <pageMargins left="0.35" right="0.35" top="0.45" bottom="0.45" header="0.5" footer="0.5"/>
  <pageSetup orientation="landscape" fitToHeight="0" fitToWidth="1"/>
  <headerFooter>
    <oddHeader/>
    <oddFooter>&amp;L&amp;8 NC Comparison 2026-08-17&amp;R&amp;8 Page &amp;P of &amp;N</oddFooter>
    <evenHeader/>
    <evenFooter/>
    <firstHeader/>
    <firstFooter/>
  </headerFooter>
</worksheet>
</file>

<file path=xl/worksheets/sheet8.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31.8"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31.8"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31.8" customHeight="1" s="59">
      <c r="A22" s="74" t="inlineStr">
        <is>
          <t>Total cost per visit</t>
        </is>
      </c>
      <c r="C22" s="125">
        <f>C21+C11+C19*C6</f>
        <v/>
      </c>
      <c r="D22" s="73">
        <f>fixed+transport + harvester labor + inventory * blocks.</f>
        <v/>
      </c>
    </row>
    <row r="23" ht="31.8" customHeight="1" s="59">
      <c r="A23" s="78" t="inlineStr">
        <is>
          <t>★ TOTAL COST PER BLOCK</t>
        </is>
      </c>
      <c r="C23" s="126">
        <f>IF(C6&gt;0,C22/C6,0)</f>
        <v/>
      </c>
      <c r="D23" s="73">
        <f>total cost per visit / blocks. Your self-harvest unit cost.</f>
        <v/>
      </c>
    </row>
    <row r="24" ht="31.8" customHeight="1" s="59">
      <c r="A24" s="74" t="inlineStr">
        <is>
          <t>Memo: harvester labor per block</t>
        </is>
      </c>
      <c r="C24" s="125">
        <f>IF(C6&gt;0,C11/C6,0)</f>
        <v/>
      </c>
      <c r="D24" s="73">
        <f>(min/block / 60) * crew * rate.</f>
        <v/>
      </c>
    </row>
    <row r="25" ht="31.8"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25.6"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72"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72"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72"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72"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72"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72"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72"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2.xml><?xml version="1.0" encoding="utf-8"?>
<worksheet xmlns="http://schemas.openxmlformats.org/spreadsheetml/2006/main">
  <sheetPr>
    <tabColor rgb="00548235"/>
    <outlinePr summaryBelow="1" summaryRight="1"/>
    <pageSetUpPr fitToPage="1"/>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35" right="0.35" top="0.45" bottom="0.45" header="0.5" footer="0.5"/>
  <pageSetup orientation="landscape" fitToHeight="0" fitToWidth="1"/>
  <headerFooter>
    <oddHeader/>
    <oddFooter>&amp;L&amp;8 Call Question Sheet&amp;R&amp;8 Page &amp;P of &amp;N</oddFooter>
    <evenHeader/>
    <evenFooter/>
    <firstHeader/>
    <firstFooter/>
  </headerFooter>
</worksheet>
</file>

<file path=xl/worksheets/sheet13.xml><?xml version="1.0" encoding="utf-8"?>
<worksheet xmlns="http://schemas.openxmlformats.org/spreadsheetml/2006/main">
  <sheetPr>
    <tabColor rgb="00808080"/>
    <outlinePr summaryBelow="1" summaryRight="1"/>
    <pageSetUpPr fitToPage="1"/>
  </sheetPr>
  <dimension ref="A1:D34"/>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139"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lives on the 'NC Comparison 2026-08-17' tab.</t>
        </is>
      </c>
    </row>
    <row r="6" ht="192.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125.6"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139"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152.4"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31.8"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31.8"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58.6"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31.8"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45.2"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72"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45.2"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58.6"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58.6"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45.2"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58.6"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58.6"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45.2"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xl/worksheets/sheet14.xml><?xml version="1.0" encoding="utf-8"?>
<worksheet xmlns="http://schemas.openxmlformats.org/spreadsheetml/2006/main">
  <sheetPr>
    <tabColor rgb="00A6A6A6"/>
    <outlinePr summaryBelow="1" summaryRight="1"/>
    <pageSetUpPr fitToPage="1"/>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4" customWidth="1" style="59" min="3" max="3"/>
    <col width="26" customWidth="1" style="59" min="4" max="4"/>
    <col width="17" customWidth="1" style="59" min="5" max="5"/>
    <col width="13" customWidth="1" style="59" min="6" max="6"/>
    <col width="5" customWidth="1" style="59" min="7" max="7"/>
    <col width="92"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58.6" customHeight="1" s="59">
      <c r="A3" s="91" t="inlineStr">
        <is>
          <t>⚠ POINT-IN-TIME RECORD — READ THE SUPERSEDED MARKERS. This tab captures the deep study as it stood before three later corrections. (1) Capacity was OPENED and replaced by four volume tiers, so references below to a 200-3,000/wk band are historical. (2) APHIS was confirmed to be required of DIRECT TISSUE SUPPLIERS only, and NC state inspection accepted as equivalent, so NAHUNTA IS EXPORTABLE — finding #2 below is wrong and is marked accordingly. (3) A sweep against USDA's own primary datasets (FSIS Establishment Demographic Data + MPI Directory, retrieved 2026-08-06) overturned the volume and inspection-type claims for several plants named below — most importantly Larry's Sausage, Bass Farms and Gunnoe Sausage. Cells beginning '⚠ SUPERSEDED' must NOT be acted on. Where this tab conflicts with the Supplier Roster or Action Items tabs,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45.2" customHeight="1" s="59">
      <c r="A7" s="58" t="inlineStr">
        <is>
          <t>⚠ SUPERSEDED — THIS FINDING IS WRONG. It read: 'NAHUNTA CAN NEVER SUPPLY EUROPE.' APHIS has since confirmed it accepts the NC state inspection programme (grant P-80A) as EQUIVALENT to federal for this purpose, and permits Nahunta-harvested material to form part of an exported model once the model is assembled at ATM. The reasoning below was sound on its own terms — EU Category 3 status under Reg. 1069/2009 does require ante-/post-mortem inspection in a slaughterhouse — but it assumed federal inspection was the only way to satisfy that, and for North Carolina specifically it is not. NOTE THE LIMIT: only NC state inspection carries this equivalence. No other state programme does.</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31.8"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31.8"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31.8"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31.8"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45.2"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72" customHeight="1" s="59">
      <c r="A34" s="44" t="n">
        <v>3</v>
      </c>
      <c r="B34" s="4" t="inlineStr">
        <is>
          <t>⚠ SUPERSEDED (est. no. is M8305, federal) — Larry's Sausage Company, Inc.  (Est. TA-8305, Fayetteville NC)</t>
        </is>
      </c>
      <c r="C34" s="68" t="inlineStr">
        <is>
          <t>⚠ SUPERSEDED — 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 SUPERSEDED — LARRY'S: inspection is FEDERAL M8305, not 'TA-8305'; FSIS slaughter_volume_category = 2 caps it at ~192/wk against the 200-800/wk claimed; and it is SOW-ONLY. Dropped from #3 to #11.  ORIGINAL TEXT: Actual weekly kill. The 200-800/wk figure is a labelled estimate from distribution footprint — that number decides everything.</t>
        </is>
      </c>
    </row>
    <row r="35" ht="72" customHeight="1" s="59">
      <c r="A35" s="44" t="n">
        <v>4</v>
      </c>
      <c r="B35" s="4" t="inlineStr">
        <is>
          <t>⚠ SUPERSEDED (est. no. is M3521, federal) — Bass Farms, Inc.  (Est. TA-3521, Spring Hope NC)</t>
        </is>
      </c>
      <c r="C35" s="68" t="inlineStr">
        <is>
          <t>⚠ SUPERSEDED — NCDA&amp;CS lists it 'Slaughter only, species C (swine)' — a hog kill floor with NO processing attached is the purest Model A structure in the state. Also never adversarially verified.</t>
        </is>
      </c>
      <c r="D35" s="64" t="n"/>
      <c r="E35" s="64" t="n"/>
      <c r="F35" s="64" t="n"/>
      <c r="G35" s="65" t="n"/>
      <c r="H35" s="5"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Current federal grant status — no matching M3521 record surfaced; confirm the TA grant is live before anything else.</t>
        </is>
      </c>
    </row>
    <row r="36" ht="58.6" customHeight="1" s="59">
      <c r="A36" s="44" t="n">
        <v>5</v>
      </c>
      <c r="B36" s="4" t="inlineStr">
        <is>
          <t>Gunnoe Sausage Company  (Goode VA · 540-586-1091)</t>
        </is>
      </c>
      <c r="C36" s="68" t="inlineStr">
        <is>
          <t>⚠ SUPERSEDED — Newly surfaced and NEVER researched: dedicated sow slaughterhouse since 1965 at ~450-590 hogs/week — genuinely in band, and Virginia's only such plant.</t>
        </is>
      </c>
      <c r="D36" s="64" t="n"/>
      <c r="E36" s="64" t="n"/>
      <c r="F36" s="64" t="n"/>
      <c r="G36" s="65" t="n"/>
      <c r="H36" s="5"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98.8" customHeight="1" s="59">
      <c r="A40" s="44" t="n">
        <v>9</v>
      </c>
      <c r="B40" s="4" t="inlineStr">
        <is>
          <t>Custom Quality Packers, LLC  (Est. M20129, Sims NC)
⚠ SUPERSEDED — the 'TA-20129' number is wrong; FSIS records an active FEDERAL grant M20129.</t>
        </is>
      </c>
      <c r="C40" s="68" t="inlineStr">
        <is>
          <t>⚠ SUPERSEDED — PROMOTED, and one premise was wrong. FSIS records market_swine AND roaster_swine for M20129 and slaughter_volume_category = 3 = 192-1,917/wk, which brackets the ~500/wk company figure — so it is NOT 'well below 200/wk'. It is now #4 in the contact order and anchors the Wilson County cluster with Flowers Slaughter House (M21747). Bass Farms is no longer part of that cluster: under ~19 head/wk.  ORIGINAL TEXT: 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 SUPERSEDED — Answered by primary data — FSIS category 3.  ORIGINAL TEXT: 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58.6"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58.6"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58.6"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58.6"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58.6"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58.6"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72" customHeight="1" s="59">
      <c r="A57" s="4" t="inlineStr">
        <is>
          <t>Larry's Sausage Company, Inc.</t>
        </is>
      </c>
      <c r="B57" s="68" t="inlineStr">
        <is>
          <t>Fayetteville, NC</t>
        </is>
      </c>
      <c r="C57" s="68" t="inlineStr">
        <is>
          <t>⚠ SUPERSEDED — 200-800/wk (labelled estimate from distribution footprint)</t>
        </is>
      </c>
      <c r="D57" s="68" t="inlineStr">
        <is>
          <t>⚠ SUPERSEDED — FEDERAL M8305, not Talmadge-Aiken.  ORIGINAL TEXT: Talmadge-Aiken TA-8305 — federal, exportable</t>
        </is>
      </c>
      <c r="E57" s="4" t="inlineStr">
        <is>
          <t>not verified</t>
        </is>
      </c>
      <c r="F57" s="68" t="inlineStr">
        <is>
          <t>POSSIBLE</t>
        </is>
      </c>
      <c r="G57" s="68" t="n">
        <v>2</v>
      </c>
      <c r="H57" s="68" t="inlineStr">
        <is>
          <t>⚠ SUPERSEDED — LARRY'S: inspection is FEDERAL M8305, not 'TA-8305'; FSIS slaughter_volume_category = 2 caps it at ~192/wk against the 200-800/wk claimed; and it is SOW-ONLY. Dropped from #3 to #11.  ORIGINAL TEXT: Closest structural analogue to Nahunta but WITH export-eligible federal inspection: swine-only, family-owned since 1952, three generations. Treat at pre-verification confidence — the same confidence level that failed elsewhere in this study.</t>
        </is>
      </c>
    </row>
    <row r="58" ht="72" customHeight="1" s="59">
      <c r="A58" s="4" t="inlineStr">
        <is>
          <t>Bass Farms, Inc.</t>
        </is>
      </c>
      <c r="B58" s="68" t="inlineStr">
        <is>
          <t>Spring Hope, NC</t>
        </is>
      </c>
      <c r="C58" s="68" t="inlineStr">
        <is>
          <t>⚠ SUPERSEDED — unknown — labelled estimate only</t>
        </is>
      </c>
      <c r="D58" s="68" t="inlineStr">
        <is>
          <t>⚠ SUPERSEDED — FEDERAL M3521, and it EXISTS — grant re-issued 17 Feb 2026.  ORIGINAL TEXT: Talmadge-Aiken TA-3521 (no matching M3521 found)</t>
        </is>
      </c>
      <c r="E58" s="4" t="inlineStr">
        <is>
          <t>not verified</t>
        </is>
      </c>
      <c r="F58" s="68" t="inlineStr">
        <is>
          <t>POSSIBLE</t>
        </is>
      </c>
      <c r="G58" s="68" t="n">
        <v>2</v>
      </c>
      <c r="H58" s="68"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NCDA&amp;CS lists 'Slaughter only, species C (swine)' — a hog kill floor with NO processing attached is the PUREST Model A structure in the state. Confirm the TA grant is live first.</t>
        </is>
      </c>
    </row>
    <row r="59" ht="85.40000000000001" customHeight="1" s="59">
      <c r="A59" s="4" t="inlineStr">
        <is>
          <t>Gunnoe Sausage Company</t>
        </is>
      </c>
      <c r="B59" s="68" t="inlineStr">
        <is>
          <t>Goode, VA</t>
        </is>
      </c>
      <c r="C59" s="68" t="inlineStr">
        <is>
          <t>⚠ SUPERSEDED — ~450-590/wk (90-110 head/day) — GENUINELY IN BAND</t>
        </is>
      </c>
      <c r="D59" s="68" t="inlineStr">
        <is>
          <t>⚠ SUPERSEDED — No 'Gunnoe' establishment exists anywhere in the FSIS MPI directory.  ORIGINAL TEXT: unknown — establishment number not captured</t>
        </is>
      </c>
      <c r="E59" s="4" t="inlineStr">
        <is>
          <t>not verified</t>
        </is>
      </c>
      <c r="F59" s="68" t="inlineStr">
        <is>
          <t>POSSIBLE</t>
        </is>
      </c>
      <c r="G59" s="68" t="n">
        <v>2</v>
      </c>
      <c r="H59" s="68"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58.6"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72" customHeight="1" s="59">
      <c r="A65" s="58" t="inlineStr">
        <is>
          <t>⚠ SUPERSEDED — THIS IS NO LONGER TRUE. The FSIS Akamai block was subsequently defeated with a full browser header set, and the primary files WERE retrieved and used: the MPI Directory by Establishment Number, the Establishment Demographic Data (species flags and volume categories), the Inactive Directory, and ten Quarterly Enforcement Reports covering FY2024 Q1 - FY2026 Q2. Those files are the basis of the current Supplier Roster. The FOIA recommendation still stands but the establishment numbers have changed — use the verified list in the Action Items tab (M18296A, M6720, M20129, M21747, M8305, M20608, M9065, M21938, M51351, M4005), not the TA-prefixed list below.  ORIGINAL TEXT: •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31.8"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45.2"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  ⚠ UPDATE: two of these three are now CLOSED by the FSIS primary-data sweep. Acre Station's 'custom exempt' worry is REFUTED — M19904 + P19904 is an active federal grant (though category 2 caps it at ~192/wk, not 400/wk). Bass Farms' 'missing federal M3521' is CLOSED — M3521 exists and the grant was re-issued 17 Feb 2026; the plant fails on volume instead, at under ~19 head/wk. Kansas City Sausage's establishment number remains genuinely unknown and is still the first question on that call.</t>
        </is>
      </c>
    </row>
    <row r="74" ht="31.8"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7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  ⚠ UPDATE: this recommendation no longer holds as written. Of the three Talmadge-Aiken plants named, only MARTIN'S survives on volume — Larry's is capped at ~192/wk and is sow-only, and Bass Farms is under ~19/wk. The lane candidate the sweep actually surfaced is PARKS FAMILY MEATS (M18296A, Warsaw NC): FSIS records it slaughter_or_processing_only = SLAUGHTER — a pure kill floor — with market hogs AND roasters flagged and category-3 volume. Call Parks, Martin's and Custom Quality Packers (M20129) inside one week.</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7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  ⚠ UPDATE: the cluster argument survives, but two of its members do not. Bass Farms is under ~19 head/wk and is a sausage processor with a small kill floor attached, not the pure kill floor described. Riverside Meats is also category 1, under ~19/wk (though its 'custom exempt' label is refuted — the federal grant is active). The cluster that does work is WILSON COUNTY: Custom Quality Packers (M20129, category 3, ~500/wk) plus Flowers Slaughter House (M21747, category 2) in the same town, with Nahunta 45 minutes away. That is one crew, three floors.</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45.2"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35" right="0.35" top="0.45" bottom="0.45" header="0.5" footer="0.5"/>
  <pageSetup orientation="landscape" fitToHeight="0" fitToWidth="1"/>
  <headerFooter>
    <oddHeader/>
    <oddFooter>&amp;L&amp;8 Deep Study (Verified)&amp;R&amp;8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2026-08-17T20:00:15Z</dcterms:modified>
  <cp:lastModifiedBy>Oscar Penny</cp:lastModifiedBy>
</cp:coreProperties>
</file>