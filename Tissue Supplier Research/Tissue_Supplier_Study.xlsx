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name="Instructions" sheetId="1" state="visible" r:id="rId1"/>
    <sheet name="Overview &amp; Method" sheetId="2" state="visible" r:id="rId2"/>
    <sheet name="Meeting Notes 2026-08" sheetId="3" state="visible" r:id="rId3"/>
    <sheet name="Current Base (benchmarks)" sheetId="4" state="visible" r:id="rId4"/>
    <sheet name="Supplier Roster" sheetId="5" state="visible" r:id="rId5"/>
    <sheet name="Rated Candidates" sheetId="6" state="visible" r:id="rId6"/>
    <sheet name="Call Questionnaire" sheetId="7" state="visible" r:id="rId7"/>
    <sheet name="Visit Agenda" sheetId="8" state="visible" r:id="rId8"/>
    <sheet name="Anatomical Spec" sheetId="9" state="visible" r:id="rId9"/>
    <sheet name="TCO Calculator" sheetId="10" state="visible" r:id="rId10"/>
    <sheet name="Models &amp; Make-vs-Buy" sheetId="11" state="visible" r:id="rId11"/>
    <sheet name="APHIS &amp; EU Export" sheetId="12" state="visible" r:id="rId12"/>
    <sheet name="National Direct Suppliers" sheetId="13" state="visible" r:id="rId13"/>
    <sheet name="Sources &amp; Confidence" sheetId="14" state="visible" r:id="rId14"/>
  </sheets>
  <definedNames>
    <definedName name="_xlnm._FilterDatabase" localSheetId="4" hidden="1">'Supplier Roster'!$A$4:$T$4</definedName>
    <definedName name="_xlnm.Print_Titles" localSheetId="4">'Supplier Roster'!$1:$4</definedName>
    <definedName name="_xlnm._FilterDatabase" localSheetId="5" hidden="1">'Rated Candidates'!$A$5:$V$20</definedName>
    <definedName name="_xlnm._FilterDatabase" localSheetId="12" hidden="1">'National Direct Suppliers'!$A$4:$I$4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53">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
      <name val="Arial"/>
      <b val="1"/>
      <color rgb="001F3864"/>
      <sz val="16"/>
    </font>
    <font>
      <name val="Arial"/>
      <i val="1"/>
      <color rgb="005B657A"/>
      <sz val="10"/>
    </font>
    <font>
      <name val="Arial"/>
      <color rgb="001F3864"/>
      <sz val="10"/>
    </font>
    <font>
      <name val="Arial"/>
      <b val="1"/>
      <color rgb="00833C0C"/>
      <sz val="10"/>
    </font>
  </fonts>
  <fills count="39">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
      <patternFill patternType="solid">
        <fgColor rgb="00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3">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xf numFmtId="0" fontId="49" fillId="0" borderId="0" applyAlignment="1" pivotButton="0" quotePrefix="0" xfId="0">
      <alignment horizontal="left" vertical="top"/>
    </xf>
    <xf numFmtId="0" fontId="44" fillId="0" borderId="0" applyAlignment="1" pivotButton="0" quotePrefix="0" xfId="0">
      <alignment horizontal="left" vertical="top" wrapText="1"/>
    </xf>
    <xf numFmtId="0" fontId="28" fillId="24" borderId="6" applyAlignment="1" pivotButton="0" quotePrefix="0" xfId="0">
      <alignment horizontal="left" vertical="top" wrapText="1"/>
    </xf>
    <xf numFmtId="0" fontId="0" fillId="24" borderId="6" pivotButton="0" quotePrefix="0" xfId="0"/>
    <xf numFmtId="0" fontId="35" fillId="34" borderId="1" applyAlignment="1" pivotButton="0" quotePrefix="0" xfId="0">
      <alignment horizontal="left" vertical="top" wrapText="1"/>
    </xf>
    <xf numFmtId="0" fontId="51" fillId="34" borderId="1" applyAlignment="1" pivotButton="0" quotePrefix="0" xfId="0">
      <alignment horizontal="left" vertical="top" wrapText="1"/>
    </xf>
    <xf numFmtId="0" fontId="44" fillId="27" borderId="6" applyAlignment="1" pivotButton="0" quotePrefix="0" xfId="0">
      <alignment horizontal="left" vertical="top" wrapText="1"/>
    </xf>
    <xf numFmtId="0" fontId="0" fillId="27" borderId="6" pivotButton="0" quotePrefix="0" xfId="0"/>
    <xf numFmtId="0" fontId="34" fillId="0" borderId="0" applyAlignment="1" pivotButton="0" quotePrefix="0" xfId="0">
      <alignment horizontal="right" vertical="top" wrapText="1"/>
    </xf>
    <xf numFmtId="9" fontId="35" fillId="38" borderId="6" applyAlignment="1" pivotButton="0" quotePrefix="0" xfId="0">
      <alignment horizontal="center" vertical="top" wrapText="1"/>
    </xf>
    <xf numFmtId="0" fontId="40" fillId="24" borderId="6" applyAlignment="1" pivotButton="0" quotePrefix="0" xfId="0">
      <alignment horizontal="center" vertical="top" wrapText="1"/>
    </xf>
    <xf numFmtId="0" fontId="35" fillId="0" borderId="6" applyAlignment="1" pivotButton="0" quotePrefix="0" xfId="0">
      <alignment horizontal="center" vertical="top" wrapText="1"/>
    </xf>
    <xf numFmtId="0" fontId="46" fillId="32" borderId="6" applyAlignment="1" pivotButton="0" quotePrefix="0" xfId="0">
      <alignment horizontal="center" vertical="top" wrapText="1"/>
    </xf>
    <xf numFmtId="0" fontId="45" fillId="25" borderId="6" applyAlignment="1" pivotButton="0" quotePrefix="0" xfId="0">
      <alignment horizontal="center" vertical="top" wrapText="1"/>
    </xf>
    <xf numFmtId="0" fontId="36" fillId="27" borderId="6" applyAlignment="1" pivotButton="0" quotePrefix="0" xfId="0">
      <alignment horizontal="center" vertical="top" wrapText="1"/>
    </xf>
    <xf numFmtId="0" fontId="32" fillId="31" borderId="6" applyAlignment="1" pivotButton="0" quotePrefix="0" xfId="0">
      <alignment horizontal="center" vertical="top" wrapText="1"/>
    </xf>
    <xf numFmtId="0" fontId="50" fillId="27" borderId="6" applyAlignment="1" pivotButton="0" quotePrefix="0" xfId="0">
      <alignment horizontal="left" vertical="top" wrapText="1"/>
    </xf>
    <xf numFmtId="0" fontId="35" fillId="38" borderId="6" applyAlignment="1" pivotButton="0" quotePrefix="0" xfId="0">
      <alignment horizontal="left" vertical="top" wrapText="1"/>
    </xf>
    <xf numFmtId="0" fontId="44" fillId="0" borderId="6" applyAlignment="1" pivotButton="0" quotePrefix="0" xfId="0">
      <alignment horizontal="left" vertical="top" wrapText="1"/>
    </xf>
    <xf numFmtId="0" fontId="44" fillId="0" borderId="6" applyAlignment="1" pivotButton="0" quotePrefix="0" xfId="0">
      <alignment horizontal="center" vertical="top" wrapText="1"/>
    </xf>
    <xf numFmtId="0" fontId="49" fillId="0" borderId="0" applyAlignment="1" pivotButton="0" quotePrefix="0" xfId="0">
      <alignment horizontal="left" vertical="top" wrapText="1"/>
    </xf>
    <xf numFmtId="0" fontId="52" fillId="36" borderId="1" applyAlignment="1" pivotButton="0" quotePrefix="0" xfId="0">
      <alignment horizontal="center" vertical="top" wrapText="1"/>
    </xf>
    <xf numFmtId="0" fontId="48" fillId="0" borderId="0" applyAlignment="1" pivotButton="0" quotePrefix="0" xfId="0">
      <alignment horizontal="left" vertical="top" wrapText="1"/>
    </xf>
    <xf numFmtId="0" fontId="35" fillId="27" borderId="6" applyAlignment="1" pivotButton="0" quotePrefix="0" xfId="0">
      <alignment horizontal="left" vertical="top" wrapText="1"/>
    </xf>
    <xf numFmtId="0" fontId="46" fillId="0" borderId="6" applyAlignment="1" pivotButton="0" quotePrefix="0" xfId="0">
      <alignment horizontal="center" vertical="top" wrapText="1"/>
    </xf>
    <xf numFmtId="0" fontId="45" fillId="0" borderId="6" applyAlignment="1" pivotButton="0" quotePrefix="0" xfId="0">
      <alignment horizontal="center" vertical="top" wrapText="1"/>
    </xf>
    <xf numFmtId="0" fontId="36" fillId="0" borderId="6" applyAlignment="1" pivotButton="0" quotePrefix="0" xfId="0">
      <alignment horizontal="center" vertical="top" wrapText="1"/>
    </xf>
    <xf numFmtId="0" fontId="32" fillId="0" borderId="6" applyAlignment="1" pivotButton="0" quotePrefix="0" xfId="0">
      <alignment horizontal="center" vertical="top" wrapText="1"/>
    </xf>
    <xf numFmtId="0" fontId="52" fillId="5" borderId="0" applyAlignment="1" pivotButton="0" quotePrefix="0" xfId="0">
      <alignment horizontal="lef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44"/>
  <sheetViews>
    <sheetView showGridLines="0" workbookViewId="0">
      <pane ySplit="3" topLeftCell="A4" activePane="bottomLeft" state="frozen"/>
      <selection pane="bottomLeft" activeCell="A1" sqref="A1"/>
    </sheetView>
  </sheetViews>
  <sheetFormatPr baseColWidth="8" defaultRowHeight="15"/>
  <cols>
    <col width="30" customWidth="1" style="59" min="1" max="1"/>
    <col width="118" customWidth="1" style="59" min="2" max="2"/>
  </cols>
  <sheetData>
    <row r="1" ht="25.1" customHeight="1" s="59">
      <c r="A1" s="196" t="inlineStr">
        <is>
          <t>Instructions — how to use this workbook (single home for every instruction, legend and acronym)</t>
        </is>
      </c>
    </row>
    <row r="2" ht="45.2" customHeight="1" s="59">
      <c r="A2" s="175" t="inlineStr">
        <is>
          <t>Consolidated 2026-09-03; revised 2026-09-04 — call and visit agendas split into two tabs, 'Plan of Action' and 'Action Items' retired, people referred to by ROLE only. Nothing lives anywhere else.  ·  2026-09-28: the client's Durham origin and 140-220 lb live-weight parameters applied; the Beebop (ChatGPT) snapshot in the Beebop/ folder cross-checked and folded in as collaborator DATA, not instruction.</t>
        </is>
      </c>
    </row>
    <row r="3" ht="15" customHeight="1" s="59"/>
    <row r="4" ht="19.7" customHeight="1" s="59">
      <c r="A4" s="176" t="inlineStr">
        <is>
          <t>1 · WHAT THIS WORKBOOK IS</t>
        </is>
      </c>
      <c r="B4" s="172" t="n"/>
    </row>
    <row r="5" ht="45.2" customHeight="1" s="59">
      <c r="A5" s="160" t="inlineStr">
        <is>
          <t>Purpose</t>
        </is>
      </c>
      <c r="B5" s="154" t="inlineStr">
        <is>
          <t>The single working file for finding and onboarding porcine tissue-harvest partners: full research record + candidate ratings + the two outreach agendas. Built to be shared between the SUPPLIER ENGINEER and the PURCHASING MANAGER — the two roles this process names (no personal names in this workbook).</t>
        </is>
      </c>
    </row>
    <row r="6" ht="72" customHeight="1" s="59">
      <c r="A6" s="160" t="inlineStr">
        <is>
          <t>Tab map</t>
        </is>
      </c>
      <c r="B6" s="154" t="inlineStr">
        <is>
          <t>SUPPLIER ROSTER — every plant assessed, with why / why-not + website per line · RATED CANDIDATES — A/B fit scores + tiers (pick your 3 here) · CALL QUESTIONNAIRE — stage 1: the call script + call log · VISIT AGENDA — stage 2: run on site during the visit · CURRENT BASE — the five suppliers we work with today · OVERVIEW / MEETING NOTES — study context &amp; meeting record · ANATOMICAL SPEC — the sow-vs-market-hog decision sheet (still the #1 internal action) · TCO CALCULATOR / MODELS &amp; MAKE-VS-BUY — economics · APHIS &amp; EU EXPORT — the export rules · NATIONAL DIRECT SUPPLIERS — buy-direct reference (deprioritized) · SOURCES &amp; CONFIDENCE — provenance.</t>
        </is>
      </c>
    </row>
    <row r="7" ht="19.7" customHeight="1" s="59">
      <c r="A7" s="176" t="inlineStr">
        <is>
          <t>2 · THE PROCESS — FINDING AND ONBOARDING A SUPPLIER  (agreed 2026-09-03 · revised 2026-09-04)</t>
        </is>
      </c>
      <c r="B7" s="172" t="n"/>
    </row>
    <row r="8" ht="31.8" customHeight="1" s="59">
      <c r="A8" s="160" t="inlineStr">
        <is>
          <t>Step 1 — share &amp; pick</t>
        </is>
      </c>
      <c r="B8" s="154" t="inlineStr">
        <is>
          <t>The Supplier Engineer shares this workbook with the Purchasing Manager. EACH PICKS 3 candidates independently — use the Rated Candidates tiers and fit scores; the roster's '★ Why a candidate' column carries the case per plant.</t>
        </is>
      </c>
    </row>
    <row r="9" ht="18.4" customHeight="1" s="59">
      <c r="A9" s="160" t="inlineStr">
        <is>
          <t>Step 2 — meet &amp; agree</t>
        </is>
      </c>
      <c r="B9" s="154" t="inlineStr">
        <is>
          <t>Meet and discuss each pick — why it's good, which model it suits. Agree the outreach list before anyone is contacted.</t>
        </is>
      </c>
    </row>
    <row r="10" ht="45.2" customHeight="1" s="59">
      <c r="A10" s="160" t="inlineStr">
        <is>
          <t>Step 3 — the CALL</t>
        </is>
      </c>
      <c r="B10" s="154" t="inlineStr">
        <is>
          <t>The PURCHASING MANAGER reaches out to the agreed suppliers. Keep it simple — the call does NOT discuss our business model. Three questions decide it: (1) Are you a slaughterhouse? (2) How many pigs do you kill in a week? (3) Could you sell us the organs? Script + call log: the CALL QUESTIONNAIRE tab.</t>
        </is>
      </c>
    </row>
    <row r="11" ht="31.8" customHeight="1" s="59">
      <c r="A11" s="160" t="inlineStr">
        <is>
          <t>Step 4 — go / no-go</t>
        </is>
      </c>
      <c r="B11" s="154" t="inlineStr">
        <is>
          <t>The Purchasing Manager comes back with whether or not we VISIT each one. Decided together; the outcome is recorded on the call log and the supplier's roster row.</t>
        </is>
      </c>
    </row>
    <row r="12" ht="45.2" customHeight="1" s="59">
      <c r="A12" s="160" t="inlineStr">
        <is>
          <t>Step 5 — NDA → visit → onboard</t>
        </is>
      </c>
      <c r="B12" s="154" t="inlineStr">
        <is>
          <t>Sign the NDA FIRST (the harvesting protocol and spec are not shared without it), then visit and run the VISIT AGENDA tab on site: buy-from-them vs harvest-ourselves (Model B-T vs A), the eviscerator and line layout, space for the operation, how we pay, tissue / spec / personnel expectations and TRAINING. If qualified → initiate ONBOARDING: contract and freezers (cold-chain commitment).</t>
        </is>
      </c>
    </row>
    <row r="13" ht="18.4" customHeight="1" s="59">
      <c r="A13" s="160" t="inlineStr">
        <is>
          <t>Target</t>
        </is>
      </c>
      <c r="B13" s="154" t="inlineStr">
        <is>
          <t>First call to RELIABLE PRODUCT: ~9 MONTHS.</t>
        </is>
      </c>
    </row>
    <row r="14" ht="19.7" customHeight="1" s="59">
      <c r="A14" s="176" t="inlineStr">
        <is>
          <t>3 · WHAT WE LOOK FOR (the profile)</t>
        </is>
      </c>
      <c r="B14" s="172" t="n"/>
    </row>
    <row r="15" ht="45.2" customHeight="1" s="59">
      <c r="A15" s="160" t="inlineStr">
        <is>
          <t>The two working models</t>
        </is>
      </c>
      <c r="B15" s="154" t="inlineStr">
        <is>
          <t>MODEL A — our harvesting techs go to their floor and collect what's needed (how Nahunta, Martin's and Custom Quality Packers work today). MODEL B-T — their people harvest to our spec, with our training and periodic supervision (how Parks works today). Villari is the cautionary profile: volume without access — its tissue gate is HARD; leaf fat only, no organ planning through it.</t>
        </is>
      </c>
    </row>
    <row r="16" ht="58.6" customHeight="1" s="59">
      <c r="A16" s="160" t="inlineStr">
        <is>
          <t>Hard gates (pass/fail)</t>
        </is>
      </c>
      <c r="B16" s="154" t="inlineStr">
        <is>
          <t>G1 INSPECTION: USDA federal grant (M / Talmadge-Aiken) or NORTH CAROLINA state grant (P-number) = fully eligible — NC state is APHIS-accepted as equivalent for material WE harvest and assemble at ATM. SC/VA/TN state programmes are NOT accepted → domestic lane only. Custom-exempt = ineligible, full stop.  ·  G2 OPERATING: verified operating on primary data as of the date in the row.  ·  G3 SWINE: actually kills hogs per USDA species flags or state species code.</t>
        </is>
      </c>
    </row>
    <row r="17" ht="72" customHeight="1" s="59">
      <c r="A17" s="160" t="inlineStr">
        <is>
          <t>Client parameters (restated 2026-09-28)</t>
        </is>
      </c>
      <c r="B17" s="154" t="inlineStr">
        <is>
          <t>From the client's 2026-09-28 ChatGPT brief (recorded in Beebop/README.md): ORIGIN = Durham — 101 City Hall Plaza is the placeholder; the actual crew departure point is still to be confirmed · RADIUS = 120 road miles · PREFERRED SCALE = 2,000-5,000 pigs/week — no new in-radius plant meets this (only Smithfield Clinton and Martin's approach it), so the working strategy stays cat-2 clusters + the incumbents · LIVE WEIGHT ≈ 140-220 lb — sow-class plants (400+ lb) fall outside the spec unless the Anatomical Spec decision says otherwise; Piedmont's published 150 lb minimum fits.</t>
        </is>
      </c>
    </row>
    <row r="18" ht="19.7" customHeight="1" s="59">
      <c r="A18" s="176" t="inlineStr">
        <is>
          <t>4 · VOLUME BRACKETS  (client ranges, set 2026-09-03)</t>
        </is>
      </c>
      <c r="B18" s="172" t="n"/>
    </row>
    <row r="19" ht="31.8" customHeight="1" s="59">
      <c r="A19" s="160" t="inlineStr">
        <is>
          <t>The brackets</t>
        </is>
      </c>
      <c r="B19" s="154" t="inlineStr">
        <is>
          <t>0-300 · &gt;300-700 · 750-1,200 · 1,250-5,000 · &gt;5,000 hogs/week. These replace the earlier Small/Medium/Medium-High/High tiers everywhere. A figure that spans two brackets (e.g. Parks' stated 400-1,000) is shown as a span with 'confirm'.</t>
        </is>
      </c>
    </row>
    <row r="20" ht="45.2" customHeight="1" s="59">
      <c r="A20" s="160" t="inlineStr">
        <is>
          <t>How brackets are filled</t>
        </is>
      </c>
      <c r="B20" s="154" t="inlineStr">
        <is>
          <t>Company-stated figures first; otherwise USDA's slaughter_volume_category band ceiling (cat 1 &lt;19/wk and cat 2 19-192/wk both land in 0-300; cat 3 = 192-1,917 spans brackets → 'confirm'; cat 4 ≥1,917). A bracket from a band is a CEILING to confirm on the call, not a measurement. State plants publish no volumes at all → 'confirm'.</t>
        </is>
      </c>
    </row>
    <row r="21" ht="19.7" customHeight="1" s="59">
      <c r="A21" s="176" t="inlineStr">
        <is>
          <t>5 · CANDIDATE SCORING  (Rated Candidates tab)</t>
        </is>
      </c>
      <c r="B21" s="172" t="n"/>
    </row>
    <row r="22" ht="85.40000000000001" customHeight="1" s="59">
      <c r="A22" s="160" t="inlineStr">
        <is>
          <t>The 8 sub-scores (0-5)</t>
        </is>
      </c>
      <c r="B22" s="154" t="inlineStr">
        <is>
          <t>PROX proximity — road miles from the DURHAM origin (5 ≤60 · 4 ≤120 · 2 ≤160 · 1 beyond) · ACCESS how hostable the floor is for OUR techs · CREW their crew's ability to harvest to spec under our training · ANAT anatomy match against the 140-220 lb live-weight target (5 market/light hogs · 4 market flag, confirm a lighter pull · 3 mixed or unknown class · 1 sow-only, 400+ lb) · VOL volume standing (5 = federal band cat 3+ · 3 = cat 2 · 1 = cat 1/unknown-small — kept on USDA bands so it stays source-verifiable) · WELF welfare &amp; enforcement (5 clean · 3 historic-resolved · 1 repeat/recent) · EXPORT path (5 = federal or NC state · 2 = domestic-only) · RELN approachability (named decision-maker, family culture, warm path in).</t>
        </is>
      </c>
    </row>
    <row r="23" ht="31.8" customHeight="1" s="59">
      <c r="A23" s="160" t="inlineStr">
        <is>
          <t>A-FIT (our techs go there)</t>
        </is>
      </c>
      <c r="B23" s="154" t="inlineStr">
        <is>
          <t>Weighted: PROX 25% · ACCESS 30% · ANAT 15% · VOL 10% · WELF 10% · EXPORT 5% · RELN 5%. Distance and floor access dominate — our crew travels weekly. CREW counts 0%.</t>
        </is>
      </c>
    </row>
    <row r="24" ht="31.8" customHeight="1" s="59">
      <c r="A24" s="160" t="inlineStr">
        <is>
          <t>B-FIT (their crew, our training)</t>
        </is>
      </c>
      <c r="B24" s="154" t="inlineStr">
        <is>
          <t>Weighted: CREW 30% · ANAT 15% · VOL 15% · WELF 15% · PROX 10% · RELN 10% · EXPORT 5%. Capability and trust dominate; distance fades (periodic supervision). ACCESS counts 0%.</t>
        </is>
      </c>
    </row>
    <row r="25" ht="31.8" customHeight="1" s="59">
      <c r="A25" s="160" t="inlineStr">
        <is>
          <t>Tiers</t>
        </is>
      </c>
      <c r="B25" s="154" t="inlineStr">
        <is>
          <t>1 = CALL FIRST · 2 = CALL (with a specific gate) · 3 = PARK (viable, not now) · X = OUT (fails a gate or adds nothing). Both fit scores are live formulas — edit a yellow weight cell or a sub-score and they recompute in Excel.</t>
        </is>
      </c>
    </row>
    <row r="26" ht="19.7" customHeight="1" s="59">
      <c r="A26" s="176" t="inlineStr">
        <is>
          <t>6 · LEGEND — every code used in this workbook</t>
        </is>
      </c>
      <c r="B26" s="172" t="n"/>
    </row>
    <row r="27" ht="58.6" customHeight="1" s="59">
      <c r="A27" s="160" t="inlineStr">
        <is>
          <t>Fit column codes</t>
        </is>
      </c>
      <c r="B27" s="154" t="inlineStr">
        <is>
          <t>★ CURRENT SUPPLIER (blue) = one of the five we work with today · STRONG FIT = prioritize outreach · POSSIBLE = worth a call · CAUTION = material mismatch, temper expectations · WATCH = not usable yet, track it · OUT / FLAG = fails a hard criterion · DUPLICATE = same establishment listed twice from different directories · REFERENCE = benchmark row · ★★ PRIORITY CONTACT = client-flagged collector interview (SPL, DeWied). · REFERRAL (light blue) = network / referral contact, not a plant — introductions and intel only.</t>
        </is>
      </c>
    </row>
    <row r="28" ht="58.6" customHeight="1" s="59">
      <c r="A28" s="160" t="inlineStr">
        <is>
          <t>Distance column</t>
        </is>
      </c>
      <c r="B28" s="154" t="inlineStr">
        <is>
          <t>'YES/NO · ~nn mi' = real ROAD miles from the DURHAM origin (101 City Hall Plaza placeholder; OSRM driving routes, not straight-line) — the figure from the study's earlier Pikeville anchor is kept underneath in parentheses. '≈' = geocoded at city level (±5 mi); no mark = exact street address. YES = inside the 120-mile Model A radius; 'borderline' = 110-130. 'n/m' = not measured (multi-site, out of region, or not a plant).</t>
        </is>
      </c>
    </row>
    <row r="29" ht="72" customHeight="1" s="59">
      <c r="A29" s="160" t="inlineStr">
        <is>
          <t>Inspection column codes</t>
        </is>
      </c>
      <c r="B29" s="154" t="inlineStr">
        <is>
          <t>USDA ✓ Mnnnnn = federal grant of inspection (M = meat; +P = poultry; +V = voluntary/non-amenable; +G = egg). T-A / TA-nnnn = Talmadge-Aiken: FEDERAL inspection delivered by state inspectors — interstate- and export-eligible (same establishment can appear as M-number in FSIS files and TA-number in the NCDA&amp;CS directory). STATE ✓ P-nn = North Carolina state grant — intrastate sale; APHIS-accepted equivalent for OUR harvest path (only NC). CUSTOM-EXEMPT = no continuous inspection, no resale — ineligible. '⚠ NOT FOUND' = number not in any current directory.</t>
        </is>
      </c>
    </row>
    <row r="30" ht="45.2" customHeight="1" s="59">
      <c r="A30" s="160" t="inlineStr">
        <is>
          <t>Animal class column</t>
        </is>
      </c>
      <c r="B30" s="154" t="inlineStr">
        <is>
          <t>USDA's own species flags: MARKET = market-weight butcher hogs (~230-290 lb — the standard for most blocks) · SOW = cull breeding females (mature anatomy; internal spec decision pending) · ROASTER = juvenile pigs · BOAR/STAG = intact/castrated males · 'NO SWINE FLAGS' = hog slaughter unsupported by the primary data — confirm species before calling.</t>
        </is>
      </c>
    </row>
    <row r="31" ht="45.2" customHeight="1" s="59">
      <c r="A31" s="160" t="inlineStr">
        <is>
          <t>Enforcement wording</t>
        </is>
      </c>
      <c r="B31" s="154" t="inlineStr">
        <is>
          <t>'None found' = a NARROW negative — the reports checked list suspensions/NOIEs/withholdings only, not routine noncompliance records (the FOIA closes that gap). State-inspected plants sit OUTSIDE federal reporting entirely: their welfare is a SITE-VISIT finding. A named action with dates = verified from the FSIS letter or QER itself.</t>
        </is>
      </c>
    </row>
    <row r="32" ht="45.2" customHeight="1" s="59">
      <c r="A32" s="160" t="inlineStr">
        <is>
          <t>Colour conventions</t>
        </is>
      </c>
      <c r="B32" s="154" t="inlineStr">
        <is>
          <t>YELLOW cells = yours to fill in (call log, visit answers, outcomes, score weights, decisions). Blue row-heads = current suppliers/anchors. Volume-bracket colours run light-green (0-300) → green (300-700) → amber (750-1,200) → orange (1,250-5,000) → red-orange (5,000+); grey = confirm/n-a.</t>
        </is>
      </c>
    </row>
    <row r="33" ht="45.2" customHeight="1" s="59">
      <c r="A33" s="160" t="inlineStr">
        <is>
          <t>The two export paths</t>
        </is>
      </c>
      <c r="B33" s="154" t="inlineStr">
        <is>
          <t>PATH 1 — WE HARVEST at a plant: the plant needs only USDA/FSIS inspection or NC state inspection; the model is assembled at ATM and that carries the export. PATH 2 — DIRECT TISSUE SUPPLIER ships us finished blocks: APHIS certification IS required of them. (Settled in the 2026-08 meeting; only NC state inspection carries the APHIS equivalence.)</t>
        </is>
      </c>
    </row>
    <row r="34" ht="19.7" customHeight="1" s="59">
      <c r="A34" s="176" t="inlineStr">
        <is>
          <t>7 · ACRONYM GLOSSARY</t>
        </is>
      </c>
      <c r="B34" s="172" t="n"/>
    </row>
    <row r="35" ht="98.8" customHeight="1" s="59">
      <c r="A35" s="160" t="inlineStr">
        <is>
          <t>Inspection &amp; agencies</t>
        </is>
      </c>
      <c r="B35" s="154" t="inlineStr">
        <is>
          <t>USDA = U.S. Department of Agriculture · FSIS = Food Safety and Inspection Service (USDA's meat-inspection arm; runs the federal grants) · APHIS = Animal and Plant Health Inspection Service (USDA's animal-health arm; certifies animal-by-product EXPORTS) · VS = APHIS Veterinary Services · NCDA&amp;CS = North Carolina Dept. of Agriculture &amp; Consumer Services (runs the NC state programme) · MPI / MPID = Meat &amp; Poultry Inspection (Division/Directory) · T-A / TA = Talmadge-Aiken (federal inspection via state staff) · SCMPID = South Carolina Meat-Poultry Inspection Dept. · VDACS = Virginia Dept. of Agriculture &amp; Consumer Services · EPA / OSHA = federal environmental / workplace-safety agencies · SIS number = the establishment number on the USDA inspection stamp (what to read off a carcass stamp on a visit).</t>
        </is>
      </c>
    </row>
    <row r="36" ht="85.40000000000001" customHeight="1" s="59">
      <c r="A36" s="160" t="inlineStr">
        <is>
          <t>Enforcement &amp; records</t>
        </is>
      </c>
      <c r="B36" s="154" t="inlineStr">
        <is>
          <t>QER = FSIS Quarterly Enforcement Report · NR = Noncompliance Record (routine; not in QERs) · NOIE = Notice of Intended Enforcement · NOS = Notice of Suspension · NOSHA / 'abeyance' = suspension held in abeyance (paused after corrective action) · INH = inhumane-handling basis code · HMSA = Humane Methods of Slaughter Act · 9 CFR = the federal regulation title covering it · FOIA = Freedom of Information Act request · AWA = (careful, two meanings) Animal Welfare Act — APHIS licence classes A/B/C/R for dealers/researchers, NOT an export listing — and 'Animal Welfare Approved' (A Greener World), a private welfare certification. Context tells you which; the roster spells out both.</t>
        </is>
      </c>
    </row>
    <row r="37" ht="45.2" customHeight="1" s="59">
      <c r="A37" s="160" t="inlineStr">
        <is>
          <t>Volume &amp; data</t>
        </is>
      </c>
      <c r="B37" s="154" t="inlineStr">
        <is>
          <t>cat 1-4 = FSIS slaughter_volume_category: banded head/360 days, ALL species (1 &lt;19/wk · 2 19-192 · 3 192-1,917 · 4 ≥1,917) · EMI = EMI Analytics (industry capacity census; secondary source) · OSRM = Open Source Routing Machine (road-mileage routing used for distances) · FB = Facebook. NOTE: FSIS 'cat 3' (volume) is unrelated to EU 'Category 3' (by-products) — see below.</t>
        </is>
      </c>
    </row>
    <row r="38" ht="58.6" customHeight="1" s="59">
      <c r="A38" s="160" t="inlineStr">
        <is>
          <t>Export &amp; quality</t>
        </is>
      </c>
      <c r="B38" s="154" t="inlineStr">
        <is>
          <t>EU = European Union · ABP = animal by-product · EU Category 3 (Reg. EC 1069/2009) = the by-product class our material must qualify as — requires slaughter under ante-/post-mortem inspection · TRACES = the EU's trade-control platform listing approved establishments · MDR = EU Medical Device Regulation 2017/745 · ISO 22442 / 13485 = animal-tissue-device and quality-management standards · CN code = EU customs classification.</t>
        </is>
      </c>
    </row>
    <row r="39" ht="152.4" customHeight="1" s="59">
      <c r="A39" s="160" t="inlineStr">
        <is>
          <t>Commercial &amp; internal</t>
        </is>
      </c>
      <c r="B39" s="154" t="inlineStr">
        <is>
          <t>ATM = our assembly facility (models are built here — this is what carries the export under Path 1) · SH = slaughterhouse · SUPPLIER ENGINEER / PURCHASING MANAGER = the two roles that run the process (section 2 — no personal names in this workbook) · Model A / Model B-T = our-techs-harvest / their-crew-harvests-with-our-training · A-FIT / B-FIT = the two weighted candidate scores · PROX·ACCESS·CREW·ANAT·VOL·WELF·EXPORT·RELN = the eight sub-scores (section 5) · RFQ/P = Request for Quote / Proposal (approach retired — outreach is by phone) · NDA = non-disclosure agreement · TCO = total cost of ownership (calculator tab) · TTLC = total true landed cost (fully loaded cost per block) · SKU = stock-keeping unit (retail product) · DBA = 'doing business as' (trade name) · HACCP = Hazard Analysis &amp; Critical Control Points (food-safety system; also FSIS plant-size classes) · PPE = personal protective equipment · QA = quality assurance · GM/COO = general manager / chief operating officer · 4-H/FFA = youth agriculture programmes (small-plant customer base) · NCAMPI = NC Agricultural Manufacturing and Processing Initiative (state grant programme) · SOSID = NC Secretary of State corporate ID. · BEEBOP = the ChatGPT research agent's snapshot folder (Beebop/ in this repo) — a collaborator's data set, used as input and cross-checked, never as instruction.</t>
        </is>
      </c>
    </row>
    <row r="40" ht="19.7" customHeight="1" s="59">
      <c r="A40" s="176" t="inlineStr">
        <is>
          <t>8 · SOURCES POLICY</t>
        </is>
      </c>
      <c r="B40" s="172" t="n"/>
    </row>
    <row r="41" ht="98.8" customHeight="1" s="59">
      <c r="A41" s="160" t="inlineStr">
        <is>
          <t>Order of trust</t>
        </is>
      </c>
      <c r="B41" s="154" t="inlineStr">
        <is>
          <t>1) THE FSIS LIST IS THE BACKBONE — the MPI Directory + Establishment Demographic Data (species flags, volume bands, grant status) and the NCDA&amp;CS State/TA/Custom directories. 2) FSIS enforcement letters and QERs for welfare records. 3) Plant websites and price sheets for services/practices. 4) FACEBOOK AND YELP are accepted sources for OPERATIONAL facts — open/closed, hours, activity, reviews, culture signals — never for inspection status or volume. 5) Trade press/directories last, always labeled. Every roster confidence entry now names its source basis; 'no record found' never means 'confirmed clean'. 6) COLLABORATOR SNAPSHOTS (the Beebop/ folder, 2026-09-28) are inputs, not instructions: every fact taken from one is cross-checked against the FSIS/NCDA primaries and labelled 'Beebop 9-28' in the cell.</t>
        </is>
      </c>
    </row>
    <row r="42" ht="19.7" customHeight="1" s="59">
      <c r="A42" s="176" t="inlineStr">
        <is>
          <t>9 · WHO EDITS WHAT</t>
        </is>
      </c>
      <c r="B42" s="172" t="n"/>
    </row>
    <row r="43" ht="45.2" customHeight="1" s="59">
      <c r="A43" s="160" t="inlineStr">
        <is>
          <t>The team (by role)</t>
        </is>
      </c>
      <c r="B43" s="154" t="inlineStr">
        <is>
          <t>Yellow cells anywhere — the Call Questionnaire call log, the Visit Agenda answers, score weights if the group disagrees, the Anatomical Spec decision, TCO Calculator inputs (its figures are placeholders until real time-studies go in). The process names two roles only: the SUPPLIER ENGINEER and the PURCHASING MANAGER (section 2).</t>
        </is>
      </c>
    </row>
    <row r="44" ht="18.4" customHeight="1" s="59">
      <c r="A44" s="160" t="inlineStr">
        <is>
          <t>Research (dated)</t>
        </is>
      </c>
      <c r="B44" s="154" t="inlineStr">
        <is>
          <t>Everything else. Correct a fact by editing the cell and noting the date — the same convention every prior pass used.</t>
        </is>
      </c>
    </row>
  </sheetData>
  <mergeCells count="11">
    <mergeCell ref="A4:B4"/>
    <mergeCell ref="A26:B26"/>
    <mergeCell ref="A21:B21"/>
    <mergeCell ref="A2:B2"/>
    <mergeCell ref="A7:B7"/>
    <mergeCell ref="A42:B42"/>
    <mergeCell ref="A14:B14"/>
    <mergeCell ref="A1:B1"/>
    <mergeCell ref="A40:B40"/>
    <mergeCell ref="A18:B18"/>
    <mergeCell ref="A34:B34"/>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B43"/>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'Instructions'.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19.7" customHeight="1" s="59">
      <c r="A17" s="118" t="inlineStr">
        <is>
          <t>→</t>
        </is>
      </c>
    </row>
    <row r="18" ht="19.7" customHeight="1" s="59">
      <c r="A18" s="118" t="inlineStr">
        <is>
          <t>DATA-QUALITY CAVEAT</t>
        </is>
      </c>
    </row>
    <row r="19" ht="49.2" customHeight="1" s="59">
      <c r="A19"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0" ht="15" customHeight="1" s="59"/>
    <row r="21" ht="19.7" customHeight="1" s="59">
      <c r="A21" s="118" t="inlineStr">
        <is>
          <t>KEY FINDINGS (research summary)</t>
        </is>
      </c>
    </row>
    <row r="22" ht="246.2" customHeight="1" s="59">
      <c r="A22"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3" ht="31.8" customHeight="1" s="59">
      <c r="A23" s="94" t="inlineStr">
        <is>
          <t>★ STATE INSPECTION — ONLY NORTH CAROLINA COUNTS. APHIS accepts NC state inspection as equivalent to federal. State-inspected plants in OTHER states are NOT accepted and would need USDA/FSIS inspection to serve as a Path 1 harvest site.</t>
        </is>
      </c>
    </row>
    <row r="24" ht="45.2" customHeight="1" s="59">
      <c r="A24"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5" ht="139" customHeight="1" s="59">
      <c r="A25"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26" ht="250" customHeight="1" s="59">
      <c r="A26" s="68" t="inlineStr">
        <is>
          <t>★ FOCUS-REGION PASS (2026-08-17, client-directed) — CURRENT BASE RE-VERIFIED + WEST / NORTH-OF-RALEIGH / EAST SWEPT. Ground truth recorded: we currently work with Nahunta and Martin's and CQP (our harvesters on site), Parks (small, BBQ pigs, a bit expensive) and Villari (LEAF FAT ONLY — no organs). Headlines: (1) all three cat-3 market-hog floors in NC/SC/VA are ALREADY ours (Martin's, Parks, CQP) — there is no second Martin's; dependence is reduced by contract, not discovery. (2) VILLARI — CORRECTED 2026-09-03: the tissue gate is HARD (client-stated); no organ planning through Villari; keep leaf fat flowing and revisit only if they reopen it (background: wastewater project to ~2027; $800K NCAMPI award 7/7/2026). (3) Larry's Sausage promoted to the #6 call: the east's only established sow-class organ lane. (4) NEW FINDS: McLamb's Abattoir (Benson P-247, 37 mi) and Gale McLamb (Dunn P-221, 44 mi) — unworked state-inspected floors closer than any current supplier except Nahunta. (5) North of Raleigh is a confirmed desert (3 kill floors in 13 counties — and they're our Sims cluster); the west has NO volume play but holds Piedmont (AWA/Temple Grandin, all four hog classes, actually INSIDE the radius at 116 mi) and three Nahunta-structure state plants. (6) CQP carries a 2018-2020 humane-handling history (PETA attention) the file lacked — audit before scaling. (7) Kansas City Sausage/Godwin is RESOLVED DEAD; 8 nearby closures in 20 months say: lock in survivors. See the Rated Candidates tab. ★ ALSO CORRECTED 2026-09-03: PARKS harvests with THEIR OWN people under OUR training (Model B-T) — the base already runs both operating models, and candidate ratings now score A-fit (host our techs) and B-fit (their crew, our training) separately — see the Rated Candidates tab.</t>
        </is>
      </c>
    </row>
    <row r="27" ht="139" customHeight="1" s="59">
      <c r="A27"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~192), Acre Station (claimed ~400/wk, capped at ~192), Midwest Research Swine (claimed ~385/wk, capped at ~192),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27" s="65" t="n"/>
    </row>
    <row r="28" ht="219.4" customHeight="1" s="59">
      <c r="A28"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row>
    <row r="29" ht="125.6" customHeight="1" s="59">
      <c r="A29"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29" s="65" t="n"/>
    </row>
    <row r="30" ht="58.6" customHeight="1" s="59">
      <c r="A30"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0" s="65" t="n"/>
    </row>
    <row r="31" ht="139" customHeight="1" s="59">
      <c r="A31"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row>
    <row r="32" ht="98.8" customHeight="1" s="59">
      <c r="A32"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~192/wk. ACRE STATION: category 2 as well, so ~192/wk,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32" s="65" t="n"/>
    </row>
    <row r="33" ht="45.2" customHeight="1" s="59">
      <c r="A33"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33" s="65" t="n"/>
    </row>
    <row r="34" ht="250" customHeight="1" s="59">
      <c r="A34"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(192-1,917/wk) with ALL FOUR swine classes flagged. It is now the strongest Virginia candidate and the state's entry in the contact order. Fauquier's Finest still has REPEAT humane-handling suspensions (2018/2021/2024) and stays at CAUTION.</t>
        </is>
      </c>
    </row>
    <row r="35" ht="72" customHeight="1" s="59">
      <c r="A35"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5" s="65" t="n"/>
    </row>
    <row r="36" ht="58.6" customHeight="1" s="59">
      <c r="A36"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36" s="65" t="n"/>
    </row>
    <row r="37" ht="165.8" customHeight="1" s="59">
      <c r="A37"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row>
    <row r="38" ht="206" customHeight="1" s="59">
      <c r="A38"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row>
    <row r="39" ht="139" customHeight="1" s="59">
      <c r="A39"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row>
    <row r="40" ht="72" customHeight="1" s="59">
      <c r="A40"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0" s="65" t="n"/>
    </row>
    <row r="41" ht="45.2" customHeight="1" s="59">
      <c r="A41"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1" s="65" t="n"/>
    </row>
    <row r="42" ht="139" customHeight="1" s="59">
      <c r="A42"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row>
    <row r="43" ht="31.8" customHeight="1" s="59">
      <c r="A43" s="68" t="inlineStr">
        <is>
          <t>•  ALWAYS VERIFY BY PHONE: nearly every weekly-volume and certification figure for small/custom plants is unpublished. Use the 'Call Questionnaire' tab; the authoritative confirmation source is the USDA FSIS MPI Directory + Establishment Demographic Data (species slaughtered + size class per plant).</t>
        </is>
      </c>
      <c r="B43" s="65" t="n"/>
    </row>
    <row r="44" ht="72" customHeight="1" s="59"/>
    <row r="45" ht="45.2" customHeight="1" s="59"/>
    <row r="46" ht="31.8" customHeight="1" s="59"/>
    <row r="47" ht="31.8" customHeight="1" s="59"/>
    <row r="48" ht="58.6" customHeight="1" s="59"/>
    <row r="49" ht="45.2" customHeight="1" s="59"/>
    <row r="50" ht="58.6" customHeight="1" s="59"/>
    <row r="51" ht="45.2" customHeight="1" s="59"/>
    <row r="52" ht="72" customHeight="1" s="59"/>
    <row r="53" ht="45.2" customHeight="1" s="59"/>
    <row r="54" ht="31.8" customHeight="1" s="59"/>
    <row r="55" ht="31.8" customHeight="1" s="59"/>
  </sheetData>
  <mergeCells count="22">
    <mergeCell ref="A30:B30"/>
    <mergeCell ref="A24:B24"/>
    <mergeCell ref="A36:B36"/>
    <mergeCell ref="A1:B1"/>
    <mergeCell ref="A6:B6"/>
    <mergeCell ref="A16:B16"/>
    <mergeCell ref="A41:B41"/>
    <mergeCell ref="A18:B18"/>
    <mergeCell ref="A27:B27"/>
    <mergeCell ref="A12:B12"/>
    <mergeCell ref="A21:B21"/>
    <mergeCell ref="A2:B2"/>
    <mergeCell ref="A33:B33"/>
    <mergeCell ref="A5:B5"/>
    <mergeCell ref="A32:B32"/>
    <mergeCell ref="A23:B23"/>
    <mergeCell ref="A35:B35"/>
    <mergeCell ref="A4:B4"/>
    <mergeCell ref="A29:B29"/>
    <mergeCell ref="A43:B43"/>
    <mergeCell ref="A19:B19"/>
    <mergeCell ref="A40:B40"/>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3.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the Supplier Engineer's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Supplier Engineer, Purchasing Manager,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4.xml><?xml version="1.0" encoding="utf-8"?>
<worksheet xmlns="http://schemas.openxmlformats.org/spreadsheetml/2006/main">
  <sheetPr>
    <tabColor rgb="00375623"/>
    <outlinePr summaryBelow="1" summaryRight="1"/>
    <pageSetUpPr fitToPage="1"/>
  </sheetPr>
  <dimension ref="A1:F7"/>
  <sheetViews>
    <sheetView showGridLines="0" workbookViewId="0">
      <pane ySplit="2" topLeftCell="A3" activePane="bottomLeft" state="frozen"/>
      <selection pane="bottomLeft" activeCell="A1" sqref="A1"/>
    </sheetView>
  </sheetViews>
  <sheetFormatPr baseColWidth="8" defaultRowHeight="15"/>
  <cols>
    <col width="26" customWidth="1" style="59" min="1" max="1"/>
    <col width="22" customWidth="1" style="59" min="2" max="2"/>
    <col width="26" customWidth="1" style="59" min="3" max="3"/>
    <col width="44" customWidth="1" style="59" min="4" max="4"/>
    <col width="44" customWidth="1" style="59" min="5" max="5"/>
    <col width="40" customWidth="1" style="59" min="6" max="6"/>
  </cols>
  <sheetData>
    <row r="1" ht="19.7" customHeight="1" s="59">
      <c r="A1" s="150" t="inlineStr">
        <is>
          <t>THE CURRENT BASE — the working profiles every candidate is measured against (client ground truth 2026-09-03 + verified research)</t>
        </is>
      </c>
      <c r="B1" s="171" t="n"/>
      <c r="C1" s="171" t="n"/>
      <c r="D1" s="171" t="n"/>
      <c r="E1" s="171" t="n"/>
      <c r="F1" s="172" t="n"/>
    </row>
    <row r="2" ht="18.4" customHeight="1" s="59">
      <c r="A2" s="152" t="inlineStr">
        <is>
          <t>Supplier</t>
        </is>
      </c>
      <c r="B2" s="152" t="inlineStr">
        <is>
          <t>Operating model TODAY</t>
        </is>
      </c>
      <c r="C2" s="152" t="inlineStr">
        <is>
          <t>Scale &amp; class</t>
        </is>
      </c>
      <c r="D2" s="152" t="inlineStr">
        <is>
          <t>What works (the pattern to replicate)</t>
        </is>
      </c>
      <c r="E2" s="152" t="inlineStr">
        <is>
          <t>What limits it (the gap candidates must fill)</t>
        </is>
      </c>
      <c r="F2" s="152" t="inlineStr">
        <is>
          <t>Keep-warm actions</t>
        </is>
      </c>
    </row>
    <row r="3" ht="58.6" customHeight="1" s="59">
      <c r="A3" s="153" t="inlineStr">
        <is>
          <t>NAHUNTA
Pikeville · NC state P-80A · ~0 mi
nahuntapork.com</t>
        </is>
      </c>
      <c r="B3" s="154" t="inlineStr">
        <is>
          <t>MODEL A — our techs harvest on-site</t>
        </is>
      </c>
      <c r="C3" s="154" t="inlineStr">
        <is>
          <t>~150/day claimed peak; state-inspected swine-only kill floor</t>
        </is>
      </c>
      <c r="D3" s="154" t="inlineStr">
        <is>
          <t>The template: relationship-first family plant, whole-animal culture, published specimen pathway, most target organs have no competing retail SKU. Quality benchmark.</t>
        </is>
      </c>
      <c r="E3" s="154" t="inlineStr">
        <is>
          <t>Volume ceiling (~a tenth of Villari); Q4 retail squeeze; key-person concentration (GM Brandon Pierce).</t>
        </is>
      </c>
      <c r="F3" s="154" t="inlineStr">
        <is>
          <t>Standing annual specimen permit; fixed weekly harvest days; check in after the Nov 2026 sheriff election.</t>
        </is>
      </c>
    </row>
    <row r="4" ht="58.6" customHeight="1" s="59">
      <c r="A4" s="153" t="inlineStr">
        <is>
          <t>MARTIN'S PORK PRODUCTS
Falcon · M6720 (T-A) · ~45 mi
(no working website)</t>
        </is>
      </c>
      <c r="B4" s="154" t="inlineStr">
        <is>
          <t>MODEL A — our techs harvest on-site</t>
        </is>
      </c>
      <c r="C4" s="154" t="inlineStr">
        <is>
          <t>Cat 3 (192-1,917/wk band); market hogs + boar/stag</t>
        </is>
      </c>
      <c r="D4" s="154" t="inlineStr">
        <is>
          <t>The volume anchor: highest-capacity floor we can access; clean on every checkable record (QERs through Jun 2026, OSHA); invested in its site (2021 land purchases).</t>
        </is>
      </c>
      <c r="E4" s="154" t="inlineStr">
        <is>
          <t>DIFFICULT to work with — relational, not regulatory; cat-3 ceiling ~1,917/wk; irreplaceable (all three NC/SC/VA cat-3 market-hog floors are already ours).</t>
        </is>
      </c>
      <c r="F4" s="154" t="inlineStr">
        <is>
          <t>Economics-first reset with President Beth Holmes; consider funding a harvest bay for a multi-year floor-access agreement.</t>
        </is>
      </c>
    </row>
    <row r="5" ht="58.6" customHeight="1" s="59">
      <c r="A5" s="153" t="inlineStr">
        <is>
          <t>CUSTOM QUALITY PACKERS
Sims · M20129 (T-A) · ~45 mi
deanstreetprocessing.com (sister co.)</t>
        </is>
      </c>
      <c r="B5" s="154" t="inlineStr">
        <is>
          <t>MODEL A — our techs harvest on-site</t>
        </is>
      </c>
      <c r="C5" s="154" t="inlineStr">
        <is>
          <t>Cat 3 band, ~500/wk stated; market + roaster; hog-only</t>
        </is>
      </c>
      <c r="D5" s="154" t="inlineStr">
        <is>
          <t>Proof Model A works at a small custom plant; owner Barrett Twitty can contract-raise hogs to our spec (Nash Pigg Farms) — birth-to-harvest traceability.</t>
        </is>
      </c>
      <c r="E5" s="154" t="inlineStr">
        <is>
          <t>Space-constrained building (owner's own words); captive competing demand; 2018-2020 humane-handling history (clean FY24-FY26Q3) — audit before scaling.</t>
        </is>
      </c>
      <c r="F5" s="154" t="inlineStr">
        <is>
          <t>Buy a dedicated client kill day (+100-300/wk est.); complete the NR FOIA + welfare audit.</t>
        </is>
      </c>
    </row>
    <row r="6" ht="58.6" customHeight="1" s="59">
      <c r="A6" s="153" t="inlineStr">
        <is>
          <t>PARKS FAMILY MEATS
Warsaw · M18296A (T-A) · ~45 mi
parkslivestock.com</t>
        </is>
      </c>
      <c r="B6" s="154" t="inlineStr">
        <is>
          <t>MODEL B-T — THEIR people harvest, trained by US</t>
        </is>
      </c>
      <c r="C6" s="154" t="inlineStr">
        <is>
          <t>Cat 3 band; slaughter-only floor; market + roaster; stated 400/day capacity</t>
        </is>
      </c>
      <c r="D6" s="154" t="inlineStr">
        <is>
          <t>The B-template: their crew harvests under our training — proves the supervised-harvest model works. Parent (The Parks Companies, 29 facilities/11 states) can source hogs to spec and truck them in.</t>
        </is>
      </c>
      <c r="E6" s="154" t="inlineStr">
        <is>
          <t>Small lots at spot pricing ('a bit expensive'); roaster-focused week; plant priorities sit under a big livestock-marketing parent.</t>
        </is>
      </c>
      <c r="F6" s="154" t="inlineStr">
        <is>
          <t>Ask COO Kevin Krum for program pricing on a committed market-hog window; use the parent as a procurement arm.</t>
        </is>
      </c>
    </row>
    <row r="7" ht="72" customHeight="1" s="59">
      <c r="A7" s="153" t="inlineStr">
        <is>
          <t>VILLARI / THE PORK CO.
Warsaw · M20608 · ~45 mi
villarifood.com</t>
        </is>
      </c>
      <c r="B7" s="154" t="inlineStr">
        <is>
          <t>LEAF FAT ONLY — HARD GATE on tissue harvest</t>
        </is>
      </c>
      <c r="C7" s="154" t="inlineStr">
        <is>
          <t>~1,500 hd/day (cat 4); market hogs</t>
        </is>
      </c>
      <c r="D7" s="154" t="inlineStr">
        <is>
          <t>Reliable leaf-fat supply at industrial scale; proves they will segregate a per-head by-product for us.</t>
        </is>
      </c>
      <c r="E7" s="154" t="inlineStr">
        <is>
          <t>TISSUE GATE IS HARD (client-confirmed 2026-09-03). Plan NO organ volume through Villari. Repeat humane failure mode (2022, 2025) — though clean through 30 Jun 2026 (Q3 FY2026 QER). Wastewater project through ~2027.</t>
        </is>
      </c>
      <c r="F7" s="154" t="inlineStr">
        <is>
          <t>Keep leaf fat flowing; revisit only if THEY reopen the topic after the wastewater project lands.</t>
        </is>
      </c>
    </row>
  </sheetData>
  <mergeCells count="1">
    <mergeCell ref="A1:F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375623"/>
    <outlinePr summaryBelow="1" summaryRight="1"/>
    <pageSetUpPr fitToPage="1"/>
  </sheetPr>
  <dimension ref="A1:T144"/>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4" customWidth="1" style="59" min="5" max="5"/>
    <col width="17" customWidth="1" style="59" min="6" max="6"/>
    <col width="26" customWidth="1" style="59" min="7" max="7"/>
    <col width="26" customWidth="1" style="59" min="8" max="8"/>
    <col width="34" customWidth="1" style="59" min="9" max="9"/>
    <col width="32" customWidth="1" style="59" min="10" max="10"/>
    <col width="34" customWidth="1" style="59" min="11" max="11"/>
    <col width="34" customWidth="1" style="59" min="12" max="12"/>
    <col width="22" customWidth="1" style="59" min="13" max="13"/>
    <col width="18" customWidth="1" style="59" min="14" max="14"/>
    <col width="24" customWidth="1" style="59" min="15" max="15"/>
    <col width="13" customWidth="1" style="59" min="16" max="16"/>
    <col width="44" customWidth="1" style="59" min="17" max="17"/>
    <col width="30" customWidth="1" style="59" min="18" max="18"/>
    <col width="12" customWidth="1" style="59" min="19" max="19"/>
    <col width="95" customWidth="1" style="59" min="20" max="20"/>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60" customHeight="1" s="59">
      <c r="A4" s="3" t="inlineStr">
        <is>
          <t>Supplier / plant</t>
        </is>
      </c>
      <c r="B4" s="3" t="inlineStr">
        <is>
          <t>Location</t>
        </is>
      </c>
      <c r="C4" s="3" t="inlineStr">
        <is>
          <t>Type</t>
        </is>
      </c>
      <c r="D4" s="3" t="inlineStr">
        <is>
          <t>Est. hogs / week</t>
        </is>
      </c>
      <c r="E4" s="108" t="inlineStr">
        <is>
          <t>Within 120 mi?
(road mi from DURHAM origin — Model A pref.)</t>
        </is>
      </c>
      <c r="F4" s="3" t="inlineStr">
        <is>
          <t>Volume bracket
(client ranges, 2026-09-03)</t>
        </is>
      </c>
      <c r="G4" s="132" t="inlineStr">
        <is>
          <t>Animal class
(FSIS flags)</t>
        </is>
      </c>
      <c r="H4" s="3" t="inlineStr">
        <is>
          <t>USDA insp</t>
        </is>
      </c>
      <c r="I4" s="3" t="inlineStr">
        <is>
          <t>USDA / FSIS enforcement</t>
        </is>
      </c>
      <c r="J4" s="3" t="inlineStr">
        <is>
          <t>APHIS export status</t>
        </is>
      </c>
      <c r="K4" s="3" t="inlineStr">
        <is>
          <t>Welfare &amp; culture</t>
        </is>
      </c>
      <c r="L4" s="3" t="inlineStr">
        <is>
          <t>Organ / tissue harvest</t>
        </is>
      </c>
      <c r="M4" s="3" t="inlineStr">
        <is>
          <t>Model A
(we harvest on-site)</t>
        </is>
      </c>
      <c r="N4" s="3" t="inlineStr">
        <is>
          <t>Model B
(they harvest)</t>
        </is>
      </c>
      <c r="O4" s="3" t="inlineStr">
        <is>
          <t>Contact</t>
        </is>
      </c>
      <c r="P4" s="3" t="inlineStr">
        <is>
          <t>Fit</t>
        </is>
      </c>
      <c r="Q4" s="3" t="inlineStr">
        <is>
          <t>★ Why a candidate
(or why not)</t>
        </is>
      </c>
      <c r="R4" s="3" t="inlineStr">
        <is>
          <t>Website / social
(verified 2026-09-03)</t>
        </is>
      </c>
      <c r="S4" s="3" t="inlineStr">
        <is>
          <t>Conf.
(+ source)</t>
        </is>
      </c>
      <c r="T4" s="3" t="inlineStr">
        <is>
          <t>Notes / source</t>
        </is>
      </c>
    </row>
    <row r="5" ht="19.7" customHeight="1" s="59">
      <c r="A5" s="118" t="inlineStr">
        <is>
          <t>REFERENCE — existing / benchmark suppliers</t>
        </is>
      </c>
    </row>
    <row r="6" ht="219.4" customHeight="1" s="59">
      <c r="A6" s="4" t="inlineStr">
        <is>
          <t>Nahunta Pork Center</t>
        </is>
      </c>
      <c r="B6" s="68" t="inlineStr">
        <is>
          <t>Pikeville, NC</t>
        </is>
      </c>
      <c r="C6" s="68" t="inlineStr">
        <is>
          <t>Custom slaughter + pork retail</t>
        </is>
      </c>
      <c r="D6" s="68" t="inlineStr">
        <is>
          <t>~150/day claimed peak;
500+/wk (mid-2010s figure).
Current kill UNVERIFIED — ask Brandon</t>
        </is>
      </c>
      <c r="E6" s="88" t="inlineStr">
        <is>
          <t>YES · ~72 mi
(Pikeville: ~0 mi — the old anchor sat here)</t>
        </is>
      </c>
      <c r="F6" s="142" t="inlineStr">
        <is>
          <t>300-700/wk
(hist. 500+/wk — confirm current)</t>
        </is>
      </c>
      <c r="G6" s="68" t="inlineStr">
        <is>
          <t>Yes — swine
(NC state programme;
no FSIS species flags published)</t>
        </is>
      </c>
      <c r="H6" s="68" t="inlineStr">
        <is>
          <t>STATE only
(NOT USDA)</t>
        </is>
      </c>
      <c r="I6" s="68" t="inlineStr">
        <is>
          <t>None found — and NOTE THE LIMIT: NCDA&amp;CS publishes no searchable state-plant enforcement log and FSIS reporting does not cover state plants, so welfare here is a SITE-VISIT finding. Client's own crews on-site are the best evidence.</t>
        </is>
      </c>
      <c r="J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K6" s="68" t="inlineStr">
        <is>
          <t>Strong — 3rd-gen Pierce family, decades of staff tenure; the culture benchmark</t>
        </is>
      </c>
      <c r="L6"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no competing use.</t>
        </is>
      </c>
      <c r="M6" s="68" t="inlineStr">
        <is>
          <t>Yes (already custom-slaughters 3rd-party animals)</t>
        </is>
      </c>
      <c r="N6" s="68" t="inlineStr">
        <is>
          <t>Yes</t>
        </is>
      </c>
      <c r="O6" s="68" t="inlineStr">
        <is>
          <t>(919) 242-4735
bpierce@nahuntapork.com
GM Brandon Pierce
nahuntapork.com/specimen-permits1</t>
        </is>
      </c>
      <c r="P6" s="145" t="inlineStr">
        <is>
          <t>★ CURRENT
SUPPLIER</t>
        </is>
      </c>
      <c r="Q6" s="178" t="inlineStr">
        <is>
          <t>CURRENT — Model A anchor: best quality &amp; relationship; specimen pathway; most target organs have no competing retail SKU; export-eligible via NC-state equivalence.</t>
        </is>
      </c>
      <c r="R6" s="179" t="inlineStr">
        <is>
          <t>nahuntapork.com</t>
        </is>
      </c>
      <c r="S6" s="68" t="inlineStr">
        <is>
          <t>High
(FSIS+NCDA 8-17)</t>
        </is>
      </c>
      <c r="T6"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
Beebop 9-28 (rank #13, existing supplier): ~72 mi from Durham (it was the 5-mile anchor neighbour under Pikeville). Its '500+/wk mid-2010s' figure is historical — current volume is a call question.</t>
        </is>
      </c>
    </row>
    <row r="7" ht="206" customHeight="1" s="59">
      <c r="A7" s="4" t="inlineStr">
        <is>
          <t>Martin's Pork Products, Inc.</t>
        </is>
      </c>
      <c r="B7" s="68" t="inlineStr">
        <is>
          <t>Falcon, NC</t>
        </is>
      </c>
      <c r="C7" s="68" t="inlineStr">
        <is>
          <t>USDA (Talmadge-Aiken) slaughter + processing</t>
        </is>
      </c>
      <c r="D7" s="133" t="inlineStr">
        <is>
          <t>192–1,917/wk (FSIS cat 3 ceiling)</t>
        </is>
      </c>
      <c r="E7" s="88" t="inlineStr">
        <is>
          <t>YES · ~74 mi
(Pikeville: ~45 mi)</t>
        </is>
      </c>
      <c r="F7" s="136" t="inlineStr">
        <is>
          <t>1,250-5,000/wk
(stated 1,500-2,500)</t>
        </is>
      </c>
      <c r="G7" s="134" t="inlineStr">
        <is>
          <t>MARKET HOG + boar/stag
(sow: No)</t>
        </is>
      </c>
      <c r="H7" s="68" t="inlineStr">
        <is>
          <t>USDA ✓
(T-A, TA-6720)</t>
        </is>
      </c>
      <c r="I7"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J7" s="68" t="inlineStr">
        <is>
          <t>FSIS-listed (TA-6720); NOT on public export lists — verify w/ APHIS VS</t>
        </is>
      </c>
      <c r="K7" s="68" t="inlineStr">
        <is>
          <t>Incumbent — 'ok' experience; quality issues harder to resolve (weaker culture/responsiveness than Nahunta); ~75 staff</t>
        </is>
      </c>
      <c r="L7" s="68" t="inlineStr">
        <is>
          <t>Pork slaughter + processing + wholesale</t>
        </is>
      </c>
      <c r="M7" s="68" t="inlineStr">
        <is>
          <t>Possible</t>
        </is>
      </c>
      <c r="N7" s="68" t="inlineStr">
        <is>
          <t>Yes (incumbent)</t>
        </is>
      </c>
      <c r="O7" s="68" t="inlineStr">
        <is>
          <t>(910) 980-1501
beth@martinspork.com
President: Beth Holmes
PO Box 56, 6657 King St, Falcon</t>
        </is>
      </c>
      <c r="P7" s="145" t="inlineStr">
        <is>
          <t>★ CURRENT
SUPPLIER</t>
        </is>
      </c>
      <c r="Q7" s="178" t="inlineStr">
        <is>
          <t>CURRENT — Model A volume anchor: the only cat-3 market-hog floor we run crews on; clean record; irreplaceable in NC/SC/VA. Friction is relational — reset with Beth Holmes.</t>
        </is>
      </c>
      <c r="R7" s="179" t="inlineStr">
        <is>
          <t>no working website (martinspork.com defunct)</t>
        </is>
      </c>
      <c r="S7" s="68" t="inlineStr">
        <is>
          <t>High
(FSIS+NCDA 8-17)</t>
        </is>
      </c>
      <c r="T7"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~1,917/wk — treat the 2,500/wk top figure as unverified. Retail outlet at Godwin (8761 Fayetteville Hwy) is separate from the kill floor.  [2026-08-17 focus-region pass: FSIS MPI + Demographic datasets and NCDA&amp;CS directories (dated 2026-08-10) retrieved fresh 2026-08-17; adversarially verified.]
Beebop 9-28 (rank #11, existing supplier): its address match used a 'Kings Street' alias; distance from Durham ~74 mi.</t>
        </is>
      </c>
    </row>
    <row r="8" ht="19.7" customHeight="1" s="59">
      <c r="A8" s="118" t="inlineStr">
        <is>
          <t>NORTH CAROLINA — candidate slaughterhouses (primary region)</t>
        </is>
      </c>
    </row>
    <row r="9" ht="165.8" customHeight="1" s="59">
      <c r="A9" s="4" t="inlineStr">
        <is>
          <t>Piedmont Custom Meats</t>
        </is>
      </c>
      <c r="B9" s="68" t="inlineStr">
        <is>
          <t>Gibsonville, NC (SLAUGHTER)
Asheboro, NC (processing only)</t>
        </is>
      </c>
      <c r="C9" s="68" t="inlineStr">
        <is>
          <t>USDA-inspected</t>
        </is>
      </c>
      <c r="D9" s="68" t="inlineStr">
        <is>
          <t>~19-192/wk
(FSIS cat 2 ceiling)</t>
        </is>
      </c>
      <c r="E9" s="88" t="inlineStr">
        <is>
          <t>YES · ~48 mi
(Pikeville: ~116 mi)</t>
        </is>
      </c>
      <c r="F9" s="139" t="inlineStr">
        <is>
          <t>0-300/wk
(cat-2 ceiling ~192, all species)</t>
        </is>
      </c>
      <c r="G9" s="68" t="inlineStr">
        <is>
          <t>MARKET + SOW + ROASTER + boar/stag
(M7975, Gibsonville)</t>
        </is>
      </c>
      <c r="H9" s="68" t="inlineStr">
        <is>
          <t>USDA ✓ M7975 + P7975 + V7975
(Gibsonville = slaughter.
M7975A Asheboro is PROCESSING-ONLY,
no swine flags)</t>
        </is>
      </c>
      <c r="I9" s="68" t="inlineStr">
        <is>
          <t>None found (markets AWA / Grandin-designed humane facility)</t>
        </is>
      </c>
      <c r="J9" s="68" t="inlineStr">
        <is>
          <t>FSIS Est. M7975A; not on public export lists — verify</t>
        </is>
      </c>
      <c r="K9" s="68" t="inlineStr">
        <is>
          <t>Strong — AWA-approved, written humane-handling policy, Temple-Grandin-influenced design</t>
        </is>
      </c>
      <c r="L9" s="68" t="inlineStr">
        <is>
          <t>$85 hog kill + $5.06/head DISPOSAL FEE on their own price sheet — viscera are normally discarded, i.e. organs exist and are being thrown away; recovery is a negotiation, not a rebuild. 150-lb pig minimum (their customer manual).</t>
        </is>
      </c>
      <c r="M9" s="68" t="inlineStr">
        <is>
          <t>★ BEST MODEL A HOST IN THE WEST: purpose-built harvest facility (45,000 sq ft processing at Asheboro; kill floor Gibsonville), Mon-Fri kill days by appointment, slaughter-only structure, 600+ farm clients</t>
        </is>
      </c>
      <c r="N9" s="68" t="inlineStr">
        <is>
          <t>Yes — contract harvest plausible</t>
        </is>
      </c>
      <c r="O9" s="68" t="inlineStr">
        <is>
          <t>(336) 628-4949
piedmontcustommeats.com</t>
        </is>
      </c>
      <c r="P9" s="20" t="inlineStr">
        <is>
          <t>STRONG FIT</t>
        </is>
      </c>
      <c r="Q9" s="178" t="inlineStr">
        <is>
          <t>★ TIER 1 — best host structure + best welfare story (AWA / Temple Grandin), all four hog classes, inside the radius at 116 mi. Their disposal fee proves organs are discarded today. Cat-2 ceiling.</t>
        </is>
      </c>
      <c r="R9" s="179" t="inlineStr">
        <is>
          <t>piedmontcustommeats.com</t>
        </is>
      </c>
      <c r="S9" s="68" t="inlineStr">
        <is>
          <t>High
(FSIS+NCDA 8-17)</t>
        </is>
      </c>
      <c r="T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≤~192 head/wk ACROSS ALL SPECIES (beef + 4 hog classes + sheep + goat + bison) — a Model A + welfare-story candidate, NOT a Martin's replacement. Their own disposal fee shows viscera are discarded today. A Model A pilot here is the logical next call: (336) 628-4949 (scheduling line) / (336) 584-8247.  [2026-08-17 focus-region pass: FSIS MPI + Demographic datasets and NCDA&amp;CS directories (dated 2026-08-10) retrieved fresh 2026-08-17; adversarially verified.]
Beebop 9-28 (rank #1): publishes a 150 lb live MINIMUM (fits the 140-220 lb target); NC Farm Bureau video on a capacity-expansion grant — ask what is now operating; Facebook shows service-processing of customer-owned animals → ask WHO OWNS THE ORGANS (plant vs livestock owner).</t>
        </is>
      </c>
    </row>
    <row r="10" ht="98.8" customHeight="1" s="59">
      <c r="A10" s="4" t="inlineStr">
        <is>
          <t>Acre Station Meat Farm</t>
        </is>
      </c>
      <c r="B10" s="68" t="inlineStr">
        <is>
          <t>Pinetown, NC</t>
        </is>
      </c>
      <c r="C10" s="68" t="inlineStr">
        <is>
          <t>USDA-equivalent (Talmadge-Aiken)</t>
        </is>
      </c>
      <c r="D10" s="68" t="inlineStr">
        <is>
          <t>~150 hogs/wk + 6-12 cattle
(NMPAN/Firsthand profiles, dated)
FSIS cat 2 ceiling ~192/wk all species</t>
        </is>
      </c>
      <c r="E10" s="110" t="inlineStr">
        <is>
          <t>NO · ~143 mi ≈
(Pikeville: ~88 mi)</t>
        </is>
      </c>
      <c r="F10" s="139" t="inlineStr">
        <is>
          <t>0-300/wk (~150)</t>
        </is>
      </c>
      <c r="G10" s="68" t="inlineStr">
        <is>
          <t>MARKET + SOW
(roaster: No, boar/stag: No)</t>
        </is>
      </c>
      <c r="H10" s="68" t="inlineStr">
        <is>
          <t>USDA ✓ M19904 + P19904
(active federal grant)</t>
        </is>
      </c>
      <c r="I10" s="68" t="inlineStr">
        <is>
          <t>None found (Est. M19904)</t>
        </is>
      </c>
      <c r="J10" s="68" t="inlineStr">
        <is>
          <t>Not on public export lists — verify w/ APHIS VS</t>
        </is>
      </c>
      <c r="K10" s="68" t="inlineStr">
        <is>
          <t>AWA (Animal Welfare Approved) certified; family farm</t>
        </is>
      </c>
      <c r="L10" s="68" t="inlineStr">
        <is>
          <t>Own kill floor, slow line, sows on the grant — mechanically plausible, but hogs share the week with cattle/sheep/goats, so dedicated swine-organ days would be limited. Hog kill fee $0.19/lb dressed + $0.84/lb processing (own site).</t>
        </is>
      </c>
      <c r="M10" s="68" t="inlineStr">
        <is>
          <t>Plausible</t>
        </is>
      </c>
      <c r="N10" s="68" t="inlineStr">
        <is>
          <t>Plausible</t>
        </is>
      </c>
      <c r="O10" s="68" t="inlineStr">
        <is>
          <t>(252) 927-3700
acrestationmeatfarm.com</t>
        </is>
      </c>
      <c r="P10" s="23" t="inlineStr">
        <is>
          <t>POSSIBLE</t>
        </is>
      </c>
      <c r="Q10" s="178" t="inlineStr">
        <is>
          <t>TIER 2 — Nahunta-like family quality with sow class and published kill fees; B-T preferred at ~2 hr out. Volume shared with other species.</t>
        </is>
      </c>
      <c r="R10" s="179" t="inlineStr">
        <is>
          <t>acrestationmeatfarm.com</t>
        </is>
      </c>
      <c r="S10" s="68" t="inlineStr">
        <is>
          <t>High
(FSIS+NCDA 8-17)</t>
        </is>
      </c>
      <c r="T10"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t>
        </is>
      </c>
    </row>
    <row r="11" ht="219.4" customHeight="1" s="59">
      <c r="A11" s="82" t="inlineStr">
        <is>
          <t>Custom Quality Packers, LLC</t>
        </is>
      </c>
      <c r="B11" s="83" t="inlineStr">
        <is>
          <t>Sims, NC</t>
        </is>
      </c>
      <c r="C11" s="83" t="inlineStr">
        <is>
          <t>Slaughter (USDA/NCDA unclear)</t>
        </is>
      </c>
      <c r="D11" s="83" t="inlineStr">
        <is>
          <t>~500/wk
(company-stated, mtg 2026-08)
FSIS cat 3 → 192-1,917/wk</t>
        </is>
      </c>
      <c r="E11" s="88" t="inlineStr">
        <is>
          <t>YES · ~60 mi
(Pikeville: ~45 mi)</t>
        </is>
      </c>
      <c r="F11" s="142" t="inlineStr">
        <is>
          <t>300-700/wk (~500 stated)</t>
        </is>
      </c>
      <c r="G11" s="133" t="inlineStr">
        <is>
          <t>MARKET + ROASTER
(sow: No, boar/stag: No)</t>
        </is>
      </c>
      <c r="H11" s="83" t="inlineStr">
        <is>
          <t>USDA ✓ M20129
(federal, delivered via the
Talmadge-Aiken programme —
TA-20129 in the NCDA&amp;CS
TA directory 2026-08-10)</t>
        </is>
      </c>
      <c r="I11"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J11" s="83" t="inlineStr">
        <is>
          <t>Not on public export lists — verify</t>
        </is>
      </c>
      <c r="K11" s="83" t="inlineStr">
        <is>
          <t>unknown</t>
        </is>
      </c>
      <c r="L11" s="83" t="inlineStr">
        <is>
          <t>Plausible; skin-and-scald offered</t>
        </is>
      </c>
      <c r="M11" s="83" t="inlineStr">
        <is>
          <t>Plausible</t>
        </is>
      </c>
      <c r="N11" s="83" t="inlineStr">
        <is>
          <t>Plausible</t>
        </is>
      </c>
      <c r="O11" s="83" t="inlineStr">
        <is>
          <t>(252) 235-3558
Owner/operator: Barrett Twitty
3571 Friday Rd, Sims NC
(also owns Nash Pigg Farms +
Dean Street Processing, Bailey)</t>
        </is>
      </c>
      <c r="P11" s="145" t="inlineStr">
        <is>
          <t>★ CURRENT
SUPPLIER</t>
        </is>
      </c>
      <c r="Q11" s="178" t="inlineStr">
        <is>
          <t>CURRENT — Model A live: hog-only custom floor; headroom via a dedicated kill day; unique contract-raise-to-spec lever (Nash Pigg). Audit the 2018-20 welfare history before scaling.</t>
        </is>
      </c>
      <c r="R11" s="179" t="inlineStr">
        <is>
          <t>deanstreetprocessing.com (sister co.)</t>
        </is>
      </c>
      <c r="S11" s="83" t="inlineStr">
        <is>
          <t>High
(FSIS+NCDA 8-17)</t>
        </is>
      </c>
      <c r="T11"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
Beebop 9-28 (rank #12, existing supplier): ~60 mi from Durham; website is the sister Dean Street business.</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09" t="inlineStr">
        <is>
          <t>YES · ~45 mi
(Durham: n/m)</t>
        </is>
      </c>
      <c r="F12" s="143" t="inlineStr">
        <is>
          <t>n/a — duplicate</t>
        </is>
      </c>
      <c r="G12" s="68" t="inlineStr">
        <is>
          <t>see row below</t>
        </is>
      </c>
      <c r="H12" s="68" t="inlineStr">
        <is>
          <t>USDA ✓ M21747 + P21747</t>
        </is>
      </c>
      <c r="I12" s="68" t="inlineStr">
        <is>
          <t>None found (Est. M21747)</t>
        </is>
      </c>
      <c r="J12" s="68" t="inlineStr">
        <is>
          <t>Not on public export lists — verify</t>
        </is>
      </c>
      <c r="K12" s="68" t="inlineStr">
        <is>
          <t>unknown</t>
        </is>
      </c>
      <c r="L12" s="68" t="inlineStr">
        <is>
          <t>Plausible; skin-and-scald</t>
        </is>
      </c>
      <c r="M12" s="68" t="inlineStr">
        <is>
          <t>Plausible</t>
        </is>
      </c>
      <c r="N12" s="68" t="inlineStr">
        <is>
          <t>Plausible</t>
        </is>
      </c>
      <c r="O12" s="68" t="inlineStr">
        <is>
          <t>(252) 237-2982</t>
        </is>
      </c>
      <c r="P12" s="141" t="inlineStr">
        <is>
          <t>DUPLICATE</t>
        </is>
      </c>
      <c r="Q12" s="178" t="inlineStr">
        <is>
          <t>Duplicate entry — use the verified row for this establishment elsewhere on the sheet.</t>
        </is>
      </c>
      <c r="R12" s="179" t="inlineStr">
        <is>
          <t>—</t>
        </is>
      </c>
      <c r="S12" s="68" t="inlineStr">
        <is>
          <t>High
(FSIS+MPI 8-06)</t>
        </is>
      </c>
      <c r="T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58.6" customHeight="1" s="59">
      <c r="A13" s="4" t="inlineStr">
        <is>
          <t>Wayne Mays Meat Processing</t>
        </is>
      </c>
      <c r="B13" s="68" t="inlineStr">
        <is>
          <t>Taylorsville, NC</t>
        </is>
      </c>
      <c r="C13" s="68" t="inlineStr">
        <is>
          <t>USDA-inspected</t>
        </is>
      </c>
      <c r="D13" s="68" t="inlineStr">
        <is>
          <t>&lt;19/wk
(FSIS cat 1)</t>
        </is>
      </c>
      <c r="E13" s="110" t="inlineStr">
        <is>
          <t>NO · ~142 mi ≈
(Pikeville: ~218 mi)</t>
        </is>
      </c>
      <c r="F13" s="139" t="inlineStr">
        <is>
          <t>0-300/wk (&lt;19)</t>
        </is>
      </c>
      <c r="G13" s="68" t="inlineStr">
        <is>
          <t>MARKET + SOW + boar/stag</t>
        </is>
      </c>
      <c r="H13" s="68" t="inlineStr">
        <is>
          <t>USDA ✓ M21848 + P21848 + V21848</t>
        </is>
      </c>
      <c r="I13" s="25" t="inlineStr">
        <is>
          <t>⚠ Humane-handling NOS ~Aug 2020 (Est. M21848); PETA-documented pig shot 3× (2024). Recurring.</t>
        </is>
      </c>
      <c r="J13" s="68" t="inlineStr">
        <is>
          <t>Not on public export lists — verify</t>
        </is>
      </c>
      <c r="K13" s="68" t="inlineStr">
        <is>
          <t>AWA + Certified Organic — strong welfare signals</t>
        </is>
      </c>
      <c r="L13" s="68" t="inlineStr">
        <is>
          <t>Plausible</t>
        </is>
      </c>
      <c r="M13" s="68" t="inlineStr">
        <is>
          <t>Plausible</t>
        </is>
      </c>
      <c r="N13" s="68" t="inlineStr">
        <is>
          <t>Plausible</t>
        </is>
      </c>
      <c r="O13" s="68" t="inlineStr">
        <is>
          <t>(828) 634-2034
maysmeats.net</t>
        </is>
      </c>
      <c r="P13" s="23" t="inlineStr">
        <is>
          <t>CAUTION</t>
        </is>
      </c>
      <c r="Q13" s="178" t="inlineStr">
        <is>
          <t>Back-pool — passes no current tier; see Fit and notes for what a call would need to change.</t>
        </is>
      </c>
      <c r="R13" s="179" t="inlineStr">
        <is>
          <t>—</t>
        </is>
      </c>
      <c r="S13" s="68" t="inlineStr">
        <is>
          <t>High
(FSIS+MPI 8-06)</t>
        </is>
      </c>
      <c r="T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125.6" customHeight="1" s="59">
      <c r="A14" s="138" t="inlineStr">
        <is>
          <t>M.L. Mitchell &amp; Son
(FSIS lists Mitchell's Meat Processing, LLC)</t>
        </is>
      </c>
      <c r="B14" s="68" t="inlineStr">
        <is>
          <t>Walnut Cove, NC</t>
        </is>
      </c>
      <c r="C14" s="68" t="inlineStr">
        <is>
          <t>USDA-inspected</t>
        </is>
      </c>
      <c r="D14" s="68" t="inlineStr">
        <is>
          <t>&lt;19/wk
(FSIS cat 1)</t>
        </is>
      </c>
      <c r="E14" s="88" t="inlineStr">
        <is>
          <t>YES · ~85 mi ≈
(Pikeville: ~160 mi)</t>
        </is>
      </c>
      <c r="F14" s="139" t="inlineStr">
        <is>
          <t>0-300/wk (&lt;19)</t>
        </is>
      </c>
      <c r="G14" s="68" t="inlineStr">
        <is>
          <t>MARKET + SOW + boar/stag</t>
        </is>
      </c>
      <c r="H14" s="68" t="inlineStr">
        <is>
          <t>USDA ✓ M46822 + P46822
(listed as Mitchell's Meat Processing)</t>
        </is>
      </c>
      <c r="I14" s="25" t="inlineStr">
        <is>
          <t>⚠ Slaughter suspension Aug 2021 — egregious (failed goat stun, conscious throat-cut). PETA→DA.</t>
        </is>
      </c>
      <c r="J14" s="68" t="inlineStr">
        <is>
          <t>Not on public export lists — verify</t>
        </is>
      </c>
      <c r="K14" s="68" t="inlineStr">
        <is>
          <t>Family business (culture signal)</t>
        </is>
      </c>
      <c r="L14" s="68" t="inlineStr">
        <is>
          <t>Plausible</t>
        </is>
      </c>
      <c r="M14" s="68" t="inlineStr">
        <is>
          <t>Plausible</t>
        </is>
      </c>
      <c r="N14" s="68" t="inlineStr">
        <is>
          <t>Plausible</t>
        </is>
      </c>
      <c r="O14" s="68" t="inlineStr">
        <is>
          <t>(336) 591-7420</t>
        </is>
      </c>
      <c r="P14" s="23" t="inlineStr">
        <is>
          <t>CAUTION</t>
        </is>
      </c>
      <c r="Q14" s="178" t="inlineStr">
        <is>
          <t>Back-pool — passes no current tier; see Fit and notes for what a call would need to change.</t>
        </is>
      </c>
      <c r="R14" s="179" t="inlineStr">
        <is>
          <t>—</t>
        </is>
      </c>
      <c r="S14" s="68" t="inlineStr">
        <is>
          <t>High
(FSIS+NCDA 8-17)</t>
        </is>
      </c>
      <c r="T14"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
Beebop 9-28 ranks it #9 (Instagram gives a text line 336-310-9538 + office 336-591-7420; mitchellsmeatnc.com live) — but it did NOT see the enforcement column: the failed-stun record and the Chop Shop closure keep this CAUTION. NCDA 9-18 lists it as Mitchell's Butchery, Inc. TA-46822/46822A, species A-E.</t>
        </is>
      </c>
    </row>
    <row r="15" ht="98.8" customHeight="1" s="59">
      <c r="A15" s="4" t="inlineStr">
        <is>
          <t>Key Packing Company, Inc.</t>
        </is>
      </c>
      <c r="B15" s="68" t="inlineStr">
        <is>
          <t>Robbins, NC</t>
        </is>
      </c>
      <c r="C15" s="68" t="inlineStr">
        <is>
          <t>NCDA state-inspected</t>
        </is>
      </c>
      <c r="D15" s="68" t="inlineStr">
        <is>
          <t>unknown (small)</t>
        </is>
      </c>
      <c r="E15" s="88" t="inlineStr">
        <is>
          <t>YES · ~70 mi
(Pikeville: ~116 mi)</t>
        </is>
      </c>
      <c r="F15" s="143" t="inlineStr">
        <is>
          <t>confirm
(state — no volume published)</t>
        </is>
      </c>
      <c r="G15" s="68" t="inlineStr">
        <is>
          <t>Yes</t>
        </is>
      </c>
      <c r="H15" s="68" t="inlineStr">
        <is>
          <t>STATE only
(NOT USDA — no FSIS record)</t>
        </is>
      </c>
      <c r="I15" s="68" t="inlineStr">
        <is>
          <t>None found (state-inspected; federal FSIS enforcement n/a)</t>
        </is>
      </c>
      <c r="J15" s="68" t="inlineStr">
        <is>
          <t>State-inspected; not on public export lists — verify</t>
        </is>
      </c>
      <c r="K15" s="68" t="inlineStr">
        <is>
          <t>Family-owned (Key family); custom slaughter for independent farmers</t>
        </is>
      </c>
      <c r="L15" s="68" t="inlineStr">
        <is>
          <t>Plausible</t>
        </is>
      </c>
      <c r="M15" s="68" t="inlineStr">
        <is>
          <t>Plausible</t>
        </is>
      </c>
      <c r="N15" s="68" t="inlineStr">
        <is>
          <t>Plausible</t>
        </is>
      </c>
      <c r="O15" s="68" t="inlineStr">
        <is>
          <t>(910) 464-3507
keypackingcompany.com</t>
        </is>
      </c>
      <c r="P15" s="23" t="inlineStr">
        <is>
          <t>POSSIBLE</t>
        </is>
      </c>
      <c r="Q15" s="178" t="inlineStr">
        <is>
          <t>TIER 3 — state-inspected multi-species backup at the 120-mi edge; behind the I-95 pair on every axis.</t>
        </is>
      </c>
      <c r="R15" s="179" t="inlineStr">
        <is>
          <t>no website (keypackingcompany.com is parked) — phone (910) 464-3507</t>
        </is>
      </c>
      <c r="S15" s="68" t="inlineStr">
        <is>
          <t>High
(FSIS+MPI 8-06)</t>
        </is>
      </c>
      <c r="T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
Beebop 9-28 (rank #6). NCDA directory 9-18: P-48, slaughter + processing, species A-E incl. swine.</t>
        </is>
      </c>
    </row>
    <row r="16" ht="72" customHeight="1" s="59">
      <c r="A16" s="4" t="inlineStr">
        <is>
          <t>Sessoms Packing Company</t>
        </is>
      </c>
      <c r="B16" s="68" t="inlineStr">
        <is>
          <t>Ahoskie, NC</t>
        </is>
      </c>
      <c r="C16" s="68" t="inlineStr">
        <is>
          <t>Slaughter (probable USDA)</t>
        </is>
      </c>
      <c r="D16" s="68" t="inlineStr">
        <is>
          <t>unknown</t>
        </is>
      </c>
      <c r="E16" s="110" t="inlineStr">
        <is>
          <t>NO · ~132 mi ≈
(Pikeville: ~95 mi)</t>
        </is>
      </c>
      <c r="F16" s="143" t="inlineStr">
        <is>
          <t>confirm</t>
        </is>
      </c>
      <c r="G16" s="68" t="inlineStr">
        <is>
          <t>Yes</t>
        </is>
      </c>
      <c r="H16" s="68" t="inlineStr">
        <is>
          <t>NOT in the FSIS MPI directory
('probable USDA' is WITHDRAWN)</t>
        </is>
      </c>
      <c r="I16" s="68" t="inlineStr">
        <is>
          <t>None found in public sources</t>
        </is>
      </c>
      <c r="J16" s="68" t="inlineStr">
        <is>
          <t>Not on public export lists — verify</t>
        </is>
      </c>
      <c r="K16" s="68" t="inlineStr">
        <is>
          <t>unknown</t>
        </is>
      </c>
      <c r="L16" s="68" t="inlineStr">
        <is>
          <t>Plausible; whole-hog (country ham)</t>
        </is>
      </c>
      <c r="M16" s="68" t="inlineStr">
        <is>
          <t>Plausible</t>
        </is>
      </c>
      <c r="N16" s="68" t="inlineStr">
        <is>
          <t>Plausible</t>
        </is>
      </c>
      <c r="O16" s="68" t="inlineStr">
        <is>
          <t>(252) 332-2978</t>
        </is>
      </c>
      <c r="P16" s="140" t="inlineStr">
        <is>
          <t>CAUTION</t>
        </is>
      </c>
      <c r="Q16" s="178" t="inlineStr">
        <is>
          <t>Back-pool — passes no current tier; see Fit and notes for what a call would need to change.</t>
        </is>
      </c>
      <c r="R16" s="179" t="inlineStr">
        <is>
          <t>—</t>
        </is>
      </c>
      <c r="S16" s="68" t="inlineStr">
        <is>
          <t>Med-High
(FSIS+MPI 8-06)</t>
        </is>
      </c>
      <c r="T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125.6" customHeight="1" s="59">
      <c r="A17" s="138" t="inlineStr">
        <is>
          <t>Wilkes Abattoir, LLC dba Apple Brandy Prime Cuts
(formerly Thomas Brothers)</t>
        </is>
      </c>
      <c r="B17" s="68" t="inlineStr">
        <is>
          <t>North Wilkesboro, NC</t>
        </is>
      </c>
      <c r="C17" s="68" t="inlineStr">
        <is>
          <t>Slaughter</t>
        </is>
      </c>
      <c r="D17" s="68" t="inlineStr">
        <is>
          <t>~19-192/wk
(FSIS cat 2 ceiling)</t>
        </is>
      </c>
      <c r="E17" s="110" t="inlineStr">
        <is>
          <t>NO · ~134 mi ≈
(Pikeville: ~209 mi)</t>
        </is>
      </c>
      <c r="F17" s="139" t="inlineStr">
        <is>
          <t>0-300/wk
(est. 10-95 hogs)</t>
        </is>
      </c>
      <c r="G17" s="68" t="inlineStr">
        <is>
          <t>MARKET + SOW + boar/stag</t>
        </is>
      </c>
      <c r="H17" s="68" t="inlineStr">
        <is>
          <t>USDA ✓ M19511 + P19511
(Wilkes Abattoir — SLAUGHTER-ONLY)</t>
        </is>
      </c>
      <c r="I17" s="25" t="inlineStr">
        <is>
          <t>⚠ REPEAT humane-handling suspensions 2009, 2015, 2018 (AWI list; Est. 19511M)</t>
        </is>
      </c>
      <c r="J17" s="68" t="inlineStr">
        <is>
          <t>Not on public export lists — verify</t>
        </is>
      </c>
      <c r="K17" s="68" t="inlineStr">
        <is>
          <t>unknown</t>
        </is>
      </c>
      <c r="L17" s="68" t="inlineStr">
        <is>
          <t>Custom abattoir serving farmers/licensed handlers — offal return is standard practice in this class (undocumented). Sow + boar flags = large-frame animals come through.</t>
        </is>
      </c>
      <c r="M17" s="68" t="inlineStr">
        <is>
          <t>Plausible</t>
        </is>
      </c>
      <c r="N17" s="68" t="inlineStr">
        <is>
          <t>Plausible</t>
        </is>
      </c>
      <c r="O17" s="68" t="inlineStr">
        <is>
          <t>(336) 667-1346
Owner: Seth Church
abprimecuts.com</t>
        </is>
      </c>
      <c r="P17" s="23" t="inlineStr">
        <is>
          <t>CAUTION</t>
        </is>
      </c>
      <c r="Q17" s="178" t="inlineStr">
        <is>
          <t>TIER 3 — highest hog share in the west (~half the kill), real cut-to-spec crew; 209 mi and prior-owner welfare history → B-T only.</t>
        </is>
      </c>
      <c r="R17" s="179" t="inlineStr">
        <is>
          <t>abprimecuts.com</t>
        </is>
      </c>
      <c r="S17" s="68" t="inlineStr">
        <is>
          <t>High
(FSIS+NCDA 8-17)</t>
        </is>
      </c>
      <c r="T17"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t>
        </is>
      </c>
    </row>
    <row r="18" ht="72" customHeight="1" s="59">
      <c r="A18" s="4" t="inlineStr">
        <is>
          <t>Cruse Meat Processing</t>
        </is>
      </c>
      <c r="B18" s="68" t="inlineStr">
        <is>
          <t>Concord, NC</t>
        </is>
      </c>
      <c r="C18" s="68" t="inlineStr">
        <is>
          <t>Slaughter</t>
        </is>
      </c>
      <c r="D18" s="68" t="inlineStr">
        <is>
          <t>&lt;19/wk
(FSIS cat 1)</t>
        </is>
      </c>
      <c r="E18" s="88" t="inlineStr">
        <is>
          <t>YES · ~120 mi (borderline)
(Pikeville: ~168 mi)</t>
        </is>
      </c>
      <c r="F18" s="139" t="inlineStr">
        <is>
          <t>0-300/wk (&lt;19)</t>
        </is>
      </c>
      <c r="G18" s="68" t="inlineStr">
        <is>
          <t>MARKET only
(sow: No, roaster: No)</t>
        </is>
      </c>
      <c r="H18" s="68" t="inlineStr">
        <is>
          <t>USDA ✓ M46354</t>
        </is>
      </c>
      <c r="I18" s="68" t="inlineStr">
        <is>
          <t>None found in public sources</t>
        </is>
      </c>
      <c r="J18" s="68" t="inlineStr">
        <is>
          <t>Not on public export lists — verify</t>
        </is>
      </c>
      <c r="K18" s="68" t="inlineStr">
        <is>
          <t>unknown</t>
        </is>
      </c>
      <c r="L18" s="68" t="inlineStr">
        <is>
          <t>Plausible; skin-and-scald</t>
        </is>
      </c>
      <c r="M18" s="68" t="inlineStr">
        <is>
          <t>Plausible</t>
        </is>
      </c>
      <c r="N18" s="68" t="inlineStr">
        <is>
          <t>Plausible</t>
        </is>
      </c>
      <c r="O18" s="68" t="inlineStr">
        <is>
          <t>(704) 786-8616</t>
        </is>
      </c>
      <c r="P18" s="23" t="inlineStr">
        <is>
          <t>POSSIBLE</t>
        </is>
      </c>
      <c r="Q18" s="178" t="inlineStr">
        <is>
          <t>Back-pool — passes no current tier; see Fit and notes for what a call would need to change.</t>
        </is>
      </c>
      <c r="R18" s="179" t="inlineStr">
        <is>
          <t>—</t>
        </is>
      </c>
      <c r="S18" s="68" t="inlineStr">
        <is>
          <t>High
(FSIS+MPI 8-06)</t>
        </is>
      </c>
      <c r="T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
Beebop 9-28 (rank #18): ~120 road mi from Durham (boundary); 'route to the Rimer Road plant, not central Concord'. NCDA 9-18: species A-E.</t>
        </is>
      </c>
    </row>
    <row r="19" ht="72" customHeight="1" s="59">
      <c r="A19" s="4" t="inlineStr">
        <is>
          <t>Triad Meat Custom Processing</t>
        </is>
      </c>
      <c r="B19" s="68" t="inlineStr">
        <is>
          <t>Madison, NC</t>
        </is>
      </c>
      <c r="C19" s="68" t="inlineStr">
        <is>
          <t>Slaughter</t>
        </is>
      </c>
      <c r="D19" s="68" t="inlineStr">
        <is>
          <t>n/a — no swine</t>
        </is>
      </c>
      <c r="E19" s="110" t="inlineStr">
        <is>
          <t>NO · ~248 mi ≈
(Pikeville: ~159 mi)</t>
        </is>
      </c>
      <c r="F19" s="143" t="inlineStr">
        <is>
          <t>n/a — no swine</t>
        </is>
      </c>
      <c r="G19" s="68" t="inlineStr">
        <is>
          <t>NO SWINE FLAGS</t>
        </is>
      </c>
      <c r="H19" s="68" t="inlineStr">
        <is>
          <t>USDA ✓ M46085 + P46085
(FSIS lists Triad Halal Meats LLC)</t>
        </is>
      </c>
      <c r="I19" s="25" t="inlineStr">
        <is>
          <t>⚠ FSIS suspension ~Dec 2025 (Est. M46085; cause unspecified in public snippets)</t>
        </is>
      </c>
      <c r="J19" s="68" t="inlineStr">
        <is>
          <t>Not on public export lists — verify</t>
        </is>
      </c>
      <c r="K19" s="68" t="inlineStr">
        <is>
          <t>AWA (welfare signal)</t>
        </is>
      </c>
      <c r="L19" s="68" t="inlineStr">
        <is>
          <t>Plausible</t>
        </is>
      </c>
      <c r="M19" s="68" t="inlineStr">
        <is>
          <t>No — no swine slaughter</t>
        </is>
      </c>
      <c r="N19" s="68" t="inlineStr">
        <is>
          <t>No</t>
        </is>
      </c>
      <c r="O19" s="68" t="inlineStr">
        <is>
          <t>(336) 949-9696</t>
        </is>
      </c>
      <c r="P19" s="141" t="inlineStr">
        <is>
          <t>OUT / FLAG</t>
        </is>
      </c>
      <c r="Q19" s="178" t="inlineStr">
        <is>
          <t>Not a candidate — fails a hard gate or adds nothing vs the base (see notes).</t>
        </is>
      </c>
      <c r="R19" s="179" t="inlineStr">
        <is>
          <t>—</t>
        </is>
      </c>
      <c r="S19" s="68" t="inlineStr">
        <is>
          <t>Med-High
(FSIS+MPI 8-06)</t>
        </is>
      </c>
      <c r="T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t>
        </is>
      </c>
    </row>
    <row r="20" ht="58.6" customHeight="1" s="59">
      <c r="A20" s="4" t="inlineStr">
        <is>
          <t>Wells, Jenkins &amp; Wells Abattoir</t>
        </is>
      </c>
      <c r="B20" s="68" t="inlineStr">
        <is>
          <t>Forest City, NC</t>
        </is>
      </c>
      <c r="C20" s="68" t="inlineStr">
        <is>
          <t>Slaughter</t>
        </is>
      </c>
      <c r="D20" s="68" t="inlineStr">
        <is>
          <t>~19-192/wk
(FSIS cat 2 ceiling)</t>
        </is>
      </c>
      <c r="E20" s="110" t="inlineStr">
        <is>
          <t>NO · ~203 mi ≈
(Pikeville: ~278 mi)</t>
        </is>
      </c>
      <c r="F20" s="139" t="inlineStr">
        <is>
          <t>0-300/wk (≤192)</t>
        </is>
      </c>
      <c r="G20" s="68" t="inlineStr">
        <is>
          <t>MARKET + boar/stag
(sow: No, roaster: No)</t>
        </is>
      </c>
      <c r="H20" s="68" t="inlineStr">
        <is>
          <t>USDA ✓ M881 + P881 + V881</t>
        </is>
      </c>
      <c r="I20" s="68" t="inlineStr">
        <is>
          <t>None found (the M7457A docs are a different WV plant)</t>
        </is>
      </c>
      <c r="J20" s="68" t="inlineStr">
        <is>
          <t>Not on public export lists — verify</t>
        </is>
      </c>
      <c r="K20" s="68" t="inlineStr">
        <is>
          <t>AWA (welfare signal)</t>
        </is>
      </c>
      <c r="L20" s="68" t="inlineStr">
        <is>
          <t>Plausible</t>
        </is>
      </c>
      <c r="M20" s="68" t="inlineStr">
        <is>
          <t>Plausible</t>
        </is>
      </c>
      <c r="N20" s="68" t="inlineStr">
        <is>
          <t>Plausible</t>
        </is>
      </c>
      <c r="O20" s="68" t="inlineStr">
        <is>
          <t>(828) 245-5544</t>
        </is>
      </c>
      <c r="P20" s="23" t="inlineStr">
        <is>
          <t>POSSIBLE</t>
        </is>
      </c>
      <c r="Q20" s="178" t="inlineStr">
        <is>
          <t>Back-pool — passes no current tier; see Fit and notes for what a call would need to change.</t>
        </is>
      </c>
      <c r="R20" s="179" t="inlineStr">
        <is>
          <t>—</t>
        </is>
      </c>
      <c r="S20" s="68" t="inlineStr">
        <is>
          <t>High
(FSIS+MPI 8-06)</t>
        </is>
      </c>
      <c r="T20" s="68" t="inlineStr">
        <is>
          <t>RESOLVED: active federal grant M881 + P881 + V881, Forest City NC, market hogs and boar/stag flagged. Ceiling FSIS category 2, ~192/wk.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t>
        </is>
      </c>
      <c r="E21" s="110" t="inlineStr">
        <is>
          <t>NO · ~129 mi ≈ (borderline)
(Pikeville: ~57 mi)</t>
        </is>
      </c>
      <c r="F21" s="139" t="inlineStr">
        <is>
          <t>0-300/wk (&lt;19)</t>
        </is>
      </c>
      <c r="G21" s="68" t="inlineStr">
        <is>
          <t>MARKET + SOW
(roaster: No, boar/stag: No)</t>
        </is>
      </c>
      <c r="H21" s="68" t="inlineStr">
        <is>
          <t>USDA ✓ M20981 + P20981
('custom-exempt' is REFUTED —
active federal grant)</t>
        </is>
      </c>
      <c r="I21" s="68" t="inlineStr">
        <is>
          <t>None found in public sources</t>
        </is>
      </c>
      <c r="J21" s="68" t="inlineStr">
        <is>
          <t>Custom-exempt; not export-eligible as-is — verify</t>
        </is>
      </c>
      <c r="K21" s="68" t="inlineStr">
        <is>
          <t>AWA (welfare signal)</t>
        </is>
      </c>
      <c r="L21" s="68" t="inlineStr">
        <is>
          <t>Limited (exempt status)</t>
        </is>
      </c>
      <c r="M21" s="68" t="inlineStr">
        <is>
          <t>Limited</t>
        </is>
      </c>
      <c r="N21" s="68" t="inlineStr">
        <is>
          <t>Limited</t>
        </is>
      </c>
      <c r="O21" s="68" t="inlineStr">
        <is>
          <t>(252) 448-4047
riversidemeatsnc.com</t>
        </is>
      </c>
      <c r="P21" s="23" t="inlineStr">
        <is>
          <t>CAUTION</t>
        </is>
      </c>
      <c r="Q21" s="178" t="inlineStr">
        <is>
          <t>Back-pool — passes no current tier; see Fit and notes for what a call would need to change.</t>
        </is>
      </c>
      <c r="R21" s="179" t="inlineStr">
        <is>
          <t>—</t>
        </is>
      </c>
      <c r="S21" s="68" t="inlineStr">
        <is>
          <t>Med-High
(FSIS+NCDA 8-17)</t>
        </is>
      </c>
      <c r="T21"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row>
    <row r="22" ht="192.6" customHeight="1" s="59">
      <c r="A22" s="138" t="inlineStr">
        <is>
          <t>Larry's Sausage Co., Inc.</t>
        </is>
      </c>
      <c r="B22" s="68" t="inlineStr">
        <is>
          <t>Fayetteville, NC (Cumberland)</t>
        </is>
      </c>
      <c r="C22" s="68" t="inlineStr">
        <is>
          <t>USDA FEDERAL slaughter + sausage processing
(NOT Talmadge-Aiken)</t>
        </is>
      </c>
      <c r="D22" s="68" t="inlineStr">
        <is>
          <t>~19-192/wk ceiling
(FSIS slaughter cat 2 = 1,000-9,999 hd / 360 d).
Earlier '200-800/wk' REFUTED</t>
        </is>
      </c>
      <c r="E22" s="88" t="inlineStr">
        <is>
          <t>YES · ~87 mi
(Pikeville: ~65 mi)</t>
        </is>
      </c>
      <c r="F22" s="139" t="inlineStr">
        <is>
          <t>0-300/wk
(cat-2 ceiling ~192 sows)</t>
        </is>
      </c>
      <c r="G22" s="68" t="inlineStr">
        <is>
          <t>SOW ONLY
sow_slaughter=Yes; market_swine=No,
roaster=No, boar/stag=No</t>
        </is>
      </c>
      <c r="H22" s="68" t="inlineStr">
        <is>
          <t>USDA ✓ M8305
(federal grant active, 20 Jul 2021)</t>
        </is>
      </c>
      <c r="I22" s="68" t="inlineStr">
        <is>
          <t>None found in 10 FSIS Quarterly Enforcement Reports (FY2024 Q1 – FY2026 Q2). NOT a clean bill — QERs list suspensions / NOIEs / withholding actions only, not every noncompliance record.</t>
        </is>
      </c>
      <c r="J22" s="68" t="inlineStr">
        <is>
          <t>Federal grant → slaughter under federal ante-/post-mortem inspection, so material is EU Cat 3-eligible. NOT on any APHIS VS export listing — which under our two-path rule is fine for Model A (we harvest; the model is assembled at ATM).</t>
        </is>
      </c>
      <c r="K22" s="68" t="inlineStr">
        <is>
          <t>No enforcement found; nothing published either way. Family-owned since 1952, three generations — verify culture on site, do not assume it.</t>
        </is>
      </c>
      <c r="L22" s="68" t="inlineStr">
        <is>
          <t>★ STRONG ON PAPER: sows are killed for sausage MEAT, so viscera / organs / aortas are NOT their product and could come off intact. Sow organ scale is closest to adult human. Willingness untested — never contacted. Office hours Tue 9-3; larryssausage.com live.</t>
        </is>
      </c>
      <c r="M22" s="68" t="inlineStr">
        <is>
          <t>Structurally plausible (small, one decision-maker) BUT sow anatomy and a ~192/wk hard ceiling</t>
        </is>
      </c>
      <c r="N22" s="68" t="inlineStr">
        <is>
          <t>Weak — no volume to anchor a lane</t>
        </is>
      </c>
      <c r="O22" s="68" t="inlineStr">
        <is>
          <t>(910) 483-5148
1624 Middle River Loop,
Fayetteville NC 28312</t>
        </is>
      </c>
      <c r="P22" s="140" t="inlineStr">
        <is>
          <t>POSSIBLE
★ organ lane</t>
        </is>
      </c>
      <c r="Q22" s="178" t="inlineStr">
        <is>
          <t>★ TIER 1 — best structural organ add in the east: sow-class organs at volume, viscera not their product, decade-tenured crew, flexible minimums. Gate: the sow-anatomy spec decision.</t>
        </is>
      </c>
      <c r="R22" s="179" t="inlineStr">
        <is>
          <t>larryssausage.com</t>
        </is>
      </c>
      <c r="S22" s="68" t="inlineStr">
        <is>
          <t>High
(FSIS+NCDA 8-17)</t>
        </is>
      </c>
      <c r="T22" s="68" t="inlineStr">
        <is>
          <t>★ RE-RANKED BY THE 2026-08-17 SWEEP: THE BEST STRUCTURAL ORGAN ADD IN EASTERN NC — the region's only ESTABLISHED swine-only, sow-class federal floor at meaningful volume (cat 2 = 19-192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
Beebop 9-28 (rank #19): 'sow-only — do not schedule a visit until animal-size fit is established.' Under the 140-220 lb target that is right; the decade-tenure crew still makes it the best B-T profile IF sow anatomy is ever accepted.</t>
        </is>
      </c>
    </row>
    <row r="23" ht="179.2" customHeight="1" s="59">
      <c r="A23" s="138" t="inlineStr">
        <is>
          <t>Bass Farms, Inc.
(DBA Bass Farm Sausage)</t>
        </is>
      </c>
      <c r="B23" s="68" t="inlineStr">
        <is>
          <t>Spring Hope, NC (Nash)</t>
        </is>
      </c>
      <c r="C23" s="68" t="inlineStr">
        <is>
          <t>Sausage PROCESSOR with a small attached kill floor
— NOT 'slaughter only'</t>
        </is>
      </c>
      <c r="D23" s="68" t="inlineStr">
        <is>
          <t>&lt;19/wk today
(FSIS cat 1) — but the GRANT IS
BRAND NEW (2/17/2026) and the
company just expanded</t>
        </is>
      </c>
      <c r="E23" s="88" t="inlineStr">
        <is>
          <t>YES · ~61 mi
(Pikeville: ~40 mi)</t>
        </is>
      </c>
      <c r="F23" s="139" t="inlineStr">
        <is>
          <t>0-300/wk
(cat 2 — growing)</t>
        </is>
      </c>
      <c r="G23" s="68" t="inlineStr">
        <is>
          <t>SOW ONLY
sow_slaughter=Yes; market_swine=No,
roaster=No, boar/stag=No</t>
        </is>
      </c>
      <c r="H23" s="68" t="inlineStr">
        <is>
          <t>USDA ✓ M3521 — NEWEST swine-slaughter
grant in NC (2/17/2026), sow-only;
TA-3521 in the NCDA&amp;CS TA directory</t>
        </is>
      </c>
      <c r="I23" s="68" t="inlineStr">
        <is>
          <t>None found in 10 FSIS Quarterly Enforcement Reports (FY2024 Q1 – FY2026 Q2). NOT a clean bill — QERs cover suspensions / NOIEs / withholding actions only.</t>
        </is>
      </c>
      <c r="J23" s="68" t="inlineStr">
        <is>
          <t>Federal grant → EU Cat 3-eligible in principle. No APHIS VS export listing. Volume makes the question moot.</t>
        </is>
      </c>
      <c r="K23" s="68" t="inlineStr">
        <is>
          <t>Nothing published either way.</t>
        </is>
      </c>
      <c r="L23" s="68" t="inlineStr">
        <is>
          <t>Whole-hog sausage uses carcass meat, not viscera — sow organs / aortas are currently WASTE (inference, labeled). Sows = MATURE anatomy: large hearts, aortas, bladders, uteri.</t>
        </is>
      </c>
      <c r="M23" s="68" t="inlineStr">
        <is>
          <t>Micro-scale only — but brand-new floor, growth mode, never hosted harvesters; scheduling likely negotiable</t>
        </is>
      </c>
      <c r="N23" s="68" t="inlineStr">
        <is>
          <t>Plausible at micro volume</t>
        </is>
      </c>
      <c r="O23" s="68" t="inlineStr">
        <is>
          <t>(252) 478-4147
President: Kenneth Edwards
6685 Hwy 64 Alt, Spring Hope</t>
        </is>
      </c>
      <c r="P23" s="140" t="inlineStr">
        <is>
          <t>WATCH
(new sow floor)</t>
        </is>
      </c>
      <c r="Q23" s="178" t="inlineStr">
        <is>
          <t>TIER 2 — newest swine grant in NC, sow organs going to waste 40 min from Sims, and GROWING (FSIS cat 1→2 between Aug and Sep 2026). Micro-pilot only.</t>
        </is>
      </c>
      <c r="R23" s="179" t="inlineStr">
        <is>
          <t>bassfarmsausage.com</t>
        </is>
      </c>
      <c r="S23" s="68" t="inlineStr">
        <is>
          <t>High
(FSIS+NCDA 8-17)</t>
        </is>
      </c>
      <c r="T23"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
Beebop 9-28 (rank #16) flags the sow-only class against the 140-220 lb target — 'animal-size mismatch may disqualify'. Agreed: ANAT re-scored on Rated Candidates.</t>
        </is>
      </c>
    </row>
    <row r="24" ht="19.7" customHeight="1" s="59">
      <c r="A24" s="118" t="inlineStr">
        <is>
          <t>NORTH CAROLINA — large plants (context / ceiling, generally excluded)</t>
        </is>
      </c>
    </row>
    <row r="25" ht="58.6" customHeight="1" s="59">
      <c r="A25" s="4" t="inlineStr">
        <is>
          <t>Smithfield Foods — Tar Heel</t>
        </is>
      </c>
      <c r="B25" s="68" t="inlineStr">
        <is>
          <t>Bladen County, NC</t>
        </is>
      </c>
      <c r="C25" s="68" t="inlineStr">
        <is>
          <t>Industrial packer</t>
        </is>
      </c>
      <c r="D25" s="68" t="inlineStr">
        <is>
          <t>~28,000-32,000 / DAY</t>
        </is>
      </c>
      <c r="E25" s="88" t="inlineStr">
        <is>
          <t>YES · ~110 mi ≈ (borderline)
(Pikeville: ~89 mi)</t>
        </is>
      </c>
      <c r="F25" s="195" t="inlineStr">
        <is>
          <t>5,000+/wk (~28-32k/DAY)</t>
        </is>
      </c>
      <c r="G25" s="68" t="inlineStr">
        <is>
          <t>Yes</t>
        </is>
      </c>
      <c r="H25" s="68" t="inlineStr">
        <is>
          <t>USDA ✓</t>
        </is>
      </c>
      <c r="I25" s="68" t="inlineStr">
        <is>
          <t>2011 recall (undeclared dairy allergen); 2021-22 sanitation/welfare NRs (not a suspension). Est. M18079.</t>
        </is>
      </c>
      <c r="J25" s="68" t="inlineStr">
        <is>
          <t>FSIS export-certified (edible, general; documented exports). EU/APHIS-byproduct status unverified</t>
        </is>
      </c>
      <c r="K25" s="68" t="inlineStr">
        <is>
          <t>Industrial line-speed (~5,500 staff)</t>
        </is>
      </c>
      <c r="L25" s="68" t="inlineStr">
        <is>
          <t>No dedicated on-site rental noted</t>
        </is>
      </c>
      <c r="M25" s="68" t="inlineStr">
        <is>
          <t>No</t>
        </is>
      </c>
      <c r="N25" s="68" t="inlineStr">
        <is>
          <t>No</t>
        </is>
      </c>
      <c r="O25" s="68" t="inlineStr">
        <is>
          <t>—</t>
        </is>
      </c>
      <c r="P25" s="23" t="inlineStr">
        <is>
          <t>CAUTION</t>
        </is>
      </c>
      <c r="Q25" s="178" t="inlineStr">
        <is>
          <t>Back-pool — passes no current tier; see Fit and notes for what a call would need to change.</t>
        </is>
      </c>
      <c r="R25" s="179" t="inlineStr">
        <is>
          <t>—</t>
        </is>
      </c>
      <c r="S25" s="68" t="inlineStr">
        <is>
          <t>High
(study 8-03/05)</t>
        </is>
      </c>
      <c r="T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112.2" customHeight="1" s="59">
      <c r="A26" s="138" t="inlineStr">
        <is>
          <t>Smithfield / KC Sausage (sow plant)
⟵ DUPLICATE ENTRY</t>
        </is>
      </c>
      <c r="B26" s="68" t="inlineStr">
        <is>
          <t>Godwin, NC</t>
        </is>
      </c>
      <c r="C26" s="68" t="inlineStr">
        <is>
          <t>Industrial sow slaughter</t>
        </is>
      </c>
      <c r="D26" s="68" t="inlineStr">
        <is>
          <t>see 'Kansas City Sausage / Coastal Protein' below</t>
        </is>
      </c>
      <c r="E26" s="109" t="inlineStr">
        <is>
          <t>YES · ~45 mi
(Durham: n/m)</t>
        </is>
      </c>
      <c r="F26" s="143" t="inlineStr">
        <is>
          <t>n/a — duplicate</t>
        </is>
      </c>
      <c r="G26" s="68" t="inlineStr">
        <is>
          <t>see row below</t>
        </is>
      </c>
      <c r="H26" s="68" t="inlineStr">
        <is>
          <t>USDA ✓</t>
        </is>
      </c>
      <c r="I26" s="68" t="inlineStr">
        <is>
          <t>None found for the Godwin plant specifically</t>
        </is>
      </c>
      <c r="J26" s="68" t="inlineStr">
        <is>
          <t>FSIS-inspected; export not confirmed</t>
        </is>
      </c>
      <c r="K26" s="68" t="inlineStr">
        <is>
          <t>Industrial / corporate-owned</t>
        </is>
      </c>
      <c r="L26" s="68" t="inlineStr">
        <is>
          <t>Sow/organ-relevant but industrial scale</t>
        </is>
      </c>
      <c r="M26" s="68" t="inlineStr">
        <is>
          <t>Unlikely</t>
        </is>
      </c>
      <c r="N26" s="68" t="inlineStr">
        <is>
          <t>Unlikely</t>
        </is>
      </c>
      <c r="O26" s="68" t="inlineStr">
        <is>
          <t>—</t>
        </is>
      </c>
      <c r="P26" s="141" t="inlineStr">
        <is>
          <t>DUPLICATE</t>
        </is>
      </c>
      <c r="Q26" s="178" t="inlineStr">
        <is>
          <t>Duplicate entry — use the verified row for this establishment elsewhere on the sheet.</t>
        </is>
      </c>
      <c r="R26" s="179" t="inlineStr">
        <is>
          <t>—</t>
        </is>
      </c>
      <c r="S26" s="68" t="inlineStr">
        <is>
          <t>High
(FSIS+MPI 8-06)</t>
        </is>
      </c>
      <c r="T26"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110" t="inlineStr">
        <is>
          <t>NO · ~252 mi ≈</t>
        </is>
      </c>
      <c r="F28" s="143" t="inlineStr">
        <is>
          <t>confirm</t>
        </is>
      </c>
      <c r="G28" s="68" t="inlineStr">
        <is>
          <t>Yes</t>
        </is>
      </c>
      <c r="H28" s="68" t="inlineStr">
        <is>
          <t>NOT in the FSIS MPI directory
('USDA ✓' is WITHDRAWN)</t>
        </is>
      </c>
      <c r="I28" s="68" t="inlineStr">
        <is>
          <t>None found in public sources</t>
        </is>
      </c>
      <c r="J28" s="68" t="inlineStr">
        <is>
          <t>Not on public export lists — verify w/ APHIS VS</t>
        </is>
      </c>
      <c r="K28" s="68" t="inlineStr">
        <is>
          <t>Multi-generation family since ~1947 — strong culture signal</t>
        </is>
      </c>
      <c r="L28" s="68" t="inlineStr">
        <is>
          <t>Not noted</t>
        </is>
      </c>
      <c r="M28" s="68" t="inlineStr">
        <is>
          <t>Possible (space unverified)</t>
        </is>
      </c>
      <c r="N28" s="68" t="inlineStr">
        <is>
          <t>Good — established slaughter + custom</t>
        </is>
      </c>
      <c r="O28" s="68" t="inlineStr">
        <is>
          <t>803-356-3216
caughmans.com</t>
        </is>
      </c>
      <c r="P28" s="140" t="inlineStr">
        <is>
          <t>CAUTION</t>
        </is>
      </c>
      <c r="Q28" s="178" t="inlineStr">
        <is>
          <t>Back-pool — passes no current tier; see Fit and notes for what a call would need to change.</t>
        </is>
      </c>
      <c r="R28" s="179" t="inlineStr">
        <is>
          <t>—</t>
        </is>
      </c>
      <c r="S28" s="68" t="inlineStr">
        <is>
          <t>Med-High
(FSIS+MPI 8-06)</t>
        </is>
      </c>
      <c r="T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72" customHeight="1" s="59">
      <c r="A29" s="4" t="inlineStr">
        <is>
          <t>Knockout Butchery</t>
        </is>
      </c>
      <c r="B29" s="68" t="inlineStr">
        <is>
          <t>Roebuck, SC</t>
        </is>
      </c>
      <c r="C29" s="68" t="inlineStr">
        <is>
          <t>USDA custom processing</t>
        </is>
      </c>
      <c r="D29" s="68" t="inlineStr">
        <is>
          <t>&lt;19/wk
(FSIS cat 1)</t>
        </is>
      </c>
      <c r="E29" s="110" t="inlineStr">
        <is>
          <t>NO · ~222 mi ≈</t>
        </is>
      </c>
      <c r="F29" s="139" t="inlineStr">
        <is>
          <t>0-300/wk (&lt;19)</t>
        </is>
      </c>
      <c r="G29" s="68" t="inlineStr">
        <is>
          <t>SOW (fresh FSIS flags 2026-09-03;
re-granted 11/24/2025 —
earlier 'no swine flags' superseded)</t>
        </is>
      </c>
      <c r="H29" s="68" t="inlineStr">
        <is>
          <t>USDA ✓ M2866 + P2866</t>
        </is>
      </c>
      <c r="I29" s="68" t="inlineStr">
        <is>
          <t>None found in public sources</t>
        </is>
      </c>
      <c r="J29" s="68" t="inlineStr">
        <is>
          <t>Not on public export lists — verify</t>
        </is>
      </c>
      <c r="K29" s="68" t="inlineStr">
        <is>
          <t>'Careful handling'; recent capacity investment (trade press)</t>
        </is>
      </c>
      <c r="L29" s="68" t="inlineStr">
        <is>
          <t>Not noted</t>
        </is>
      </c>
      <c r="M29" s="68" t="inlineStr">
        <is>
          <t>Ask</t>
        </is>
      </c>
      <c r="N29" s="68" t="inlineStr">
        <is>
          <t>Likely B</t>
        </is>
      </c>
      <c r="O29" s="68" t="inlineStr">
        <is>
          <t>864-410-7068
knockoutbutchery.com</t>
        </is>
      </c>
      <c r="P29" s="140" t="inlineStr">
        <is>
          <t>CAUTION</t>
        </is>
      </c>
      <c r="Q29" s="178" t="inlineStr">
        <is>
          <t>Not a candidate for now — far-west SC (~250 mi), cat 1; note the fresh 11/2025 re-grant added a SOW flag.</t>
        </is>
      </c>
      <c r="R29" s="179" t="inlineStr">
        <is>
          <t>—</t>
        </is>
      </c>
      <c r="S29" s="68" t="inlineStr">
        <is>
          <t>High
(FSIS+MPI 8-06)</t>
        </is>
      </c>
      <c r="T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45.2" customHeight="1" s="59">
      <c r="A30" s="138" t="inlineStr">
        <is>
          <t>Back Forty Butchery
(FSIS lists 'Back 40 Butchery')</t>
        </is>
      </c>
      <c r="B30" s="68" t="inlineStr">
        <is>
          <t>Hodges, SC</t>
        </is>
      </c>
      <c r="C30" s="68" t="inlineStr">
        <is>
          <t>USDA processing</t>
        </is>
      </c>
      <c r="D30" s="68" t="inlineStr">
        <is>
          <t>&lt;19/wk
(FSIS cat 1)</t>
        </is>
      </c>
      <c r="E30" s="110" t="inlineStr">
        <is>
          <t>NO · ~268 mi ≈</t>
        </is>
      </c>
      <c r="F30" s="139" t="inlineStr">
        <is>
          <t>0-300/wk (&lt;19)</t>
        </is>
      </c>
      <c r="G30" s="68" t="inlineStr">
        <is>
          <t>MARKET only</t>
        </is>
      </c>
      <c r="H30" s="68" t="inlineStr">
        <is>
          <t>USDA ✓ M46060</t>
        </is>
      </c>
      <c r="I30" s="68" t="inlineStr">
        <is>
          <t>None found (Est. M46060)</t>
        </is>
      </c>
      <c r="J30" s="68" t="inlineStr">
        <is>
          <t>Not on public export lists — verify</t>
        </is>
      </c>
      <c r="K30" s="68" t="inlineStr">
        <is>
          <t>Not addressed</t>
        </is>
      </c>
      <c r="L30" s="68" t="inlineStr">
        <is>
          <t>Not noted</t>
        </is>
      </c>
      <c r="M30" s="68" t="inlineStr">
        <is>
          <t>Ask</t>
        </is>
      </c>
      <c r="N30" s="68" t="inlineStr">
        <is>
          <t>B if slaughter on-site</t>
        </is>
      </c>
      <c r="O30" s="68" t="inlineStr">
        <is>
          <t>864-374-3571</t>
        </is>
      </c>
      <c r="P30" s="23" t="inlineStr">
        <is>
          <t>POSSIBLE</t>
        </is>
      </c>
      <c r="Q30" s="178" t="inlineStr">
        <is>
          <t>Back-pool — passes no current tier; see Fit and notes for what a call would need to change.</t>
        </is>
      </c>
      <c r="R30" s="179" t="inlineStr">
        <is>
          <t>—</t>
        </is>
      </c>
      <c r="S30" s="68" t="inlineStr">
        <is>
          <t>High
(FSIS+MPI 8-06)</t>
        </is>
      </c>
      <c r="T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45.2" customHeight="1" s="59">
      <c r="A31" s="4" t="inlineStr">
        <is>
          <t>601 Deer and Hog Processors</t>
        </is>
      </c>
      <c r="B31" s="68" t="inlineStr">
        <is>
          <t>Fort Motte, SC</t>
        </is>
      </c>
      <c r="C31" s="68" t="inlineStr">
        <is>
          <t>Deer/game + hog (likely custom-exempt)</t>
        </is>
      </c>
      <c r="D31" s="68" t="inlineStr">
        <is>
          <t>unknown</t>
        </is>
      </c>
      <c r="E31" s="110" t="inlineStr">
        <is>
          <t>NO · ~222 mi ≈</t>
        </is>
      </c>
      <c r="F31" s="143" t="inlineStr">
        <is>
          <t>confirm</t>
        </is>
      </c>
      <c r="G31" s="68" t="inlineStr">
        <is>
          <t>Yes</t>
        </is>
      </c>
      <c r="H31" s="68" t="inlineStr">
        <is>
          <t>likely custom-
exempt (flag)</t>
        </is>
      </c>
      <c r="I31" s="68" t="inlineStr">
        <is>
          <t>None found (business also appears closed)</t>
        </is>
      </c>
      <c r="J31" s="68" t="inlineStr">
        <is>
          <t>Not on public export lists — verify</t>
        </is>
      </c>
      <c r="K31" s="68" t="inlineStr">
        <is>
          <t>Family (McDonald, since 2001)</t>
        </is>
      </c>
      <c r="L31" s="68" t="inlineStr">
        <is>
          <t>Not noted</t>
        </is>
      </c>
      <c r="M31" s="68" t="inlineStr">
        <is>
          <t>If own kills</t>
        </is>
      </c>
      <c r="N31" s="68" t="inlineStr">
        <is>
          <t>B if USDA confirmed</t>
        </is>
      </c>
      <c r="O31" s="68" t="inlineStr">
        <is>
          <t>803-707-1040</t>
        </is>
      </c>
      <c r="P31" s="23" t="inlineStr">
        <is>
          <t>CAUTION</t>
        </is>
      </c>
      <c r="Q31" s="178" t="inlineStr">
        <is>
          <t>Back-pool — passes no current tier; see Fit and notes for what a call would need to change.</t>
        </is>
      </c>
      <c r="R31" s="179" t="inlineStr">
        <is>
          <t>—</t>
        </is>
      </c>
      <c r="S31" s="68" t="inlineStr">
        <is>
          <t>Low-Med
(study 8-03/05)</t>
        </is>
      </c>
      <c r="T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10" t="inlineStr">
        <is>
          <t>NO · ~184 mi ≈</t>
        </is>
      </c>
      <c r="F32" s="139" t="inlineStr">
        <is>
          <t>0-300/wk (&lt;19)</t>
        </is>
      </c>
      <c r="G32" s="68" t="inlineStr">
        <is>
          <t>MARKET + SOW + ROASTER + boar/stag
(all four classes)</t>
        </is>
      </c>
      <c r="H32" s="68" t="inlineStr">
        <is>
          <t>USDA ✓ but
SUSPENDED 2022</t>
        </is>
      </c>
      <c r="I32" s="25" t="inlineStr">
        <is>
          <t>⚠ Humane-handling NOS Feb &amp; Mar 2022 (Est. M47715); PETA sought criminal probe. Also the slaughter suspension.</t>
        </is>
      </c>
      <c r="J32" s="68" t="inlineStr">
        <is>
          <t>Not on public export lists — verify (slaughter susp. 2022)</t>
        </is>
      </c>
      <c r="K32" s="68" t="inlineStr">
        <is>
          <t>unknown</t>
        </is>
      </c>
      <c r="L32" s="68" t="inlineStr">
        <is>
          <t>Not noted</t>
        </is>
      </c>
      <c r="M32" s="68" t="inlineStr">
        <is>
          <t>Unknown</t>
        </is>
      </c>
      <c r="N32" s="68" t="inlineStr">
        <is>
          <t>Unknown</t>
        </is>
      </c>
      <c r="O32" s="68" t="inlineStr">
        <is>
          <t>—</t>
        </is>
      </c>
      <c r="P32" s="28" t="inlineStr">
        <is>
          <t>OUT / FLAG</t>
        </is>
      </c>
      <c r="Q32" s="178" t="inlineStr">
        <is>
          <t>Not a candidate — fails a hard gate or adds nothing vs the base (see notes).</t>
        </is>
      </c>
      <c r="R32" s="179" t="inlineStr">
        <is>
          <t>—</t>
        </is>
      </c>
      <c r="S32" s="68" t="inlineStr">
        <is>
          <t>High
(FSIS+MPI 8-06)</t>
        </is>
      </c>
      <c r="T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72" customHeight="1" s="59">
      <c r="A33" s="138" t="inlineStr">
        <is>
          <t>Williamsburg Packing Company, Inc.</t>
        </is>
      </c>
      <c r="B33" s="68" t="inlineStr">
        <is>
          <t>Kingstree, SC (Williamsburg)</t>
        </is>
      </c>
      <c r="C33" s="68" t="inlineStr">
        <is>
          <t>USDA federal slaughter + processing</t>
        </is>
      </c>
      <c r="D33" s="68" t="inlineStr">
        <is>
          <t>192-1,917/wk (FSIS cat 3,
ALL-SPECIES aggregate —
hog share unknown)</t>
        </is>
      </c>
      <c r="E33" s="110" t="inlineStr">
        <is>
          <t>NO · ~213 mi ≈
(Pikeville: ~190 mi)</t>
        </is>
      </c>
      <c r="F33" s="143" t="inlineStr">
        <is>
          <t>confirm
(federal band ≤1,917 — hog
share is the call question)</t>
        </is>
      </c>
      <c r="G33" s="68" t="inlineStr">
        <is>
          <t>ALL FOUR hog classes
(market+sow+roaster+boar/stag,
FSIS flags 2026-09-03)</t>
        </is>
      </c>
      <c r="H33" s="68" t="inlineStr">
        <is>
          <t>USDA ✓ M4005 + P4005 + V4005
(V = voluntary grant — the
research-tissue mechanism)</t>
        </is>
      </c>
      <c r="I33" s="25" t="inlineStr">
        <is>
          <t>No enforcement found. Earlier welfare-CERTIFICATION marketing claims were refuted (claims, not violations) — do not lead with welfare.</t>
        </is>
      </c>
      <c r="J33" s="68" t="inlineStr">
        <is>
          <t>FULL export path (federal)</t>
        </is>
      </c>
      <c r="K33" s="68" t="inlineStr">
        <is>
          <t>Do not lead with welfare (see enforcement col).</t>
        </is>
      </c>
      <c r="L33" s="68" t="inlineStr">
        <is>
          <t>Unknown — the call decides; V4005 is directly relevant to research tissue</t>
        </is>
      </c>
      <c r="M33" s="68" t="inlineStr">
        <is>
          <t>No (190 road mi — outside the radius)</t>
        </is>
      </c>
      <c r="N33" s="68" t="inlineStr">
        <is>
          <t>B-T candidate if the hog share is real</t>
        </is>
      </c>
      <c r="O33" s="68" t="inlineStr">
        <is>
          <t>(843) 355-6447</t>
        </is>
      </c>
      <c r="P33" s="140" t="inlineStr">
        <is>
          <t>POSSIBLE</t>
        </is>
      </c>
      <c r="Q33" s="178" t="inlineStr">
        <is>
          <t>TIER 2 — the ONLY non-incumbent cat-3 floor within ~200 mi, now showing all four swine classes. ONE call decides it: actual hogs/week (the cat-3 band is multi-species, so the hog number could disappoint).</t>
        </is>
      </c>
      <c r="R33" s="179" t="inlineStr">
        <is>
          <t>no website (williamsburgpacking.com is parked)</t>
        </is>
      </c>
      <c r="S33" s="68" t="inlineStr">
        <is>
          <t>Med-High
(FSIS/site 9-03)</t>
        </is>
      </c>
      <c r="T33" s="68" t="inlineStr">
        <is>
          <t>ADDED TO ROSTER 2026-09-03 (was rated but had no roster line). Fresh FSIS pull 2026-09-03: slaughter cat 3 with market+sow+roaster+boar/stag flags. Prior passes: category is an all-species aggregate — treat the hog share as UNKNOWN until the call; welfare-cert claims refuted 2026-08; voluntary grant V4005 is the non-amenable/research mechanism. See Rated Candidates.</t>
        </is>
      </c>
    </row>
    <row r="34" ht="85.40000000000001" customHeight="1" s="59">
      <c r="A34" s="138" t="inlineStr">
        <is>
          <t>Hemingway Locker Plant, LLC</t>
        </is>
      </c>
      <c r="B34" s="68" t="inlineStr">
        <is>
          <t>Hemingway, SC (Williamsburg)</t>
        </is>
      </c>
      <c r="C34" s="68" t="inlineStr">
        <is>
          <t>USDA federal locker plant (slaughter + processing)</t>
        </is>
      </c>
      <c r="D34" s="68" t="inlineStr">
        <is>
          <t>19-192/wk (FSIS cat 2)</t>
        </is>
      </c>
      <c r="E34" s="110" t="inlineStr">
        <is>
          <t>NO · ~201 mi ≈
(Pikeville: ~180 mi)</t>
        </is>
      </c>
      <c r="F34" s="139" t="inlineStr">
        <is>
          <t>0-300/wk (cat-2 ≤192)</t>
        </is>
      </c>
      <c r="G34" s="68" t="inlineStr">
        <is>
          <t>MARKET hogs</t>
        </is>
      </c>
      <c r="H34" s="68" t="inlineStr">
        <is>
          <t>USDA ✓ M34181
(grant 7/11/2022)</t>
        </is>
      </c>
      <c r="I34" s="25" t="inlineStr">
        <is>
          <t>ONE humane-handling action: NOS 7/2/2024 (first stun ineffective), held in abeyance 7/3/2024 after same-day corrective action — stunner replaced and retrained (FSIS letter retrieved 2026-09-03). Nothing since.</t>
        </is>
      </c>
      <c r="J34" s="68" t="inlineStr">
        <is>
          <t>FULL export path (federal)</t>
        </is>
      </c>
      <c r="K34" s="68" t="inlineStr">
        <is>
          <t>Single resolved 2024 event — discussion item, not exclusion.</t>
        </is>
      </c>
      <c r="L34" s="68" t="inlineStr">
        <is>
          <t>Unknown — locker-plant custom culture implies cut-to-spec basics</t>
        </is>
      </c>
      <c r="M34" s="68" t="inlineStr">
        <is>
          <t>No (180 road mi)</t>
        </is>
      </c>
      <c r="N34" s="68" t="inlineStr">
        <is>
          <t>B-T possibility; pair with a Williamsburg Packing trip (30 min apart)</t>
        </is>
      </c>
      <c r="O34" s="68" t="inlineStr">
        <is>
          <t>(843) 558-2751
Owner: Bobby McDaniel Jr.</t>
        </is>
      </c>
      <c r="P34" s="140" t="inlineStr">
        <is>
          <t>POSSIBLE</t>
        </is>
      </c>
      <c r="Q34" s="178" t="inlineStr">
        <is>
          <t>TIER 3 — NEW FIND 2026-09-03: a market-hog cat-2 federal floor missed by every earlier pass, 30 min from Williamsburg Packing — pair the two on one SC trip if Williamsburg's call goes well.</t>
        </is>
      </c>
      <c r="R34" s="179" t="inlineStr">
        <is>
          <t>no website (hemingwaylockerplant.com is parked)</t>
        </is>
      </c>
      <c r="S34" s="68" t="inlineStr">
        <is>
          <t>Med
(FSIS/site 9-03)</t>
        </is>
      </c>
      <c r="T34" s="68" t="inlineStr">
        <is>
          <t>ADDED TO ROSTER 2026-09-03 from the fresh FSIS pull (was never on any roster). Owner named in the 2024 FSIS letter. See Rated Candidates.</t>
        </is>
      </c>
    </row>
    <row r="35" ht="19.7" customHeight="1" s="59">
      <c r="A35" s="118" t="inlineStr">
        <is>
          <t>TENNESSEE — USDA-inspected hog-slaughter shops (small custom; Model B)</t>
        </is>
      </c>
    </row>
    <row r="36" ht="58.6" customHeight="1" s="59">
      <c r="A36" s="4" t="inlineStr">
        <is>
          <t>Fayette Packing Co., Inc.</t>
        </is>
      </c>
      <c r="B36" s="68" t="inlineStr">
        <is>
          <t>Eads, TN (Memphis area)</t>
        </is>
      </c>
      <c r="C36" s="68" t="inlineStr">
        <is>
          <t>USDA slaughter + processing</t>
        </is>
      </c>
      <c r="D36" s="68" t="inlineStr">
        <is>
          <t>&lt;19/wk
(FSIS cat 1) — 'largest of the TN
group' is REFUTED</t>
        </is>
      </c>
      <c r="E36" s="110" t="inlineStr">
        <is>
          <t>NO · ~710 mi ≈</t>
        </is>
      </c>
      <c r="F36" s="139" t="inlineStr">
        <is>
          <t>0-300/wk (&lt;19)</t>
        </is>
      </c>
      <c r="G36" s="68" t="inlineStr">
        <is>
          <t>MARKET + SOW + ROASTER + boar/stag
(all four classes)</t>
        </is>
      </c>
      <c r="H36" s="68" t="inlineStr">
        <is>
          <t>USDA ✓ M6555 + P34794</t>
        </is>
      </c>
      <c r="I36" s="25" t="inlineStr">
        <is>
          <t>⚠ Humane-handling NOS Apr 2023 (Est. M6555 — 4 stun attempts on a cow); held in abeyance.</t>
        </is>
      </c>
      <c r="J36" s="68" t="inlineStr">
        <is>
          <t>Not on public export lists — verify w/ APHIS VS</t>
        </is>
      </c>
      <c r="K36" s="68" t="inlineStr">
        <is>
          <t>Family since 1952 (3 generations, Keith) — strong culture</t>
        </is>
      </c>
      <c r="L36" s="68" t="inlineStr">
        <is>
          <t>Not noted</t>
        </is>
      </c>
      <c r="M36" s="68" t="inlineStr">
        <is>
          <t>Possible</t>
        </is>
      </c>
      <c r="N36" s="68" t="inlineStr">
        <is>
          <t>Good B</t>
        </is>
      </c>
      <c r="O36" s="68" t="inlineStr">
        <is>
          <t>901-867-3826
fayettepackingco.com</t>
        </is>
      </c>
      <c r="P36" s="23" t="inlineStr">
        <is>
          <t>POSSIBLE</t>
        </is>
      </c>
      <c r="Q36" s="178" t="inlineStr">
        <is>
          <t>Back-pool — passes no current tier; see Fit and notes for what a call would need to change.</t>
        </is>
      </c>
      <c r="R36" s="179" t="inlineStr">
        <is>
          <t>—</t>
        </is>
      </c>
      <c r="S36" s="68" t="inlineStr">
        <is>
          <t>High
(FSIS+MPI 8-06)</t>
        </is>
      </c>
      <c r="T36"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7" ht="72" customHeight="1" s="59">
      <c r="A37" s="4" t="inlineStr">
        <is>
          <t>Underground Slaughter / Processing</t>
        </is>
      </c>
      <c r="B37" s="68" t="inlineStr">
        <is>
          <t>Walling, TN</t>
        </is>
      </c>
      <c r="C37" s="68" t="inlineStr">
        <is>
          <t>USDA multi-species (growing)</t>
        </is>
      </c>
      <c r="D37" s="68" t="inlineStr">
        <is>
          <t>~192-1,917/wk
(FSIS cat 3)</t>
        </is>
      </c>
      <c r="E37" s="110" t="inlineStr">
        <is>
          <t>NO · ~454 mi ≈</t>
        </is>
      </c>
      <c r="F37" s="143" t="inlineStr">
        <is>
          <t>confirm (band ≤1,917)</t>
        </is>
      </c>
      <c r="G37" s="68" t="inlineStr">
        <is>
          <t>MARKET + SOW
(roaster: No, boar/stag: No)</t>
        </is>
      </c>
      <c r="H37" s="68" t="inlineStr">
        <is>
          <t>USDA ✓ M51351 + P51351</t>
        </is>
      </c>
      <c r="I37" s="68" t="inlineStr">
        <is>
          <t>None found (a logged FOIA request is not an enforcement action)</t>
        </is>
      </c>
      <c r="J37" s="68" t="inlineStr">
        <is>
          <t>Not on public export lists — verify</t>
        </is>
      </c>
      <c r="K37" s="68" t="inlineStr">
        <is>
          <t>Growing processor</t>
        </is>
      </c>
      <c r="L37" s="68" t="inlineStr">
        <is>
          <t>Not noted</t>
        </is>
      </c>
      <c r="M37" s="68" t="inlineStr">
        <is>
          <t>Possible</t>
        </is>
      </c>
      <c r="N37" s="68" t="inlineStr">
        <is>
          <t>Good B</t>
        </is>
      </c>
      <c r="O37" s="68" t="inlineStr">
        <is>
          <t>931-330-6328</t>
        </is>
      </c>
      <c r="P37" s="140" t="inlineStr">
        <is>
          <t>POSSIBLE</t>
        </is>
      </c>
      <c r="Q37" s="178" t="inlineStr">
        <is>
          <t>TIER-3 (TN) — genuine cat-3 market+sow plant surfaced in 2026-08; never contacted; distance → Model B-T only.</t>
        </is>
      </c>
      <c r="R37" s="179" t="inlineStr">
        <is>
          <t>undergroundslaughter.com</t>
        </is>
      </c>
      <c r="S37" s="68" t="inlineStr">
        <is>
          <t>High
(FSIS+MPI 8-06)</t>
        </is>
      </c>
      <c r="T37" s="68" t="inlineStr">
        <is>
          <t>★ UPGRADED — this row was sitting at 'unknown' and is in fact one of the few genuinely MEDIUM-band plants in Tennessee. Active federal grant M51351 + P51351, market hogs AND sows both flagged, FSIS slaughter_volume_category = 3 = 10,000-99,999 head per 360 days, i.e. 192-1,917/wk. Worth a call for the Model B / secondary-region track. It is out of state, so it fails the 120-mile Model A preference.  [Verified 2026-08-06 against FSIS Establishment Demographic Data + MPI Directory by Establishment Number.]</t>
        </is>
      </c>
    </row>
    <row r="38" ht="45.2" customHeight="1" s="59">
      <c r="A38" s="4" t="inlineStr">
        <is>
          <t>Cherry Meat Company</t>
        </is>
      </c>
      <c r="B38" s="68" t="inlineStr">
        <is>
          <t>Chapel Hill, TN</t>
        </is>
      </c>
      <c r="C38" s="68" t="inlineStr">
        <is>
          <t>USDA slaughter + processing</t>
        </is>
      </c>
      <c r="D38" s="68" t="inlineStr">
        <is>
          <t>~18/wk (80/month verified)</t>
        </is>
      </c>
      <c r="E38" s="110" t="inlineStr">
        <is>
          <t>NO · ~547 mi ≈</t>
        </is>
      </c>
      <c r="F38" s="139" t="inlineStr">
        <is>
          <t>0-300/wk (~18)</t>
        </is>
      </c>
      <c r="G38" s="68" t="inlineStr">
        <is>
          <t>MARKET only
(sow: No, roaster: No)</t>
        </is>
      </c>
      <c r="H38" s="68" t="inlineStr">
        <is>
          <t>USDA ✓ M40106</t>
        </is>
      </c>
      <c r="I38" s="68" t="inlineStr">
        <is>
          <t>None found (very small; FSIS grant 2021)</t>
        </is>
      </c>
      <c r="J38" s="68" t="inlineStr">
        <is>
          <t>Not on public export lists — verify</t>
        </is>
      </c>
      <c r="K38" s="68" t="inlineStr">
        <is>
          <t>Family (Cherry / Bear Creek Farm) — strong culture</t>
        </is>
      </c>
      <c r="L38" s="68" t="inlineStr">
        <is>
          <t>Not noted</t>
        </is>
      </c>
      <c r="M38" s="68" t="inlineStr">
        <is>
          <t>Low-vol</t>
        </is>
      </c>
      <c r="N38" s="68" t="inlineStr">
        <is>
          <t>Good B (high-touch)</t>
        </is>
      </c>
      <c r="O38" s="68" t="inlineStr">
        <is>
          <t>931-364-7924
cherrymeat.com</t>
        </is>
      </c>
      <c r="P38" s="23" t="inlineStr">
        <is>
          <t>POSSIBLE</t>
        </is>
      </c>
      <c r="Q38" s="178" t="inlineStr">
        <is>
          <t>Back-pool — passes no current tier; see Fit and notes for what a call would need to change.</t>
        </is>
      </c>
      <c r="R38" s="179" t="inlineStr">
        <is>
          <t>—</t>
        </is>
      </c>
      <c r="S38" s="68" t="inlineStr">
        <is>
          <t>High
(study 8-03/05)</t>
        </is>
      </c>
      <c r="T38" s="68" t="inlineStr">
        <is>
          <t>SMALL tier — verified ~80 hogs/MONTH (~18/wk). With capacity now open this is a legitimate high-touch, family-culture option for pilot or specialty work; it simply cannot carry volume alone.</t>
        </is>
      </c>
    </row>
    <row r="39" ht="72" customHeight="1" s="59">
      <c r="A39" s="4" t="inlineStr">
        <is>
          <t>Other TN USDA hog shops (roll-up)</t>
        </is>
      </c>
      <c r="B39" s="68" t="inlineStr">
        <is>
          <t>various, TN</t>
        </is>
      </c>
      <c r="C39" s="68" t="inlineStr">
        <is>
          <t>USDA small custom slaughter</t>
        </is>
      </c>
      <c r="D39" s="68" t="inlineStr">
        <is>
          <t>unknown (tens–low 100s/wk est.)</t>
        </is>
      </c>
      <c r="E39" s="110" t="inlineStr">
        <is>
          <t>NO · ~2846 mi ≈</t>
        </is>
      </c>
      <c r="F39" s="139" t="inlineStr">
        <is>
          <t>0-300/wk (est.)</t>
        </is>
      </c>
      <c r="G39" s="68" t="inlineStr">
        <is>
          <t>Yes</t>
        </is>
      </c>
      <c r="H39" s="68" t="inlineStr">
        <is>
          <t>USDA ✓</t>
        </is>
      </c>
      <c r="I39" s="25" t="inlineStr">
        <is>
          <t>⚠ Harris Country Meats (Greeneville, M20686): humane NOS 2024. Volunteer/412 (Lexington, M6561): humane NOS Nov 2024. Others: none found.</t>
        </is>
      </c>
      <c r="J39" s="68" t="inlineStr">
        <is>
          <t>Not on public export lists — verify each w/ APHIS VS</t>
        </is>
      </c>
      <c r="K39" s="68" t="inlineStr">
        <is>
          <t>Small family shops</t>
        </is>
      </c>
      <c r="L39" s="68" t="inlineStr">
        <is>
          <t>Not noted</t>
        </is>
      </c>
      <c r="M39" s="68" t="inlineStr">
        <is>
          <t>Possible</t>
        </is>
      </c>
      <c r="N39" s="68" t="inlineStr">
        <is>
          <t>B</t>
        </is>
      </c>
      <c r="O39" s="68" t="inlineStr">
        <is>
          <t>see notes →</t>
        </is>
      </c>
      <c r="P39" s="23" t="inlineStr">
        <is>
          <t>POSSIBLE</t>
        </is>
      </c>
      <c r="Q39" s="178" t="inlineStr">
        <is>
          <t>Context roll-up — not an individual candidate.</t>
        </is>
      </c>
      <c r="R39" s="179" t="inlineStr">
        <is>
          <t>—</t>
        </is>
      </c>
      <c r="S39" s="68" t="inlineStr">
        <is>
          <t>Low-Med
(study 8-03/05)</t>
        </is>
      </c>
      <c r="T39"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40" ht="19.7" customHeight="1" s="59">
      <c r="A40" s="118" t="inlineStr">
        <is>
          <t>VIRGINIA — strongest welfare bench (humane-certified USDA abattoirs; Model B)</t>
        </is>
      </c>
    </row>
    <row r="41" ht="85.40000000000001" customHeight="1" s="59">
      <c r="A41" s="4" t="inlineStr">
        <is>
          <t>EcoFriendly Foods, LLC</t>
        </is>
      </c>
      <c r="B41" s="68" t="inlineStr">
        <is>
          <t>Moneta, VA</t>
        </is>
      </c>
      <c r="C41" s="68" t="inlineStr">
        <is>
          <t>USDA + Certified Humane multi-species harvest</t>
        </is>
      </c>
      <c r="D41" s="68" t="inlineStr">
        <is>
          <t>~192-1,917/wk
(FSIS cat 3)</t>
        </is>
      </c>
      <c r="E41" s="88" t="inlineStr">
        <is>
          <t>YES · ~112 mi ≈ (borderline)</t>
        </is>
      </c>
      <c r="F41" s="143" t="inlineStr">
        <is>
          <t>confirm (band ≤1,917)</t>
        </is>
      </c>
      <c r="G41" s="68" t="inlineStr">
        <is>
          <t>MARKET + SOW + ROASTER + boar/stag
(all four classes)</t>
        </is>
      </c>
      <c r="H41" s="68" t="inlineStr">
        <is>
          <t>USDA ✓ M21938 + P21938</t>
        </is>
      </c>
      <c r="I41" s="68" t="inlineStr">
        <is>
          <t>None found in FSIS/recall/AWI — BUT reportedly CEASED operations / bankruptcy ~2020. Verify still operating!</t>
        </is>
      </c>
      <c r="J41" s="68" t="inlineStr">
        <is>
          <t>Not on public export lists — verify (and confirm still operating)</t>
        </is>
      </c>
      <c r="K41" s="68" t="inlineStr">
        <is>
          <t>CERTIFIED HUMANE — strongest welfare match in the study</t>
        </is>
      </c>
      <c r="L41" s="68" t="inlineStr">
        <is>
          <t>Custom multi-species harvest for outside producers</t>
        </is>
      </c>
      <c r="M41" s="68" t="inlineStr">
        <is>
          <t>Worth asking (A)</t>
        </is>
      </c>
      <c r="N41" s="68" t="inlineStr">
        <is>
          <t>Excellent B (already does custom harvest)</t>
        </is>
      </c>
      <c r="O41" s="68" t="inlineStr">
        <is>
          <t>540-525-0352
ecofriendly.com</t>
        </is>
      </c>
      <c r="P41" s="140" t="inlineStr">
        <is>
          <t>POSSIBLE</t>
        </is>
      </c>
      <c r="Q41" s="178" t="inlineStr">
        <is>
          <t>TIER-2-ADJACENT (VA) — all four hog classes at cat-3 volume, the strongest VA option and welfare-branded; 198 mi → Model B-T only. Site live 2026-09-03 (contradicts the old 'ceased ~2020' rumor again).</t>
        </is>
      </c>
      <c r="R41" s="179" t="inlineStr">
        <is>
          <t>ecofriendly.com</t>
        </is>
      </c>
      <c r="S41" s="68" t="inlineStr">
        <is>
          <t>High
(FSIS+MPI 8-06)</t>
        </is>
      </c>
      <c r="T41" s="68" t="inlineStr">
        <is>
          <t>★ UPGRADED from SMALL/unknown. Active federal grant M21938 + P21938 with ALL FOUR swine classes flagged, and FSIS slaughter_volume_category = 3 = 192-1,917/wk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t>
        </is>
      </c>
    </row>
    <row r="42" ht="85.40000000000001" customHeight="1" s="59">
      <c r="A42" s="4" t="inlineStr">
        <is>
          <t>T&amp;E Meats (True &amp; Essential)</t>
        </is>
      </c>
      <c r="B42" s="68" t="inlineStr">
        <is>
          <t>Harrisonburg, VA</t>
        </is>
      </c>
      <c r="C42" s="68" t="inlineStr">
        <is>
          <t>USDA + AWA slaughter + processing</t>
        </is>
      </c>
      <c r="D42" s="68" t="inlineStr">
        <is>
          <t>~19-192/wk
(FSIS cat 2)</t>
        </is>
      </c>
      <c r="E42" s="110" t="inlineStr">
        <is>
          <t>NO · ~218 mi ≈</t>
        </is>
      </c>
      <c r="F42" s="139" t="inlineStr">
        <is>
          <t>0-300/wk (≤192)</t>
        </is>
      </c>
      <c r="G42" s="68" t="inlineStr">
        <is>
          <t>MARKET + SOW + ROASTER + boar/stag
(all four classes)</t>
        </is>
      </c>
      <c r="H42" s="68" t="inlineStr">
        <is>
          <t>USDA ✓ M7420 + V7420
(FSIS lists 'Honest Meats, LLC')</t>
        </is>
      </c>
      <c r="I42" s="68" t="inlineStr">
        <is>
          <t>None found in public sources</t>
        </is>
      </c>
      <c r="J42" s="68" t="inlineStr">
        <is>
          <t>Not on public export lists — verify w/ APHIS VS</t>
        </is>
      </c>
      <c r="K42" s="68" t="inlineStr">
        <is>
          <t>AWA humane; mission-driven independent (Salatin/Cloud); site since 1930s — very strong</t>
        </is>
      </c>
      <c r="L42" s="68" t="inlineStr">
        <is>
          <t>Not noted</t>
        </is>
      </c>
      <c r="M42" s="68" t="inlineStr">
        <is>
          <t>Worth asking (A)</t>
        </is>
      </c>
      <c r="N42" s="68" t="inlineStr">
        <is>
          <t>Excellent B</t>
        </is>
      </c>
      <c r="O42" s="68" t="inlineStr">
        <is>
          <t>540-434-4415
temeats.com</t>
        </is>
      </c>
      <c r="P42" s="20" t="inlineStr">
        <is>
          <t>STRONG FIT</t>
        </is>
      </c>
      <c r="Q42" s="178" t="inlineStr">
        <is>
          <t>Back-pool — passes no current tier; see Fit and notes for what a call would need to change.</t>
        </is>
      </c>
      <c r="R42" s="179" t="inlineStr">
        <is>
          <t>—</t>
        </is>
      </c>
      <c r="S42" s="68" t="inlineStr">
        <is>
          <t>High
(FSIS+MPI 8-06)</t>
        </is>
      </c>
      <c r="T42"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(~19-192/wk). DO NOT REACH.  [Verified 2026-08-06 against FSIS Establishment Demographic Data + MPI Directory by Establishment Number.]</t>
        </is>
      </c>
    </row>
    <row r="43" ht="45.2" customHeight="1" s="59">
      <c r="A43" s="4" t="inlineStr">
        <is>
          <t>Blue Ridge Meats of Front Royal</t>
        </is>
      </c>
      <c r="B43" s="68" t="inlineStr">
        <is>
          <t>Middletown, VA</t>
        </is>
      </c>
      <c r="C43" s="68" t="inlineStr">
        <is>
          <t>USDA + AWA abattoir</t>
        </is>
      </c>
      <c r="D43" s="68" t="inlineStr">
        <is>
          <t>&lt;19/wk
(FSIS cat 1)</t>
        </is>
      </c>
      <c r="E43" s="110" t="inlineStr">
        <is>
          <t>NO · ~272 mi ≈</t>
        </is>
      </c>
      <c r="F43" s="139" t="inlineStr">
        <is>
          <t>0-300/wk (&lt;19)</t>
        </is>
      </c>
      <c r="G43" s="68" t="inlineStr">
        <is>
          <t>MARKET + SOW + boar/stag</t>
        </is>
      </c>
      <c r="H43" s="68" t="inlineStr">
        <is>
          <t>USDA ✓ M6526</t>
        </is>
      </c>
      <c r="I43" s="68" t="inlineStr">
        <is>
          <t>None found (do NOT confuse with 'Blue Ridge Beef' pet-food recalls)</t>
        </is>
      </c>
      <c r="J43" s="68" t="inlineStr">
        <is>
          <t>Not on public export lists — verify</t>
        </is>
      </c>
      <c r="K43" s="68" t="inlineStr">
        <is>
          <t>AWA-approved (humane) since 2006</t>
        </is>
      </c>
      <c r="L43" s="68" t="inlineStr">
        <is>
          <t>Not noted</t>
        </is>
      </c>
      <c r="M43" s="68" t="inlineStr">
        <is>
          <t>Mobile-slaughter option</t>
        </is>
      </c>
      <c r="N43" s="68" t="inlineStr">
        <is>
          <t>Strong B</t>
        </is>
      </c>
      <c r="O43" s="68" t="inlineStr">
        <is>
          <t>540-636-6050
blueridgemeats.com</t>
        </is>
      </c>
      <c r="P43" s="20" t="inlineStr">
        <is>
          <t>STRONG FIT</t>
        </is>
      </c>
      <c r="Q43" s="178" t="inlineStr">
        <is>
          <t>Back-pool — passes no current tier; see Fit and notes for what a call would need to change.</t>
        </is>
      </c>
      <c r="R43" s="179" t="inlineStr">
        <is>
          <t>—</t>
        </is>
      </c>
      <c r="S43" s="68" t="inlineStr">
        <is>
          <t>High
(FSIS+MPI 8-06)</t>
        </is>
      </c>
      <c r="T43" s="68" t="inlineStr">
        <is>
          <t>RESOLVED: active federal grant M6526, Middletown VA, market/sow/boar flagged, slaughter_volume_category = 1 = under ~19/wk.  [Verified 2026-08-06 against FSIS Establishment Demographic Data + MPI Directory by Establishment Number.]</t>
        </is>
      </c>
    </row>
    <row r="44" ht="45.2" customHeight="1" s="59">
      <c r="A44" s="4" t="inlineStr">
        <is>
          <t>Fauquier's Finest Custom Meat</t>
        </is>
      </c>
      <c r="B44" s="68" t="inlineStr">
        <is>
          <t>Bealeton, VA</t>
        </is>
      </c>
      <c r="C44" s="68" t="inlineStr">
        <is>
          <t>USDA/FSIS slaughter + processing</t>
        </is>
      </c>
      <c r="D44" s="68" t="inlineStr">
        <is>
          <t>unknown</t>
        </is>
      </c>
      <c r="E44" s="110" t="inlineStr">
        <is>
          <t>NO · ~233 mi ≈</t>
        </is>
      </c>
      <c r="F44" s="143" t="inlineStr">
        <is>
          <t>confirm (data anomaly)</t>
        </is>
      </c>
      <c r="G44" s="68" t="inlineStr">
        <is>
          <t>Yes</t>
        </is>
      </c>
      <c r="H44" s="68" t="inlineStr">
        <is>
          <t>USDA ✓ (FSIS
slaughter listed)</t>
        </is>
      </c>
      <c r="I44" s="25" t="inlineStr">
        <is>
          <t>⚠ REPEAT humane-handling suspensions 2021 &amp; Dec 2024 (+ a 2018 violation). Est. M33940.</t>
        </is>
      </c>
      <c r="J44" s="68" t="inlineStr">
        <is>
          <t>FSIS Est. M33940; not on public export lists — verify</t>
        </is>
      </c>
      <c r="K44" s="68" t="inlineStr">
        <is>
          <t>Not noted</t>
        </is>
      </c>
      <c r="L44" s="68" t="inlineStr">
        <is>
          <t>Not noted</t>
        </is>
      </c>
      <c r="M44" s="68" t="inlineStr">
        <is>
          <t>Worth asking (A)</t>
        </is>
      </c>
      <c r="N44" s="68" t="inlineStr">
        <is>
          <t>Strong B</t>
        </is>
      </c>
      <c r="O44" s="68" t="inlineStr">
        <is>
          <t>540-439-7227
finestbutcher.com</t>
        </is>
      </c>
      <c r="P44" s="23" t="inlineStr">
        <is>
          <t>CAUTION</t>
        </is>
      </c>
      <c r="Q44" s="178" t="inlineStr">
        <is>
          <t>Back-pool — passes no current tier; see Fit and notes for what a call would need to change.</t>
        </is>
      </c>
      <c r="R44" s="179" t="inlineStr">
        <is>
          <t>—</t>
        </is>
      </c>
      <c r="S44" s="68" t="inlineStr">
        <is>
          <t>Med-High
(study 8-03/05)</t>
        </is>
      </c>
      <c r="T44" s="68" t="inlineStr">
        <is>
          <t>FSIS-listed for BOTH slaughter &amp; processing incl. hogs — BUT see enforcement: REPEAT humane-handling suspensions (2018, 2021, Dec 2024). A pattern that cuts against the welfare requirement — vet carefully before pursuing.</t>
        </is>
      </c>
    </row>
    <row r="45" ht="85.40000000000001" customHeight="1" s="59">
      <c r="A45" s="4" t="inlineStr">
        <is>
          <t>Other VA USDA slaughter (roll-up)</t>
        </is>
      </c>
      <c r="B45" s="68" t="inlineStr">
        <is>
          <t>various, VA</t>
        </is>
      </c>
      <c r="C45" s="68" t="inlineStr">
        <is>
          <t>USDA slaughter</t>
        </is>
      </c>
      <c r="D45" s="68" t="inlineStr">
        <is>
          <t>unknown</t>
        </is>
      </c>
      <c r="E45" s="88" t="inlineStr">
        <is>
          <t>YES · ~95 mi ≈</t>
        </is>
      </c>
      <c r="F45" s="143" t="inlineStr">
        <is>
          <t>confirm</t>
        </is>
      </c>
      <c r="G45" s="68" t="inlineStr">
        <is>
          <t>Yes (confirm per-facility)</t>
        </is>
      </c>
      <c r="H45" s="68" t="inlineStr">
        <is>
          <t>USDA ✓</t>
        </is>
      </c>
      <c r="I45" s="25" t="inlineStr">
        <is>
          <t>⚠ Donald's Meat Processing (Lexington, M39968): repeat humane suspension 2023 → 3-yr consent decision. Others: none found.</t>
        </is>
      </c>
      <c r="J45" s="68" t="inlineStr">
        <is>
          <t>Not on public export lists — verify each</t>
        </is>
      </c>
      <c r="K45" s="68" t="inlineStr">
        <is>
          <t>Varies</t>
        </is>
      </c>
      <c r="L45" s="68" t="inlineStr">
        <is>
          <t>Not noted</t>
        </is>
      </c>
      <c r="M45" s="68" t="inlineStr">
        <is>
          <t>Possible</t>
        </is>
      </c>
      <c r="N45" s="68" t="inlineStr">
        <is>
          <t>B</t>
        </is>
      </c>
      <c r="O45" s="68" t="inlineStr">
        <is>
          <t>see notes →</t>
        </is>
      </c>
      <c r="P45" s="23" t="inlineStr">
        <is>
          <t>POSSIBLE</t>
        </is>
      </c>
      <c r="Q45" s="178" t="inlineStr">
        <is>
          <t>Context roll-up — not an individual candidate.</t>
        </is>
      </c>
      <c r="R45" s="179" t="inlineStr">
        <is>
          <t>—</t>
        </is>
      </c>
      <c r="S45" s="68" t="inlineStr">
        <is>
          <t>Low-Med
(study 8-03/05)</t>
        </is>
      </c>
      <c r="T45"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6" ht="58.6" customHeight="1" s="59">
      <c r="A46" s="4" t="inlineStr">
        <is>
          <t>VA state-inspected (roll-up)</t>
        </is>
      </c>
      <c r="B46" s="68" t="inlineStr">
        <is>
          <t>various, VA</t>
        </is>
      </c>
      <c r="C46" s="68" t="inlineStr">
        <is>
          <t>STATE-inspected slaughter (NOT USDA)</t>
        </is>
      </c>
      <c r="D46" s="68" t="inlineStr">
        <is>
          <t>unknown</t>
        </is>
      </c>
      <c r="E46" s="88" t="inlineStr">
        <is>
          <t>YES · ~95 mi ≈</t>
        </is>
      </c>
      <c r="F46" s="143" t="inlineStr">
        <is>
          <t>confirm</t>
        </is>
      </c>
      <c r="G46" s="68" t="inlineStr">
        <is>
          <t>Yes</t>
        </is>
      </c>
      <c r="H46" s="68" t="inlineStr">
        <is>
          <t>STATE only
(NOT USDA)</t>
        </is>
      </c>
      <c r="I46" s="68" t="inlineStr">
        <is>
          <t>Not in FSIS federal enforcement data (state-inspected) — check VDACS state records</t>
        </is>
      </c>
      <c r="J46" s="112" t="inlineStr">
        <is>
          <t>⛔ State-inspected, non-NC — NOT accepted as equivalent. Needs USDA/FSIS to qualify for Path 1.</t>
        </is>
      </c>
      <c r="K46" s="68" t="inlineStr">
        <is>
          <t>Varies</t>
        </is>
      </c>
      <c r="L46" s="68" t="inlineStr">
        <is>
          <t>Not noted</t>
        </is>
      </c>
      <c r="M46" s="68" t="inlineStr">
        <is>
          <t>Possible</t>
        </is>
      </c>
      <c r="N46" s="68" t="inlineStr">
        <is>
          <t>B</t>
        </is>
      </c>
      <c r="O46" s="68" t="inlineStr">
        <is>
          <t>see notes →</t>
        </is>
      </c>
      <c r="P46" s="23" t="inlineStr">
        <is>
          <t>CAUTION</t>
        </is>
      </c>
      <c r="Q46" s="178" t="inlineStr">
        <is>
          <t>Context roll-up — not an individual candidate.</t>
        </is>
      </c>
      <c r="R46" s="179" t="inlineStr">
        <is>
          <t>—</t>
        </is>
      </c>
      <c r="S46" s="68" t="inlineStr">
        <is>
          <t>Low
(study 8-03/05)</t>
        </is>
      </c>
      <c r="T46"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7" ht="19.7" customHeight="1" s="59">
      <c r="A47" s="118" t="inlineStr">
        <is>
          <t>IOWA &amp; MIDWEST — best fits (dedicated organ / tissue harvesters)</t>
        </is>
      </c>
    </row>
    <row r="48" ht="139" customHeight="1" s="59">
      <c r="A48" s="4" t="inlineStr">
        <is>
          <t>Midwest Research Swine (DBA of Collagen Solutions / Evergen)</t>
        </is>
      </c>
      <c r="B48" s="68" t="inlineStr">
        <is>
          <t>Glencoe / Gibbon, MN</t>
        </is>
      </c>
      <c r="C48" s="68" t="inlineStr">
        <is>
          <t>Porcine-ONLY abattoir + tissue-harvest facility</t>
        </is>
      </c>
      <c r="D48" s="68" t="inlineStr">
        <is>
          <t>~19-192/wk
(FSIS cat 2 ceiling — the
'20,000/yr ≈ 385/wk' figure
EXCEEDS it)</t>
        </is>
      </c>
      <c r="E48" s="111" t="inlineStr">
        <is>
          <t>confirm
(Durham: n/m)</t>
        </is>
      </c>
      <c r="F48" s="139" t="inlineStr">
        <is>
          <t>0-300/wk (cat-2 ≤192)</t>
        </is>
      </c>
      <c r="G48" s="68" t="inlineStr">
        <is>
          <t>MARKET + ROASTER
(sow: No, boar/stag: No)</t>
        </is>
      </c>
      <c r="H48" s="68" t="inlineStr">
        <is>
          <t>meat insp.
unconfirmed</t>
        </is>
      </c>
      <c r="I48" s="68" t="inlineStr">
        <is>
          <t>None found (small research facility; rarely in enforcement data)</t>
        </is>
      </c>
      <c r="J48"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K48" s="68" t="inlineStr">
        <is>
          <t>Strong — closed herd, stringent QC; family (Theis, since 1978), ~20 staff</t>
        </is>
      </c>
      <c r="L48" s="68" t="inlineStr">
        <is>
          <t>YES — CORE BUSINESS: whole organs (decellularization), veins/arteries for implantation, mesh tissue, bio-samples; xeno/vaccine/stem-cell research</t>
        </is>
      </c>
      <c r="M48" s="68" t="inlineStr">
        <is>
          <t>Plausible (has harvest facility)</t>
        </is>
      </c>
      <c r="N48" s="68" t="inlineStr">
        <is>
          <t>Best fit — harvest to spec</t>
        </is>
      </c>
      <c r="O48" s="68" t="inlineStr">
        <is>
          <t>midwestresearchswine.com
(phone via site)</t>
        </is>
      </c>
      <c r="P48" s="20" t="inlineStr">
        <is>
          <t>STRONG FIT</t>
        </is>
      </c>
      <c r="Q48" s="178" t="inlineStr">
        <is>
          <t>Back-pool — passes no current tier; see Fit and notes for what a call would need to change.</t>
        </is>
      </c>
      <c r="R48" s="179" t="inlineStr">
        <is>
          <t>—</t>
        </is>
      </c>
      <c r="S48" s="68" t="inlineStr">
        <is>
          <t>High
(FSIS+MPI 8-06)</t>
        </is>
      </c>
      <c r="T48" s="68" t="inlineStr">
        <is>
          <t>VOLUME CORRECTED DOWNWARD. FSIS records Est. M40110 (Collagen Solutions (US) LLC DBA Evergen, Glencoe MN) at slaughter_volume_category = 2 = 1,000-9,999 head per 360 days — a ceiling of ~192/wk.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9" ht="85.40000000000001" customHeight="1" s="59">
      <c r="A49" s="4" t="inlineStr">
        <is>
          <t>Smithfield BioScience — Denison</t>
        </is>
      </c>
      <c r="B49" s="68" t="inlineStr">
        <is>
          <t>Denison, IA
(+ Monmouth IL, Milan MO)</t>
        </is>
      </c>
      <c r="C49" s="68" t="inlineStr">
        <is>
          <t>LARGE packer + biologics program</t>
        </is>
      </c>
      <c r="D49" s="68" t="inlineStr">
        <is>
          <t>~10,000 / DAY
(organ exception)</t>
        </is>
      </c>
      <c r="E49" s="110" t="inlineStr">
        <is>
          <t>NO
(Durham: n/m)</t>
        </is>
      </c>
      <c r="F49" s="195" t="inlineStr">
        <is>
          <t>5,000+/wk (~10k/DAY)</t>
        </is>
      </c>
      <c r="G49" s="68" t="inlineStr">
        <is>
          <t>MARKET only</t>
        </is>
      </c>
      <c r="H49" s="68" t="inlineStr">
        <is>
          <t>USDA ✓ M717 + P19051 + V717
(V = voluntary grant;
export-certified)</t>
        </is>
      </c>
      <c r="I49" s="25" t="inlineStr">
        <is>
          <t>⚠ REPEAT humane-handling: NOIE 2021 &amp; 2023; suspension 09/2024 (egregious). ASPCA line-speed concerns. Est. M717.</t>
        </is>
      </c>
      <c r="J49" s="68" t="inlineStr">
        <is>
          <t>FSIS export-certified (edible, Est. M717). Research-tissue via APHIS VS/TRACES unverified</t>
        </is>
      </c>
      <c r="K49" s="68" t="inlineStr">
        <is>
          <t>Industrial scale, but a structured biologics unit</t>
        </is>
      </c>
      <c r="L49" s="68" t="inlineStr">
        <is>
          <t>YES — full program: PELVIC (bladder, ovary); ABDOMINAL (kidney, liver, pancreas, sm. intestine, mucosa, peritoneum, pepsin lining); THORACIC (heart, valves, lung, aorta, pericardium, trachea); glands/skin/eyes</t>
        </is>
      </c>
      <c r="M49" s="68" t="inlineStr">
        <is>
          <t>Negotiate (industrial site)</t>
        </is>
      </c>
      <c r="N49" s="68" t="inlineStr">
        <is>
          <t>Strong — harvests in-house to customer spec</t>
        </is>
      </c>
      <c r="O49" s="68" t="inlineStr">
        <is>
          <t>smithfieldbioscience.com</t>
        </is>
      </c>
      <c r="P49" s="20" t="inlineStr">
        <is>
          <t>STRONG FIT
(organ exc.)</t>
        </is>
      </c>
      <c r="Q49" s="178" t="inlineStr">
        <is>
          <t>Back-pool — passes no current tier; see Fit and notes for what a call would need to change.</t>
        </is>
      </c>
      <c r="R49" s="179" t="inlineStr">
        <is>
          <t>—</t>
        </is>
      </c>
      <c r="S49" s="68" t="inlineStr">
        <is>
          <t>High
(study 8-03/05)</t>
        </is>
      </c>
      <c r="T49" s="68" t="inlineStr">
        <is>
          <t>The large packer that QUALIFIES via your organ exception — covers all three target regions harvested to spec. Model B natural fit; Model A access would need negotiation.</t>
        </is>
      </c>
    </row>
    <row r="50" ht="19.7" customHeight="1" s="59">
      <c r="A50" s="118" t="inlineStr">
        <is>
          <t>IOWA &amp; MIDWEST — mid / small USDA hog plants (standard pork; Model A or B)</t>
        </is>
      </c>
    </row>
    <row r="51" ht="72" customHeight="1" s="59">
      <c r="A51" s="4" t="inlineStr">
        <is>
          <t>Lorentz Meats</t>
        </is>
      </c>
      <c r="B51" s="68" t="inlineStr">
        <is>
          <t>Cannon Falls, MN</t>
        </is>
      </c>
      <c r="C51" s="68" t="inlineStr">
        <is>
          <t>USDA niche processor (slaughter→retail)</t>
        </is>
      </c>
      <c r="D51" s="68" t="inlineStr">
        <is>
          <t>up to ~600 (120/day est.)</t>
        </is>
      </c>
      <c r="E51" s="110" t="inlineStr">
        <is>
          <t>NO
(Durham: n/m)</t>
        </is>
      </c>
      <c r="F51" s="143" t="inlineStr">
        <is>
          <t>confirm (hogs unconfirmed)</t>
        </is>
      </c>
      <c r="G51" s="68" t="inlineStr">
        <is>
          <t>NO SWINE FLAGS in FSIS —
hog slaughter NOT confirmed</t>
        </is>
      </c>
      <c r="H51" s="68" t="inlineStr">
        <is>
          <t>USDA ✓ M21207 + P21207 + V21207</t>
        </is>
      </c>
      <c r="I51" s="68" t="inlineStr">
        <is>
          <t>Recall 2010 (Listeria, cooked ham, Class I). No humane-handling action found.</t>
        </is>
      </c>
      <c r="J51" s="68" t="inlineStr">
        <is>
          <t>FSIS export-certified (edible, general; Est. M21207). EU-specific unverified</t>
        </is>
      </c>
      <c r="K51" s="68" t="inlineStr">
        <is>
          <t>Strong — explicit humane-slaughter positioning; family since 1968, ~140 staff; organic/grass-fed ties</t>
        </is>
      </c>
      <c r="L51" s="68" t="inlineStr">
        <is>
          <t>None known</t>
        </is>
      </c>
      <c r="M51" s="68" t="inlineStr">
        <is>
          <t>Good Model A host (fee-for-service, small-producer friendly)</t>
        </is>
      </c>
      <c r="N51" s="68" t="inlineStr">
        <is>
          <t>Plausible</t>
        </is>
      </c>
      <c r="O51" s="68" t="inlineStr">
        <is>
          <t>(507) 263-3618
lorentzmeats.com</t>
        </is>
      </c>
      <c r="P51" s="140" t="inlineStr">
        <is>
          <t>CAUTION</t>
        </is>
      </c>
      <c r="Q51" s="178" t="inlineStr">
        <is>
          <t>Back-pool — passes no current tier; see Fit and notes for what a call would need to change.</t>
        </is>
      </c>
      <c r="R51" s="179" t="inlineStr">
        <is>
          <t>—</t>
        </is>
      </c>
      <c r="S51" s="68" t="inlineStr">
        <is>
          <t>Med-High
(FSIS+MPI 8-06)</t>
        </is>
      </c>
      <c r="T51"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2" ht="58.6" customHeight="1" s="59">
      <c r="A52" s="4" t="inlineStr">
        <is>
          <t>SIG International, Iowa</t>
        </is>
      </c>
      <c r="B52" s="68" t="inlineStr">
        <is>
          <t>Boyden, IA</t>
        </is>
      </c>
      <c r="C52" s="68" t="inlineStr">
        <is>
          <t>USDA slaughter+processing (Est. M20748)</t>
        </is>
      </c>
      <c r="D52" s="68" t="inlineStr">
        <is>
          <t>~192-1,917/wk
(FSIS cat 3)</t>
        </is>
      </c>
      <c r="E52" s="110" t="inlineStr">
        <is>
          <t>NO
(Durham: n/m)</t>
        </is>
      </c>
      <c r="F52" s="143" t="inlineStr">
        <is>
          <t>confirm (band ≤1,917)</t>
        </is>
      </c>
      <c r="G52" s="68" t="inlineStr">
        <is>
          <t>MARKET only</t>
        </is>
      </c>
      <c r="H52" s="68" t="inlineStr">
        <is>
          <t>USDA ✓ M20748 + V20748
(V = voluntary; export-cert)</t>
        </is>
      </c>
      <c r="I52" s="68" t="inlineStr">
        <is>
          <t>None found in public sources</t>
        </is>
      </c>
      <c r="J52" s="68" t="inlineStr">
        <is>
          <t>FSIS export-certified (edible; exports to Japan — Japan ≠ EU). EU/APHIS unverified</t>
        </is>
      </c>
      <c r="K52" s="68" t="inlineStr">
        <is>
          <t>Berkshire / USDA-organic; export QC discipline</t>
        </is>
      </c>
      <c r="L52" s="68" t="inlineStr">
        <is>
          <t>None found</t>
        </is>
      </c>
      <c r="M52" s="68" t="inlineStr">
        <is>
          <t>Likely Model A host</t>
        </is>
      </c>
      <c r="N52" s="68" t="inlineStr">
        <is>
          <t>Plausible</t>
        </is>
      </c>
      <c r="O52" s="68" t="inlineStr">
        <is>
          <t>(712) 725-2172
sigiowa.com</t>
        </is>
      </c>
      <c r="P52" s="23" t="inlineStr">
        <is>
          <t>POSSIBLE</t>
        </is>
      </c>
      <c r="Q52" s="178" t="inlineStr">
        <is>
          <t>Back-pool — passes no current tier; see Fit and notes for what a call would need to change.</t>
        </is>
      </c>
      <c r="R52" s="179" t="inlineStr">
        <is>
          <t>—</t>
        </is>
      </c>
      <c r="S52" s="68" t="inlineStr">
        <is>
          <t>High
(FSIS+MPI 8-06)</t>
        </is>
      </c>
      <c r="T52" s="68" t="inlineStr">
        <is>
          <t>RESOLVED from 'unknown'. Active federal grant M20748 + V20748, Boyden IA, market hogs flagged, slaughter_volume_category = 3 = 192-1,917/wk — a genuine medium-band plant, and it carries a Certification-Export activity, which matters for anything EU-bound.  [Verified 2026-08-06 against FSIS Establishment Demographic Data + MPI Directory by Establishment Number.]</t>
        </is>
      </c>
    </row>
    <row r="53" ht="45.2" customHeight="1" s="59">
      <c r="A53" s="4" t="inlineStr">
        <is>
          <t>Eickman's Processing Co.</t>
        </is>
      </c>
      <c r="B53" s="68" t="inlineStr">
        <is>
          <t>Seward, IL</t>
        </is>
      </c>
      <c r="C53" s="68" t="inlineStr">
        <is>
          <t>USDA (Est. M31776), small family plant</t>
        </is>
      </c>
      <c r="D53" s="68" t="inlineStr">
        <is>
          <t>~19-192/wk
(FSIS cat 2 ceiling)</t>
        </is>
      </c>
      <c r="E53" s="110" t="inlineStr">
        <is>
          <t>NO
(Durham: n/m)</t>
        </is>
      </c>
      <c r="F53" s="139" t="inlineStr">
        <is>
          <t>0-300/wk (≤192)</t>
        </is>
      </c>
      <c r="G53" s="68" t="inlineStr">
        <is>
          <t>MARKET + ROASTER</t>
        </is>
      </c>
      <c r="H53" s="68" t="inlineStr">
        <is>
          <t>USDA ✓ M31776 + P31776 + V31776</t>
        </is>
      </c>
      <c r="I53" s="68" t="inlineStr">
        <is>
          <t>Recall 2010 (underprocessed canned). No humane-handling action found.</t>
        </is>
      </c>
      <c r="J53" s="68" t="inlineStr">
        <is>
          <t>Not on public export lists — verify</t>
        </is>
      </c>
      <c r="K53" s="68" t="inlineStr">
        <is>
          <t>Long-tenured family operation (~70 yrs, ~30 staff) — stable culture</t>
        </is>
      </c>
      <c r="L53" s="68" t="inlineStr">
        <is>
          <t>None</t>
        </is>
      </c>
      <c r="M53" s="68" t="inlineStr">
        <is>
          <t>Model A small batches</t>
        </is>
      </c>
      <c r="N53" s="68" t="inlineStr">
        <is>
          <t>Plausible</t>
        </is>
      </c>
      <c r="O53" s="68" t="inlineStr">
        <is>
          <t>(815) 247-8451
eickmans.com</t>
        </is>
      </c>
      <c r="P53" s="23" t="inlineStr">
        <is>
          <t>POSSIBLE</t>
        </is>
      </c>
      <c r="Q53" s="178" t="inlineStr">
        <is>
          <t>Back-pool — passes no current tier; see Fit and notes for what a call would need to change.</t>
        </is>
      </c>
      <c r="R53" s="179" t="inlineStr">
        <is>
          <t>—</t>
        </is>
      </c>
      <c r="S53" s="68" t="inlineStr">
        <is>
          <t>High
(study 8-03/05)</t>
        </is>
      </c>
      <c r="T53" s="68" t="inlineStr">
        <is>
          <t>SMALL tier (~low-100s/wk est.). Stable family culture, USDA. Viable now that capacity is open — good Model A small-batch partner.</t>
        </is>
      </c>
    </row>
    <row r="54" ht="45.2" customHeight="1" s="59">
      <c r="A54" s="4" t="inlineStr">
        <is>
          <t>Ruthven Meat Processing</t>
        </is>
      </c>
      <c r="B54" s="68" t="inlineStr">
        <is>
          <t>Ruthven, IA</t>
        </is>
      </c>
      <c r="C54" s="68" t="inlineStr">
        <is>
          <t>USDA (Est. M2118), FSIS 'Very Small'</t>
        </is>
      </c>
      <c r="D54" s="68" t="inlineStr">
        <is>
          <t>~19-192/wk
(FSIS cat 2 ceiling)</t>
        </is>
      </c>
      <c r="E54" s="110" t="inlineStr">
        <is>
          <t>NO
(Durham: n/m)</t>
        </is>
      </c>
      <c r="F54" s="139" t="inlineStr">
        <is>
          <t>0-300/wk (≤192)</t>
        </is>
      </c>
      <c r="G54" s="68" t="inlineStr">
        <is>
          <t>NO SWINE FLAGS in FSIS —
hogs NOT confirmed</t>
        </is>
      </c>
      <c r="H54" s="68" t="inlineStr">
        <is>
          <t>USDA ✓ M2118 + P2118 + V2118</t>
        </is>
      </c>
      <c r="I54" s="68" t="inlineStr">
        <is>
          <t>None found in public sources</t>
        </is>
      </c>
      <c r="J54" s="68" t="inlineStr">
        <is>
          <t>Not on public export lists — verify</t>
        </is>
      </c>
      <c r="K54" s="68" t="inlineStr">
        <is>
          <t>Small locker</t>
        </is>
      </c>
      <c r="L54" s="68" t="inlineStr">
        <is>
          <t>Unknown</t>
        </is>
      </c>
      <c r="M54" s="68" t="inlineStr">
        <is>
          <t>Model A small batch</t>
        </is>
      </c>
      <c r="N54" s="68" t="inlineStr">
        <is>
          <t>Plausible</t>
        </is>
      </c>
      <c r="O54" s="68" t="inlineStr">
        <is>
          <t>(712) 837-5334</t>
        </is>
      </c>
      <c r="P54" s="23" t="inlineStr">
        <is>
          <t>CAUTION</t>
        </is>
      </c>
      <c r="Q54" s="178" t="inlineStr">
        <is>
          <t>Back-pool — passes no current tier; see Fit and notes for what a call would need to change.</t>
        </is>
      </c>
      <c r="R54" s="179" t="inlineStr">
        <is>
          <t>—</t>
        </is>
      </c>
      <c r="S54" s="68" t="inlineStr">
        <is>
          <t>High
(study 8-03/05)</t>
        </is>
      </c>
      <c r="T54" s="68" t="inlineStr">
        <is>
          <t>FSIS 'Very Small' volume class (fits low band) BUT swine slaughter NOT confirmed — verify it actually takes hogs before relying on it.</t>
        </is>
      </c>
    </row>
    <row r="55" ht="19.7" customHeight="1" s="59">
      <c r="A55" s="118" t="inlineStr">
        <is>
          <t>IOWA &amp; MIDWEST — large packers (excluded unless a biologics program is confirmed)</t>
        </is>
      </c>
    </row>
    <row r="56" ht="45.2" customHeight="1" s="59">
      <c r="A56" s="4" t="inlineStr">
        <is>
          <t>Sioux-Preme Packing / Perdue</t>
        </is>
      </c>
      <c r="B56" s="68" t="inlineStr">
        <is>
          <t>Sioux Center, IA</t>
        </is>
      </c>
      <c r="C56" s="68" t="inlineStr">
        <is>
          <t>Large niche pork (Est. M5537)</t>
        </is>
      </c>
      <c r="D56" s="68" t="inlineStr">
        <is>
          <t>~4,500 / DAY</t>
        </is>
      </c>
      <c r="E56" s="110" t="inlineStr">
        <is>
          <t>NO
(Durham: n/m)</t>
        </is>
      </c>
      <c r="F56" s="195" t="inlineStr">
        <is>
          <t>5,000+/wk (~4,500/DAY)</t>
        </is>
      </c>
      <c r="G56" s="68" t="inlineStr">
        <is>
          <t>MARKET + ROASTER + boar/stag
(sow: No)</t>
        </is>
      </c>
      <c r="H56" s="68" t="inlineStr">
        <is>
          <t>USDA ✓ M5537</t>
        </is>
      </c>
      <c r="I56" s="25" t="inlineStr">
        <is>
          <t>⚠ Humane-handling: NOIE 11/2020, suspension 04/2021 (Est. M5537); PETA sought charges (none filed on record).</t>
        </is>
      </c>
      <c r="J56" s="68" t="inlineStr">
        <is>
          <t>Export status not confirmed on public lists — verify</t>
        </is>
      </c>
      <c r="K56" s="68" t="inlineStr">
        <is>
          <t>NEGATIVE signal — an animal-rights group publicly sought charges over handling</t>
        </is>
      </c>
      <c r="L56" s="68" t="inlineStr">
        <is>
          <t>No biologics program found</t>
        </is>
      </c>
      <c r="M56" s="68" t="inlineStr">
        <is>
          <t>Unlikely</t>
        </is>
      </c>
      <c r="N56" s="68" t="inlineStr">
        <is>
          <t>Unlikely</t>
        </is>
      </c>
      <c r="O56" s="68" t="inlineStr">
        <is>
          <t>(712) 722-2555</t>
        </is>
      </c>
      <c r="P56" s="23" t="inlineStr">
        <is>
          <t>CAUTION</t>
        </is>
      </c>
      <c r="Q56" s="178" t="inlineStr">
        <is>
          <t>Back-pool — passes no current tier; see Fit and notes for what a call would need to change.</t>
        </is>
      </c>
      <c r="R56" s="179" t="inlineStr">
        <is>
          <t>—</t>
        </is>
      </c>
      <c r="S56" s="68" t="inlineStr">
        <is>
          <t>High
(study 8-03/05)</t>
        </is>
      </c>
      <c r="T56" s="68" t="inlineStr">
        <is>
          <t>HIGH tier — no longer excluded on size. Held at CAUTION on WELFARE, not volume: humane-handling NOIE 11/2020 and suspension 04/2021 (Est. M5537), and PETA sought criminal charges. No organ program found. Weigh heavily against the Nahunta standard.</t>
        </is>
      </c>
    </row>
    <row r="57" ht="45.2" customHeight="1" s="59">
      <c r="A57" s="4" t="inlineStr">
        <is>
          <t>Seaboard Triumph Foods</t>
        </is>
      </c>
      <c r="B57" s="68" t="inlineStr">
        <is>
          <t>Sioux City, IA</t>
        </is>
      </c>
      <c r="C57" s="68" t="inlineStr">
        <is>
          <t>Very large packer</t>
        </is>
      </c>
      <c r="D57" s="68" t="inlineStr">
        <is>
          <t>~10,000/DAY (up to 20-24k)</t>
        </is>
      </c>
      <c r="E57" s="110" t="inlineStr">
        <is>
          <t>NO
(Durham: n/m)</t>
        </is>
      </c>
      <c r="F57" s="195" t="inlineStr">
        <is>
          <t>5,000+/wk (~10k/DAY)</t>
        </is>
      </c>
      <c r="G57" s="68" t="inlineStr">
        <is>
          <t>MARKET only</t>
        </is>
      </c>
      <c r="H57" s="68" t="inlineStr">
        <is>
          <t>USDA ✓ M46071 + V46071
(V = voluntary; export-cert)</t>
        </is>
      </c>
      <c r="I57" s="68" t="inlineStr">
        <is>
          <t>No FSIS humane/recall found. Non-FSIS press: labor / child-labor fines, emissions.</t>
        </is>
      </c>
      <c r="J57" s="68" t="inlineStr">
        <is>
          <t>FSIS export-certified (edible, general; Est. M46071). EU-specific unverified</t>
        </is>
      </c>
      <c r="K57" s="68" t="inlineStr">
        <is>
          <t>Industrial</t>
        </is>
      </c>
      <c r="L57" s="68" t="inlineStr">
        <is>
          <t>NOT confirmed (no research-organ program found)</t>
        </is>
      </c>
      <c r="M57" s="68" t="inlineStr">
        <is>
          <t>Unlikely</t>
        </is>
      </c>
      <c r="N57" s="68" t="inlineStr">
        <is>
          <t>Unlikely</t>
        </is>
      </c>
      <c r="O57" s="68" t="inlineStr">
        <is>
          <t>—</t>
        </is>
      </c>
      <c r="P57" s="23" t="inlineStr">
        <is>
          <t>POSSIBLE</t>
        </is>
      </c>
      <c r="Q57" s="178" t="inlineStr">
        <is>
          <t>Back-pool — passes no current tier; see Fit and notes for what a call would need to change.</t>
        </is>
      </c>
      <c r="R57" s="179" t="inlineStr">
        <is>
          <t>—</t>
        </is>
      </c>
      <c r="S57" s="68" t="inlineStr">
        <is>
          <t>High
(study 8-03/05)</t>
        </is>
      </c>
      <c r="T57" s="68" t="inlineStr">
        <is>
          <t>HIGH tier. No longer excluded on size (~10-24k/day). Biologics program UNCONFIRMED — do NOT assume one exists; ask directly. Non-FSIS labour/child-labour press on record.</t>
        </is>
      </c>
    </row>
    <row r="58" ht="72" customHeight="1" s="59">
      <c r="A58" s="138" t="inlineStr">
        <is>
          <t>Prestage Foods of Iowa
(FSIS now lists Eagle Grove Cooperative)</t>
        </is>
      </c>
      <c r="B58" s="68" t="inlineStr">
        <is>
          <t>Eagle Grove, IA</t>
        </is>
      </c>
      <c r="C58" s="68" t="inlineStr">
        <is>
          <t>Very large packer</t>
        </is>
      </c>
      <c r="D58" s="68" t="inlineStr">
        <is>
          <t>~10,000-12,000/DAY</t>
        </is>
      </c>
      <c r="E58" s="110" t="inlineStr">
        <is>
          <t>NO
(Durham: n/m)</t>
        </is>
      </c>
      <c r="F58" s="195" t="inlineStr">
        <is>
          <t>5,000+/wk (~10-12k/DAY)</t>
        </is>
      </c>
      <c r="G58" s="68" t="inlineStr">
        <is>
          <t>MARKET only</t>
        </is>
      </c>
      <c r="H58" s="68" t="inlineStr">
        <is>
          <t>USDA ✓ M51340 + V51340
(listed as Eagle Grove Cooperative;
export-cert)</t>
        </is>
      </c>
      <c r="I58" s="25" t="inlineStr">
        <is>
          <t>⚠ REPEAT humane-handling suspensions 2020 &amp; 04/2022 (egregious). Est. M51340. PETA sought kill-floor cameras.</t>
        </is>
      </c>
      <c r="J58" s="68" t="inlineStr">
        <is>
          <t>Export-oriented; 'Certification–Export' not directly confirmed. EU unverified</t>
        </is>
      </c>
      <c r="K58" s="68" t="inlineStr">
        <is>
          <t>Industrial</t>
        </is>
      </c>
      <c r="L58" s="68" t="inlineStr">
        <is>
          <t>No organ program found</t>
        </is>
      </c>
      <c r="M58" s="68" t="inlineStr">
        <is>
          <t>Unlikely</t>
        </is>
      </c>
      <c r="N58" s="68" t="inlineStr">
        <is>
          <t>Unlikely</t>
        </is>
      </c>
      <c r="O58" s="68" t="inlineStr">
        <is>
          <t>—</t>
        </is>
      </c>
      <c r="P58" s="23" t="inlineStr">
        <is>
          <t>POSSIBLE</t>
        </is>
      </c>
      <c r="Q58" s="178" t="inlineStr">
        <is>
          <t>Back-pool — passes no current tier; see Fit and notes for what a call would need to change.</t>
        </is>
      </c>
      <c r="R58" s="179" t="inlineStr">
        <is>
          <t>—</t>
        </is>
      </c>
      <c r="S58" s="68" t="inlineStr">
        <is>
          <t>Med-High
(FSIS+MPI 8-06)</t>
        </is>
      </c>
      <c r="T58"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9" ht="45.2" customHeight="1" s="59">
      <c r="A59" s="4" t="inlineStr">
        <is>
          <t>Wholestone Farms</t>
        </is>
      </c>
      <c r="B59" s="68" t="inlineStr">
        <is>
          <t>Fremont, NE</t>
        </is>
      </c>
      <c r="C59" s="68" t="inlineStr">
        <is>
          <t>Very large packer</t>
        </is>
      </c>
      <c r="D59" s="68" t="inlineStr">
        <is>
          <t>~8,200/DAY (3M→5.6M/yr)</t>
        </is>
      </c>
      <c r="E59" s="110" t="inlineStr">
        <is>
          <t>NO
(Durham: n/m)</t>
        </is>
      </c>
      <c r="F59" s="195" t="inlineStr">
        <is>
          <t>5,000+/wk (~8,200/DAY)</t>
        </is>
      </c>
      <c r="G59" s="68" t="inlineStr">
        <is>
          <t>MARKET only</t>
        </is>
      </c>
      <c r="H59" s="68" t="inlineStr">
        <is>
          <t>USDA ✓ M46491 + P46491</t>
        </is>
      </c>
      <c r="I59" s="25" t="inlineStr">
        <is>
          <t>⚠ Humane-handling NOIE 12/2019 (Est. M46491; captive bolt on a condemned hog).</t>
        </is>
      </c>
      <c r="J59" s="68" t="inlineStr">
        <is>
          <t>Not confirmed on public lists — verify</t>
        </is>
      </c>
      <c r="K59" s="68" t="inlineStr">
        <is>
          <t>Industrial</t>
        </is>
      </c>
      <c r="L59" s="68" t="inlineStr">
        <is>
          <t>Biologics unknown</t>
        </is>
      </c>
      <c r="M59" s="68" t="inlineStr">
        <is>
          <t>Unlikely</t>
        </is>
      </c>
      <c r="N59" s="68" t="inlineStr">
        <is>
          <t>Unlikely</t>
        </is>
      </c>
      <c r="O59" s="68" t="inlineStr">
        <is>
          <t>—</t>
        </is>
      </c>
      <c r="P59" s="23" t="inlineStr">
        <is>
          <t>POSSIBLE</t>
        </is>
      </c>
      <c r="Q59" s="178" t="inlineStr">
        <is>
          <t>Back-pool — passes no current tier; see Fit and notes for what a call would need to change.</t>
        </is>
      </c>
      <c r="R59" s="179" t="inlineStr">
        <is>
          <t>—</t>
        </is>
      </c>
      <c r="S59" s="68" t="inlineStr">
        <is>
          <t>High
(study 8-03/05)</t>
        </is>
      </c>
      <c r="T59" s="68" t="inlineStr">
        <is>
          <t>HIGH tier. No longer excluded on size. Biologics unknown — confirm. Humane-handling NOIE 12/2019 on record.</t>
        </is>
      </c>
    </row>
    <row r="60" ht="45.2" customHeight="1" s="59">
      <c r="A60" s="4" t="inlineStr">
        <is>
          <t>Other large regional (context)</t>
        </is>
      </c>
      <c r="B60" s="68" t="inlineStr">
        <is>
          <t>IA / Midwest</t>
        </is>
      </c>
      <c r="C60" s="68" t="inlineStr">
        <is>
          <t>Very large packers</t>
        </is>
      </c>
      <c r="D60" s="68" t="inlineStr">
        <is>
          <t>&gt;5,000/wk (est.)</t>
        </is>
      </c>
      <c r="E60" s="110" t="inlineStr">
        <is>
          <t>NO
(Durham: n/m)</t>
        </is>
      </c>
      <c r="F60" s="195" t="inlineStr">
        <is>
          <t>5,000+/wk (est.)</t>
        </is>
      </c>
      <c r="G60" s="68" t="inlineStr">
        <is>
          <t>Yes/mixed</t>
        </is>
      </c>
      <c r="H60" s="68" t="inlineStr">
        <is>
          <t>USDA ✓</t>
        </is>
      </c>
      <c r="I60" s="68" t="inlineStr">
        <is>
          <t>Varies by plant — check FSIS Quarterly Enforcement Reports per establishment #</t>
        </is>
      </c>
      <c r="J60" s="68" t="inlineStr">
        <is>
          <t>Varies — check FSIS 'Eligible Establishments by Country' + TRACES</t>
        </is>
      </c>
      <c r="K60" s="68" t="inlineStr">
        <is>
          <t>Industrial</t>
        </is>
      </c>
      <c r="L60" s="68" t="inlineStr">
        <is>
          <t>Not confirmed</t>
        </is>
      </c>
      <c r="M60" s="68" t="inlineStr">
        <is>
          <t>Unlikely</t>
        </is>
      </c>
      <c r="N60" s="68" t="inlineStr">
        <is>
          <t>Unlikely</t>
        </is>
      </c>
      <c r="O60" s="68" t="inlineStr">
        <is>
          <t>—</t>
        </is>
      </c>
      <c r="P60" s="23" t="inlineStr">
        <is>
          <t>CAUTION</t>
        </is>
      </c>
      <c r="Q60" s="178" t="inlineStr">
        <is>
          <t>Back-pool — passes no current tier; see Fit and notes for what a call would need to change.</t>
        </is>
      </c>
      <c r="R60" s="179" t="inlineStr">
        <is>
          <t>—</t>
        </is>
      </c>
      <c r="S60" s="68" t="inlineStr">
        <is>
          <t>Med
(study 8-03/05)</t>
        </is>
      </c>
      <c r="T60" s="68" t="inlineStr">
        <is>
          <t>Tyson Fresh Meats (Columbus Junction, Storm Lake, Waterloo IA); JBS/Cargill pork (Ottumwa/Marshalltown). Tyson Perry IA CLOSED 2024. Iowa Premium/National Beef (Tama) = BEEF — exclude. Biologics programs unverified.</t>
        </is>
      </c>
    </row>
    <row r="61" ht="19.7" customHeight="1" s="59">
      <c r="A61" s="118" t="inlineStr">
        <is>
          <t>ADJACENT SOURCES — research minipig suppliers (scale mismatch; comparator only)</t>
        </is>
      </c>
    </row>
    <row r="62" ht="45.2" customHeight="1" s="59">
      <c r="A62" s="4" t="inlineStr">
        <is>
          <t>Sinclair BioResources</t>
        </is>
      </c>
      <c r="B62" s="68" t="inlineStr">
        <is>
          <t>Auxvasse, MO</t>
        </is>
      </c>
      <c r="C62" s="68" t="inlineStr">
        <is>
          <t>Minipig supplier + bio-samples</t>
        </is>
      </c>
      <c r="D62" s="68" t="inlineStr">
        <is>
          <t>n/a (research minipigs)</t>
        </is>
      </c>
      <c r="E62" s="110" t="inlineStr">
        <is>
          <t>NO
(Durham: n/m)</t>
        </is>
      </c>
      <c r="F62" s="143" t="inlineStr">
        <is>
          <t>n/a (minipigs)</t>
        </is>
      </c>
      <c r="G62" s="68" t="inlineStr">
        <is>
          <t>Yes (minipigs)</t>
        </is>
      </c>
      <c r="H62" s="68" t="inlineStr">
        <is>
          <t>unknown</t>
        </is>
      </c>
      <c r="I62" s="68" t="inlineStr">
        <is>
          <t>None found (research minipig facility)</t>
        </is>
      </c>
      <c r="J62" s="68" t="inlineStr">
        <is>
          <t>Research minipig; APHIS VS channel — verify</t>
        </is>
      </c>
      <c r="K62" s="68" t="inlineStr">
        <is>
          <t>Research-scale program</t>
        </is>
      </c>
      <c r="L62" s="68" t="inlineStr">
        <is>
          <t>Minipig tissue / bio-samples (Sinclair, Yucatan, Hanford)</t>
        </is>
      </c>
      <c r="M62" s="68" t="inlineStr">
        <is>
          <t>n/a</t>
        </is>
      </c>
      <c r="N62" s="68" t="inlineStr">
        <is>
          <t>Comparator only</t>
        </is>
      </c>
      <c r="O62" s="68" t="inlineStr">
        <is>
          <t>sinclairbioresources.com</t>
        </is>
      </c>
      <c r="P62" s="23" t="inlineStr">
        <is>
          <t>CAUTION</t>
        </is>
      </c>
      <c r="Q62" s="178" t="inlineStr">
        <is>
          <t>Back-pool — passes no current tier; see Fit and notes for what a call would need to change.</t>
        </is>
      </c>
      <c r="R62" s="179" t="inlineStr">
        <is>
          <t>—</t>
        </is>
      </c>
      <c r="S62" s="68" t="inlineStr">
        <is>
          <t>Med
(study 8-03/05)</t>
        </is>
      </c>
      <c r="T62" s="68" t="inlineStr">
        <is>
          <t>MISMATCH: research minipigs at research scale, not commercial market hogs at our volume tiers; tissue blocks would be minipig-sized. Useful as a comparator/specialty source, not a throughput abattoir.</t>
        </is>
      </c>
    </row>
    <row r="63" ht="19.7" customHeight="1" s="59">
      <c r="A63" s="118" t="inlineStr">
        <is>
          <t>NORTH CAROLINA — NEWLY FOUND (registry sweep, NCDA&amp;CS directories 2026-07-24)</t>
        </is>
      </c>
    </row>
    <row r="64" ht="192.6" customHeight="1" s="59">
      <c r="A64" s="82" t="inlineStr">
        <is>
          <t>The Pork Company (Villari Food Group)</t>
        </is>
      </c>
      <c r="B64" s="83" t="inlineStr">
        <is>
          <t>Warsaw, NC (Duplin)</t>
        </is>
      </c>
      <c r="C64" s="83" t="inlineStr">
        <is>
          <t>USDA federal fresh-pork HARVEST plant</t>
        </is>
      </c>
      <c r="D64" s="83" t="inlineStr">
        <is>
          <t>~7,500/wk (1,500 hd/day, EMI 2017)</t>
        </is>
      </c>
      <c r="E64" s="88" t="inlineStr">
        <is>
          <t>YES · ~96 mi
(Pikeville: ~45 mi)</t>
        </is>
      </c>
      <c r="F64" s="195" t="inlineStr">
        <is>
          <t>5,000+/wk (~7,500)</t>
        </is>
      </c>
      <c r="G64" s="83" t="inlineStr">
        <is>
          <t>MARKET + boar/stag
(sow: No, roaster: No)</t>
        </is>
      </c>
      <c r="H64" s="83" t="inlineStr">
        <is>
          <t>USDA ✓ M20608</t>
        </is>
      </c>
      <c r="I64"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30 JUN 2026 — the Q3 FY2026 QER (published by 2026-09-03, checked same day) has ZERO entries for M20608. Jul 2026+ pending the Q4 report.</t>
        </is>
      </c>
      <c r="J64" s="83" t="inlineStr">
        <is>
          <t>Sister plant Villari Food Group is EXPORT-CERTIFIED for pork (FSIS, edible). APHIS by-product listing unverified</t>
        </is>
      </c>
      <c r="K64" s="83" t="inlineStr">
        <is>
          <t>⚠⚠ TWO humane-handling NOIEs — 11 May 2022 AND 8 May 2025 (repeat pattern, 3 yrs apart)</t>
        </is>
      </c>
      <c r="L64"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M64" s="83" t="inlineStr">
        <is>
          <t>Unlikely at 1,500 hd/day</t>
        </is>
      </c>
      <c r="N64" s="83" t="inlineStr">
        <is>
          <t>No — hard gate on tissue</t>
        </is>
      </c>
      <c r="O64" s="83" t="inlineStr">
        <is>
          <t>(910) 293-2157
GM Cory Johnson (cory.j@vfgmail.com)
Plant Mgr Rickie Purnell (rickie.p@vfgmail.com)
CEO Joe Villari (strategic ask)</t>
        </is>
      </c>
      <c r="P64" s="145" t="inlineStr">
        <is>
          <t>★ CURRENT
SUPPLIER</t>
        </is>
      </c>
      <c r="Q64" s="178" t="inlineStr">
        <is>
          <t>CURRENT — leaf fat ONLY; tissue gate is HARD (client 2026-09-03). Not an organ candidate; keep the leaf-fat lane healthy.</t>
        </is>
      </c>
      <c r="R64" s="179" t="inlineStr">
        <is>
          <t>villarifood.com</t>
        </is>
      </c>
      <c r="S64" s="83" t="inlineStr">
        <is>
          <t>High
(FSIS/site 9-03)</t>
        </is>
      </c>
      <c r="T64"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Jun 2026 (Q3 FY2026 QER checked 2026-09-03: zero entries), Jul 2026+ pending Q4. GM Cory Johnson / Plant Mgr Rickie Purnell / CEO Joe Villari.  [Client correction 2026-09-03.]
Beebop 9-28 (rank #15, existing supplier): ~96 mi from Durham; 'use the Penny Branch slaughter location, not another Villari site'.</t>
        </is>
      </c>
    </row>
    <row r="65" ht="139" customHeight="1" s="59">
      <c r="A65" s="82" t="inlineStr">
        <is>
          <t>Parks Family Meats, LLC</t>
        </is>
      </c>
      <c r="B65" s="83" t="inlineStr">
        <is>
          <t>Warsaw, NC (Duplin)</t>
        </is>
      </c>
      <c r="C65" s="83" t="inlineStr">
        <is>
          <t>Talmadge-Aiken SLAUGHTER-ONLY plant
(FSIS: slaughter_or_processing_only = Slaughter)</t>
        </is>
      </c>
      <c r="D65" s="83" t="inlineStr">
        <is>
          <t>~400-1,000/wk (client mtg 2026-08);
stated 400/day capacity —
cat-3 actuals confirm headroom exists</t>
        </is>
      </c>
      <c r="E65" s="88" t="inlineStr">
        <is>
          <t>YES · ~97 mi
(Pikeville: ~45 mi)</t>
        </is>
      </c>
      <c r="F65" s="137" t="inlineStr">
        <is>
          <t>300-1,200/wk
(stated 400-1,000 —
spans two brackets; confirm)</t>
        </is>
      </c>
      <c r="G65" s="134" t="inlineStr">
        <is>
          <t>MARKET + ROASTER
(NOT roaster-only)</t>
        </is>
      </c>
      <c r="H65" s="83" t="inlineStr">
        <is>
          <t>USDA ✓ M18296A
(the study's 'TA-18296A' is the
Talmadge-Aiken designation of the
same establishment)</t>
        </is>
      </c>
      <c r="I65" s="83" t="inlineStr">
        <is>
          <t>None found (FSIS unreachable — NOT a clean bill)</t>
        </is>
      </c>
      <c r="J65" s="83" t="inlineStr">
        <is>
          <t>TA = interstate/export eligible. Company claims Caribbean export (self-reported, UNVERIFIED). APHIS listing not found</t>
        </is>
      </c>
      <c r="K65" s="83" t="inlineStr">
        <is>
          <t>None found (NOT a clean bill — FSIS unreachable)</t>
        </is>
      </c>
      <c r="L65" s="83" t="inlineStr">
        <is>
          <t>Roaster line dresses whole-body — suits intact-block recovery; organs near-zero-value byproduct on their lines. Cold storage + Caribbean-export chill-chain discipline already on site.</t>
        </is>
      </c>
      <c r="M65" s="83" t="inlineStr">
        <is>
          <t>Their floor hosts THEIR crew —
see Model B column (B-T live)</t>
        </is>
      </c>
      <c r="N65" s="83" t="inlineStr">
        <is>
          <t>★ MODEL B-T LIVE — THEIR people
harvest, trained by US
(client-corrected 2026-09-03)</t>
        </is>
      </c>
      <c r="O65" s="83" t="inlineStr">
        <is>
          <t>PLANT: Kevin Krum, COO (910) 290-0075
kevin.krum@parkslivestock.com
Plant Supervisor Albino Cardoso (910) 284-2354
(Mike Maxwell = corporate sales, Danville IL)</t>
        </is>
      </c>
      <c r="P65" s="145" t="inlineStr">
        <is>
          <t>★ CURRENT
SUPPLIER</t>
        </is>
      </c>
      <c r="Q65" s="178" t="inlineStr">
        <is>
          <t>CURRENT — the Model B-T template: their crew, our training. Bigger than it feels (29-facility parent can source hogs to spec); fix is program pricing, not replacement.</t>
        </is>
      </c>
      <c r="R65" s="179" t="inlineStr">
        <is>
          <t>parkslivestock.com</t>
        </is>
      </c>
      <c r="S65" s="83" t="inlineStr">
        <is>
          <t>High
(FSIS/site 9-03)</t>
        </is>
      </c>
      <c r="T65"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
Beebop 9-28 (rank #14, existing supplier): ~97 mi from Durham.</t>
        </is>
      </c>
    </row>
    <row r="66" ht="98.8" customHeight="1" s="59">
      <c r="A66" s="4" t="inlineStr">
        <is>
          <t>Caldwell Meat Processing Co.</t>
        </is>
      </c>
      <c r="B66" s="68" t="inlineStr">
        <is>
          <t>Maiden, NC (Lincoln)</t>
        </is>
      </c>
      <c r="C66" s="68" t="inlineStr">
        <is>
          <t>NC STATE-inspected slaughter + processing</t>
        </is>
      </c>
      <c r="D66" s="68" t="inlineStr">
        <is>
          <t>unknown (est. SMALL)</t>
        </is>
      </c>
      <c r="E66" s="110" t="inlineStr">
        <is>
          <t>NO · ~152 mi ≈
(Pikeville: ~227 mi)</t>
        </is>
      </c>
      <c r="F66" s="143" t="inlineStr">
        <is>
          <t>confirm
(state — no volume published)</t>
        </is>
      </c>
      <c r="G66" s="68" t="inlineStr">
        <is>
          <t>Yes — SWINE-ONLY</t>
        </is>
      </c>
      <c r="H66" s="68" t="inlineStr">
        <is>
          <t>STATE only P-312
(NOT USDA — intrastate)</t>
        </is>
      </c>
      <c r="I66" s="68" t="inlineStr">
        <is>
          <t>State-inspected — never appears in FSIS data; absence is meaningless. Check NCDA state records.</t>
        </is>
      </c>
      <c r="J66" s="68" t="inlineStr">
        <is>
          <t>State-inspected — intrastate NC only; not export eligible as edible product</t>
        </is>
      </c>
      <c r="K66" s="68" t="inlineStr">
        <is>
          <t>None found (state plants never appear in FSIS data — absence is meaningless here)</t>
        </is>
      </c>
      <c r="L66" s="68" t="inlineStr">
        <is>
          <t>Hog-ONLY kill floor — every kill day is a hog day (the Nahunta structural pattern). Offal policy unverified.</t>
        </is>
      </c>
      <c r="M66" s="68" t="inlineStr">
        <is>
          <t>Plausible</t>
        </is>
      </c>
      <c r="N66" s="68" t="inlineStr">
        <is>
          <t>Implausible (state inspection blocks interstate edible movement)</t>
        </is>
      </c>
      <c r="O66" s="68" t="inlineStr">
        <is>
          <t>(828) 428-8833</t>
        </is>
      </c>
      <c r="P66" s="23" t="inlineStr">
        <is>
          <t>POSSIBLE</t>
        </is>
      </c>
      <c r="Q66" s="178" t="inlineStr">
        <is>
          <t>TIER 3 — swine-only state floor (Nahunta's structure) near Charlotte; park until a western crew exists, then visit first.</t>
        </is>
      </c>
      <c r="R66" s="179" t="inlineStr">
        <is>
          <t>no website — Facebook page; phone (828) 428-8833</t>
        </is>
      </c>
      <c r="S66" s="68" t="inlineStr">
        <is>
          <t>Med-High
(FSIS+NCDA 8-17)</t>
        </is>
      </c>
      <c r="T66"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t>
        </is>
      </c>
    </row>
    <row r="67" ht="112.2" customHeight="1" s="59">
      <c r="A67" s="4" t="inlineStr">
        <is>
          <t>McLaughlin's</t>
        </is>
      </c>
      <c r="B67" s="68" t="inlineStr">
        <is>
          <t>Mooresville, NC (Rowan)</t>
        </is>
      </c>
      <c r="C67" s="68" t="inlineStr">
        <is>
          <t>NC STATE-inspected slaughter + processing</t>
        </is>
      </c>
      <c r="D67" s="68" t="inlineStr">
        <is>
          <t>unknown (est. SMALL)</t>
        </is>
      </c>
      <c r="E67" s="110" t="inlineStr">
        <is>
          <t>NO · ~126 mi ≈ (borderline)
(Pikeville: ~201 mi)</t>
        </is>
      </c>
      <c r="F67" s="143" t="inlineStr">
        <is>
          <t>confirm
(state — no volume published)</t>
        </is>
      </c>
      <c r="G67" s="68" t="inlineStr">
        <is>
          <t>Yes — SWINE-ONLY</t>
        </is>
      </c>
      <c r="H67" s="68" t="inlineStr">
        <is>
          <t>STATE only P-85
(NOT USDA — intrastate)</t>
        </is>
      </c>
      <c r="I67" s="68" t="inlineStr">
        <is>
          <t>State-inspected — not in FSIS data by construction</t>
        </is>
      </c>
      <c r="J67" s="68" t="inlineStr">
        <is>
          <t>State-inspected — intrastate NC only</t>
        </is>
      </c>
      <c r="K67" s="68" t="inlineStr">
        <is>
          <t>None found (state plant — not in FSIS data)</t>
        </is>
      </c>
      <c r="L67" s="68" t="inlineStr">
        <is>
          <t>MIXED: livermush CONSUMES THE LIVERS (~3,000 lb/wk in season) and sausage uses trim — livers and some viscera are their RAW MATERIAL. But pelvic / bariatric / thoracic blocks, aortas and leaf fat may still be waste streams — negotiable.</t>
        </is>
      </c>
      <c r="M67" s="68" t="inlineStr">
        <is>
          <t>Plausible</t>
        </is>
      </c>
      <c r="N67" s="68" t="inlineStr">
        <is>
          <t>Implausible</t>
        </is>
      </c>
      <c r="O67" s="68" t="inlineStr">
        <is>
          <t>(704) 235-8003</t>
        </is>
      </c>
      <c r="P67" s="23" t="inlineStr">
        <is>
          <t>POSSIBLE</t>
        </is>
      </c>
      <c r="Q67" s="178" t="inlineStr">
        <is>
          <t>TIER 3 — self-supplied hog-only product plant (livermush consumes the livers; our blocks/aortas don't compete); western-crew play.</t>
        </is>
      </c>
      <c r="R67" s="179" t="inlineStr">
        <is>
          <t>mclaughlinsausage.com</t>
        </is>
      </c>
      <c r="S67" s="68" t="inlineStr">
        <is>
          <t>Med-High
(FSIS+NCDA 8-17)</t>
        </is>
      </c>
      <c r="T67"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t>
        </is>
      </c>
    </row>
    <row r="68" ht="112.2" customHeight="1" s="59">
      <c r="A68" s="4" t="inlineStr">
        <is>
          <t>Price's Custom Meat Cutting &amp; Abattoir</t>
        </is>
      </c>
      <c r="B68" s="68" t="inlineStr">
        <is>
          <t>Hickory, NC (Burke)</t>
        </is>
      </c>
      <c r="C68" s="68" t="inlineStr">
        <is>
          <t>NC STATE-inspected slaughter + processing</t>
        </is>
      </c>
      <c r="D68" s="68" t="inlineStr">
        <is>
          <t>unknown (est. SMALL)</t>
        </is>
      </c>
      <c r="E68" s="110" t="inlineStr">
        <is>
          <t>NO · ~150 mi ≈
(Pikeville: ~226 mi)</t>
        </is>
      </c>
      <c r="F68" s="139" t="inlineStr">
        <is>
          <t>0-300/wk (est. —
2 kill days/wk)</t>
        </is>
      </c>
      <c r="G68" s="68" t="inlineStr">
        <is>
          <t>Yes — SWINE-ONLY</t>
        </is>
      </c>
      <c r="H68" s="68" t="inlineStr">
        <is>
          <t>STATE only P-307
(NOT USDA — intrastate)</t>
        </is>
      </c>
      <c r="I68" s="68" t="inlineStr">
        <is>
          <t>State-inspected — not in FSIS data by construction</t>
        </is>
      </c>
      <c r="J68" s="68" t="inlineStr">
        <is>
          <t>State-inspected — intrastate NC only</t>
        </is>
      </c>
      <c r="K68" s="68" t="inlineStr">
        <is>
          <t>None found (state plant — not in FSIS data)</t>
        </is>
      </c>
      <c r="L68"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M68" s="68" t="inlineStr">
        <is>
          <t>Plausible</t>
        </is>
      </c>
      <c r="N68" s="68" t="inlineStr">
        <is>
          <t>Implausible</t>
        </is>
      </c>
      <c r="O68" s="68" t="inlineStr">
        <is>
          <t>(828) 381-8978 (NCDA&amp;CS 2026-08-10)
alt (828) 397-5150
8454 Price Meat Cutting Rd, Hickory</t>
        </is>
      </c>
      <c r="P68" s="23" t="inlineStr">
        <is>
          <t>POSSIBLE</t>
        </is>
      </c>
      <c r="Q68" s="178" t="inlineStr">
        <is>
          <t>TIER 3 — swine-only state floor, fixed Mon/Wed kill days, hand-scrape skin preservation; western-crew play.</t>
        </is>
      </c>
      <c r="R68" s="179" t="inlineStr">
        <is>
          <t>no website — Facebook page; phone (828) 381-8978</t>
        </is>
      </c>
      <c r="S68" s="68" t="inlineStr">
        <is>
          <t>Med-High
(FSIS+NCDA 8-17)</t>
        </is>
      </c>
      <c r="T68"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t>
        </is>
      </c>
    </row>
    <row r="69" ht="152.4" customHeight="1" s="59">
      <c r="A69" s="4" t="inlineStr">
        <is>
          <t>Contentnea Farms, LLC</t>
        </is>
      </c>
      <c r="B69" s="68" t="inlineStr">
        <is>
          <t>Walstonburg, NC (Greene)</t>
        </is>
      </c>
      <c r="C69" s="68" t="inlineStr">
        <is>
          <t>Talmadge-Aiken multi-species slaughter</t>
        </is>
      </c>
      <c r="D69" s="68" t="inlineStr">
        <is>
          <t>&lt;19/wk
(FSIS cat 1)</t>
        </is>
      </c>
      <c r="E69" s="88" t="inlineStr">
        <is>
          <t>YES · ~90 mi
(Pikeville: ~35 mi)</t>
        </is>
      </c>
      <c r="F69" s="139" t="inlineStr">
        <is>
          <t>0-300/wk (&lt;19)</t>
        </is>
      </c>
      <c r="G69" s="68" t="inlineStr">
        <is>
          <t>MARKET + SOW + boar/stag</t>
        </is>
      </c>
      <c r="H69" s="68" t="inlineStr">
        <is>
          <t>USDA ✓ M2583 — grant 10/29/2025
(2nd-newest swine grant in NC;
TA-2583 in the state TA directory)</t>
        </is>
      </c>
      <c r="I69" s="68" t="inlineStr">
        <is>
          <t>None found (FSIS unreachable)</t>
        </is>
      </c>
      <c r="J69" s="68" t="inlineStr">
        <is>
          <t>Talmadge-Aiken — interstate/export eligible. APHIS listing unverified</t>
        </is>
      </c>
      <c r="K69" s="68" t="inlineStr">
        <is>
          <t>None found (FSIS unreachable)</t>
        </is>
      </c>
      <c r="L69" s="68" t="inlineStr">
        <is>
          <t>unknown</t>
        </is>
      </c>
      <c r="M69" s="68" t="inlineStr">
        <is>
          <t>Plausible</t>
        </is>
      </c>
      <c r="N69" s="68" t="inlineStr">
        <is>
          <t>Plausible</t>
        </is>
      </c>
      <c r="O69" s="68" t="inlineStr">
        <is>
          <t>(252) 717-9229</t>
        </is>
      </c>
      <c r="P69" s="23" t="inlineStr">
        <is>
          <t>POSSIBLE</t>
        </is>
      </c>
      <c r="Q69" s="178" t="inlineStr">
        <is>
          <t>TIER 3 — closest plant on the list (35 mi) but &lt;19/wk; overflow/pilot for odd-lot sow or boar needs.</t>
        </is>
      </c>
      <c r="R69" s="179" t="inlineStr">
        <is>
          <t>contentneafarms.com</t>
        </is>
      </c>
      <c r="S69" s="68" t="inlineStr">
        <is>
          <t>High
(FSIS+NCDA 8-17)</t>
        </is>
      </c>
      <c r="T69"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
Beebop 9-28 (rank #4): current site offers pork slaughter + open processing appointments; retail is in Walstonburg while the TA-2583 mailing address is Snow Hill — clarify where slaughter and any tissue recovery would happen.</t>
        </is>
      </c>
    </row>
    <row r="70" ht="58.6" customHeight="1" s="59">
      <c r="A70" s="4" t="inlineStr">
        <is>
          <t>Assured Community Processing LLC</t>
        </is>
      </c>
      <c r="B70" s="68" t="inlineStr">
        <is>
          <t>Micro, NC (Johnston)</t>
        </is>
      </c>
      <c r="C70" s="68" t="inlineStr">
        <is>
          <t>USDA federal, FSIS 'Very Small'</t>
        </is>
      </c>
      <c r="D70" s="68" t="inlineStr">
        <is>
          <t>n/a — CLOSED</t>
        </is>
      </c>
      <c r="E70" s="88" t="inlineStr">
        <is>
          <t>YES · ~64 mi ≈
(Pikeville: ~40 mi)</t>
        </is>
      </c>
      <c r="F70" s="143" t="inlineStr">
        <is>
          <t>n/a — closed</t>
        </is>
      </c>
      <c r="G70" s="68" t="inlineStr">
        <is>
          <t>CONFIRM SWINE</t>
        </is>
      </c>
      <c r="H70" s="68" t="inlineStr">
        <is>
          <t>⚠ M2123 went FSIS-INACTIVE
11/10/2025</t>
        </is>
      </c>
      <c r="I70" s="68" t="inlineStr">
        <is>
          <t>None found (FSIS unreachable)</t>
        </is>
      </c>
      <c r="J70" s="68" t="inlineStr">
        <is>
          <t>Federal grant — export structurally possible. Not on public export lists</t>
        </is>
      </c>
      <c r="K70" s="68" t="inlineStr">
        <is>
          <t>None found (FSIS unreachable)</t>
        </is>
      </c>
      <c r="L70" s="68" t="inlineStr">
        <is>
          <t>unknown</t>
        </is>
      </c>
      <c r="M70" s="68" t="inlineStr">
        <is>
          <t>No</t>
        </is>
      </c>
      <c r="N70" s="68" t="inlineStr">
        <is>
          <t>No</t>
        </is>
      </c>
      <c r="O70" s="68" t="inlineStr">
        <is>
          <t>(919) 284-0064</t>
        </is>
      </c>
      <c r="P70" s="141" t="inlineStr">
        <is>
          <t>OUT / FLAG</t>
        </is>
      </c>
      <c r="Q70" s="178" t="inlineStr">
        <is>
          <t>Not a candidate — closed / no inspected operation (see notes).</t>
        </is>
      </c>
      <c r="R70" s="179" t="inlineStr">
        <is>
          <t>—</t>
        </is>
      </c>
      <c r="S70" s="68" t="inlineStr">
        <is>
          <t>High
(FSIS+NCDA 8-17)</t>
        </is>
      </c>
      <c r="T70"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row>
    <row r="71" ht="72" customHeight="1" s="59">
      <c r="A71" s="4" t="inlineStr">
        <is>
          <t>Country Slaughter and Meats</t>
        </is>
      </c>
      <c r="B71" s="68" t="inlineStr">
        <is>
          <t>Rockingham, NC (Richmond)</t>
        </is>
      </c>
      <c r="C71" s="68" t="inlineStr">
        <is>
          <t>USDA federal, FSIS 'Very Small'</t>
        </is>
      </c>
      <c r="D71" s="68" t="inlineStr">
        <is>
          <t>n/a — CLOSED</t>
        </is>
      </c>
      <c r="E71" s="88" t="inlineStr">
        <is>
          <t>YES · ~66 mi ≈
(Pikeville: ~137 mi)</t>
        </is>
      </c>
      <c r="F71" s="143" t="inlineStr">
        <is>
          <t>n/a — closed</t>
        </is>
      </c>
      <c r="G71" s="68" t="inlineStr">
        <is>
          <t>CONFIRM SWINE</t>
        </is>
      </c>
      <c r="H71" s="68" t="inlineStr">
        <is>
          <t>⚠ M32012 went FSIS-INACTIVE
6/24/2025</t>
        </is>
      </c>
      <c r="I71" s="68" t="inlineStr">
        <is>
          <t>None found (FSIS unreachable)</t>
        </is>
      </c>
      <c r="J71" s="68" t="inlineStr">
        <is>
          <t>Federal grant. Not on public export lists</t>
        </is>
      </c>
      <c r="K71" s="68" t="inlineStr">
        <is>
          <t>None found (FSIS unreachable)</t>
        </is>
      </c>
      <c r="L71" s="68" t="inlineStr">
        <is>
          <t>unknown</t>
        </is>
      </c>
      <c r="M71" s="68" t="inlineStr">
        <is>
          <t>No</t>
        </is>
      </c>
      <c r="N71" s="68" t="inlineStr">
        <is>
          <t>No</t>
        </is>
      </c>
      <c r="O71" s="68" t="inlineStr">
        <is>
          <t>(910) 895-0838</t>
        </is>
      </c>
      <c r="P71" s="141" t="inlineStr">
        <is>
          <t>OUT / FLAG</t>
        </is>
      </c>
      <c r="Q71" s="178" t="inlineStr">
        <is>
          <t>Not a candidate — closed / no inspected operation (see notes).</t>
        </is>
      </c>
      <c r="R71" s="179" t="inlineStr">
        <is>
          <t>—</t>
        </is>
      </c>
      <c r="S71" s="68" t="inlineStr">
        <is>
          <t>High
(FSIS+NCDA 8-17)</t>
        </is>
      </c>
      <c r="T71"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row>
    <row r="72" ht="112.2" customHeight="1" s="59">
      <c r="A72" s="4" t="inlineStr">
        <is>
          <t>Flowers Slaughter House (George Flowers)</t>
        </is>
      </c>
      <c r="B72" s="68" t="inlineStr">
        <is>
          <t>Sims, NC (Wilson)</t>
        </is>
      </c>
      <c r="C72" s="68" t="inlineStr">
        <is>
          <t>USDA FEDERAL (not TA) — 'Very Small'</t>
        </is>
      </c>
      <c r="D72" s="68" t="inlineStr">
        <is>
          <t>~19-192/wk
(FSIS cat 2 ceiling)</t>
        </is>
      </c>
      <c r="E72" s="88" t="inlineStr">
        <is>
          <t>YES · ~63 mi
(Pikeville: ~45 mi)</t>
        </is>
      </c>
      <c r="F72" s="139" t="inlineStr">
        <is>
          <t>0-300/wk (cat-2 ≤192)</t>
        </is>
      </c>
      <c r="G72" s="68" t="inlineStr">
        <is>
          <t>MARKET + boar/stag
(sow: No, roaster: No)</t>
        </is>
      </c>
      <c r="H72" s="68" t="inlineStr">
        <is>
          <t>USDA ✓ M21747 + P21747
(grant 2022)</t>
        </is>
      </c>
      <c r="I72" s="68" t="inlineStr">
        <is>
          <t>None found (FSIS unreachable)</t>
        </is>
      </c>
      <c r="J72" s="68" t="inlineStr">
        <is>
          <t>Federal (M21747). Not on public export lists</t>
        </is>
      </c>
      <c r="K72" s="68" t="inlineStr">
        <is>
          <t>None found (FSIS unreachable)</t>
        </is>
      </c>
      <c r="L72" s="68" t="inlineStr">
        <is>
          <t>Small custom-oriented family floor — offal return on request is the norm in this class (inference). BOAR/STAG flag = the largest male anatomy in the region.</t>
        </is>
      </c>
      <c r="M72" s="68" t="inlineStr">
        <is>
          <t>Plausible</t>
        </is>
      </c>
      <c r="N72" s="68" t="inlineStr">
        <is>
          <t>Plausible</t>
        </is>
      </c>
      <c r="O72" s="68" t="inlineStr">
        <is>
          <t>(252) 237-2982
Contacts: Alan Sharp / Tim Boswell
5154-A St. Rose Church Rd, Sims
Hours M-F 7-5, Sat 7-10am</t>
        </is>
      </c>
      <c r="P72" s="23" t="inlineStr">
        <is>
          <t>POSSIBLE</t>
        </is>
      </c>
      <c r="Q72" s="178" t="inlineStr">
        <is>
          <t>TIER 2 — Sims cluster redundancy 3 mi from CQP + the region's only boar/stag access. Not a standalone lane (cat 2).</t>
        </is>
      </c>
      <c r="R72" s="179" t="inlineStr">
        <is>
          <t>no website — Facebook page; phone (252) 237-2982</t>
        </is>
      </c>
      <c r="S72" s="68" t="inlineStr">
        <is>
          <t>High
(FSIS+NCDA 8-17)</t>
        </is>
      </c>
      <c r="T72"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t>
        </is>
      </c>
    </row>
    <row r="73" ht="98.8" customHeight="1" s="59">
      <c r="A73" s="4" t="inlineStr">
        <is>
          <t>13 multi-species TA plants (roll-up)</t>
        </is>
      </c>
      <c r="B73" s="68" t="inlineStr">
        <is>
          <t>across NC</t>
        </is>
      </c>
      <c r="C73" s="68" t="inlineStr">
        <is>
          <t>Talmadge-Aiken multi-species (incl. swine)</t>
        </is>
      </c>
      <c r="D73" s="68" t="inlineStr">
        <is>
          <t>unknown — est. 10-80 hogs/wk each</t>
        </is>
      </c>
      <c r="E73" s="88" t="inlineStr">
        <is>
          <t>YES · ~95 mi ≈</t>
        </is>
      </c>
      <c r="F73" s="143" t="inlineStr">
        <is>
          <t>confirm</t>
        </is>
      </c>
      <c r="G73" s="68" t="inlineStr">
        <is>
          <t>Yes (C among A-E)</t>
        </is>
      </c>
      <c r="H73" s="68" t="inlineStr">
        <is>
          <t>USDA ✓ Talmadge-Aiken
(interstate/export eligible)</t>
        </is>
      </c>
      <c r="I73" s="68" t="inlineStr">
        <is>
          <t>Not individually researched — Wayne Mays and Wilkes/Thomas Bros carry actions (see their own rows)</t>
        </is>
      </c>
      <c r="J73" s="68" t="inlineStr">
        <is>
          <t>All Talmadge-Aiken = federal-equivalent, so interstate/export eligible in structure. APHIS listing unverified for all</t>
        </is>
      </c>
      <c r="K73" s="68" t="inlineStr">
        <is>
          <t>None found (FSIS unreachable)</t>
        </is>
      </c>
      <c r="L73" s="68" t="inlineStr">
        <is>
          <t>unknown</t>
        </is>
      </c>
      <c r="M73" s="68" t="inlineStr">
        <is>
          <t>Plausible (Model A / aggregation)</t>
        </is>
      </c>
      <c r="N73" s="68" t="inlineStr">
        <is>
          <t>Weak — low hog share</t>
        </is>
      </c>
      <c r="O73" s="68" t="inlineStr">
        <is>
          <t>see notes →</t>
        </is>
      </c>
      <c r="P73" s="23" t="inlineStr">
        <is>
          <t>POSSIBLE</t>
        </is>
      </c>
      <c r="Q73" s="178" t="inlineStr">
        <is>
          <t>Context roll-up — not an individual candidate.</t>
        </is>
      </c>
      <c r="R73" s="179" t="inlineStr">
        <is>
          <t>—</t>
        </is>
      </c>
      <c r="S73" s="68" t="inlineStr">
        <is>
          <t>Med
(study 8-03/05)</t>
        </is>
      </c>
      <c r="T73"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4" ht="72" customHeight="1" s="59">
      <c r="A74" s="4" t="inlineStr">
        <is>
          <t>NC state-inspected multi-species (roll-up)</t>
        </is>
      </c>
      <c r="B74" s="68" t="inlineStr">
        <is>
          <t>across NC</t>
        </is>
      </c>
      <c r="C74" s="68" t="inlineStr">
        <is>
          <t>NC STATE-inspected (intrastate only)</t>
        </is>
      </c>
      <c r="D74" s="68" t="inlineStr">
        <is>
          <t>unknown (est. SMALL)</t>
        </is>
      </c>
      <c r="E74" s="88" t="inlineStr">
        <is>
          <t>YES · ~95 mi ≈</t>
        </is>
      </c>
      <c r="F74" s="143" t="inlineStr">
        <is>
          <t>confirm</t>
        </is>
      </c>
      <c r="G74" s="68" t="inlineStr">
        <is>
          <t>Yes</t>
        </is>
      </c>
      <c r="H74" s="68" t="inlineStr">
        <is>
          <t>STATE only
(NOT USDA — FLAG)</t>
        </is>
      </c>
      <c r="I74" s="68" t="inlineStr">
        <is>
          <t>State-inspected — not in FSIS data by construction</t>
        </is>
      </c>
      <c r="J74" s="68" t="inlineStr">
        <is>
          <t>State-inspected — intrastate NC only (FLAG for export)</t>
        </is>
      </c>
      <c r="K74" s="68" t="inlineStr">
        <is>
          <t>Not in FSIS data by construction</t>
        </is>
      </c>
      <c r="L74" s="68" t="inlineStr">
        <is>
          <t>unknown</t>
        </is>
      </c>
      <c r="M74" s="68" t="inlineStr">
        <is>
          <t>Plausible</t>
        </is>
      </c>
      <c r="N74" s="68" t="inlineStr">
        <is>
          <t>Implausible</t>
        </is>
      </c>
      <c r="O74" s="68" t="inlineStr">
        <is>
          <t>see notes →</t>
        </is>
      </c>
      <c r="P74" s="23" t="inlineStr">
        <is>
          <t>CAUTION</t>
        </is>
      </c>
      <c r="Q74" s="178" t="inlineStr">
        <is>
          <t>Context roll-up — not an individual candidate.</t>
        </is>
      </c>
      <c r="R74" s="179" t="inlineStr">
        <is>
          <t>—</t>
        </is>
      </c>
      <c r="S74" s="68" t="inlineStr">
        <is>
          <t>Med
(study 8-03/05)</t>
        </is>
      </c>
      <c r="T74"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5" ht="58.6" customHeight="1" s="59">
      <c r="A75" s="4" t="inlineStr">
        <is>
          <t>Frank Corriher Beef and Sausage</t>
        </is>
      </c>
      <c r="B75" s="68" t="inlineStr">
        <is>
          <t>China Grove, NC (Rowan)</t>
        </is>
      </c>
      <c r="C75" s="68" t="inlineStr">
        <is>
          <t>TA — AMBIGUOUS record</t>
        </is>
      </c>
      <c r="D75" s="68" t="inlineStr">
        <is>
          <t>unknown</t>
        </is>
      </c>
      <c r="E75" s="88" t="inlineStr">
        <is>
          <t>YES · ~112 mi ≈ (borderline)
(Pikeville: ~187 mi)</t>
        </is>
      </c>
      <c r="F75" s="143" t="inlineStr">
        <is>
          <t>confirm</t>
        </is>
      </c>
      <c r="G75" s="68" t="inlineStr">
        <is>
          <t>Ambiguous — see notes</t>
        </is>
      </c>
      <c r="H75" s="68" t="inlineStr">
        <is>
          <t>USDA ✓ TA-21022 / M21022</t>
        </is>
      </c>
      <c r="I75" s="68" t="inlineStr">
        <is>
          <t>None found</t>
        </is>
      </c>
      <c r="J75" s="68" t="inlineStr">
        <is>
          <t>TA/federal number exists — verify</t>
        </is>
      </c>
      <c r="K75" s="68" t="inlineStr">
        <is>
          <t>None found</t>
        </is>
      </c>
      <c r="L75" s="68" t="inlineStr">
        <is>
          <t>unknown</t>
        </is>
      </c>
      <c r="M75" s="68" t="inlineStr">
        <is>
          <t>Unknown</t>
        </is>
      </c>
      <c r="N75" s="68" t="inlineStr">
        <is>
          <t>Unknown</t>
        </is>
      </c>
      <c r="O75" s="68" t="inlineStr">
        <is>
          <t>(704) 857-5519</t>
        </is>
      </c>
      <c r="P75" s="23" t="inlineStr">
        <is>
          <t>CAUTION</t>
        </is>
      </c>
      <c r="Q75" s="178" t="inlineStr">
        <is>
          <t>Back-pool — passes no current tier; see Fit and notes for what a call would need to change.</t>
        </is>
      </c>
      <c r="R75" s="179" t="inlineStr">
        <is>
          <t>—</t>
        </is>
      </c>
      <c r="S75" s="68" t="inlineStr">
        <is>
          <t>Low
(study 8-03/05)</t>
        </is>
      </c>
      <c r="T75" s="68" t="inlineStr">
        <is>
          <t>DATA ANOMALY: NCDA lists Activities='Processing' but populates Slaughter Species='C' — every other processing-only plant leaves that blank. Either a stale slaughter grant or a data error. Worth ONE phone call.</t>
        </is>
      </c>
    </row>
    <row r="76" ht="45.2" customHeight="1" s="59">
      <c r="A76" s="4" t="inlineStr">
        <is>
          <t>Deer Shack Processing</t>
        </is>
      </c>
      <c r="B76" s="68" t="inlineStr">
        <is>
          <t>Mount Holly, NC (Gaston)</t>
        </is>
      </c>
      <c r="C76" s="68" t="inlineStr">
        <is>
          <t>CUSTOM-EXEMPT</t>
        </is>
      </c>
      <c r="D76" s="68" t="inlineStr">
        <is>
          <t>unknown</t>
        </is>
      </c>
      <c r="E76" s="110" t="inlineStr">
        <is>
          <t>NO · ~148 mi ≈
(Pikeville: ~223 mi)</t>
        </is>
      </c>
      <c r="F76" s="143" t="inlineStr">
        <is>
          <t>n/a — custom-exempt</t>
        </is>
      </c>
      <c r="G76" s="68" t="inlineStr">
        <is>
          <t>Yes — SWINE-ONLY</t>
        </is>
      </c>
      <c r="H76" s="68" t="inlineStr">
        <is>
          <t>CUSTOM-EXEMPT
(no inspection, no sale)</t>
        </is>
      </c>
      <c r="I76" s="68" t="inlineStr">
        <is>
          <t>Custom-exempt — outside FSIS enforcement</t>
        </is>
      </c>
      <c r="J76" s="68" t="inlineStr">
        <is>
          <t>Custom-exempt — not saleable, not exportable</t>
        </is>
      </c>
      <c r="K76" s="68" t="inlineStr">
        <is>
          <t>n/a</t>
        </is>
      </c>
      <c r="L76" s="68" t="inlineStr">
        <is>
          <t>n/a</t>
        </is>
      </c>
      <c r="M76" s="68" t="inlineStr">
        <is>
          <t>Not usable for a regulated chain</t>
        </is>
      </c>
      <c r="N76" s="68" t="inlineStr">
        <is>
          <t>No</t>
        </is>
      </c>
      <c r="O76" s="68" t="inlineStr">
        <is>
          <t>(704) 718-9135</t>
        </is>
      </c>
      <c r="P76" s="28" t="inlineStr">
        <is>
          <t>OUT / FLAG</t>
        </is>
      </c>
      <c r="Q76" s="178" t="inlineStr">
        <is>
          <t>Not a candidate — fails a hard gate or adds nothing vs the base (see notes).</t>
        </is>
      </c>
      <c r="R76" s="179" t="inlineStr">
        <is>
          <t>—</t>
        </is>
      </c>
      <c r="S76" s="68" t="inlineStr">
        <is>
          <t>Med
(study 8-03/05)</t>
        </is>
      </c>
      <c r="T76" s="68" t="inlineStr">
        <is>
          <t>Custom-exempt: owner-return only, product cannot be sold. Listed for completeness.</t>
        </is>
      </c>
    </row>
    <row r="77" ht="58.6" customHeight="1" s="59">
      <c r="A77" s="4" t="inlineStr">
        <is>
          <t>Randolph Packing / Harpley's</t>
        </is>
      </c>
      <c r="B77" s="68" t="inlineStr">
        <is>
          <t>Asheboro, NC</t>
        </is>
      </c>
      <c r="C77" s="68" t="inlineStr">
        <is>
          <t>BEEF packer — EXCLUDED</t>
        </is>
      </c>
      <c r="D77" s="68" t="inlineStr">
        <is>
          <t>n/a — ~350-400 CATTLE/day</t>
        </is>
      </c>
      <c r="E77" s="88" t="inlineStr">
        <is>
          <t>YES · ~78 mi ≈</t>
        </is>
      </c>
      <c r="F77" s="143" t="inlineStr">
        <is>
          <t>n/a — beef only</t>
        </is>
      </c>
      <c r="G77" s="68" t="inlineStr">
        <is>
          <t>NO SWINE FLAGS in FSIS
— confirms BEEF ONLY</t>
        </is>
      </c>
      <c r="H77" s="68" t="inlineStr">
        <is>
          <t>USDA ✓ M6590
(Harpley's Meat Packing Inc.)</t>
        </is>
      </c>
      <c r="I77" s="68" t="inlineStr">
        <is>
          <t>n/a — beef plant, excluded</t>
        </is>
      </c>
      <c r="J77" s="68" t="inlineStr">
        <is>
          <t>n/a</t>
        </is>
      </c>
      <c r="K77" s="68" t="inlineStr">
        <is>
          <t>n/a</t>
        </is>
      </c>
      <c r="L77" s="68" t="inlineStr">
        <is>
          <t>n/a</t>
        </is>
      </c>
      <c r="M77" s="68" t="inlineStr">
        <is>
          <t>No</t>
        </is>
      </c>
      <c r="N77" s="68" t="inlineStr">
        <is>
          <t>No</t>
        </is>
      </c>
      <c r="O77" s="68" t="inlineStr">
        <is>
          <t>—</t>
        </is>
      </c>
      <c r="P77" s="28" t="inlineStr">
        <is>
          <t>OUT / FLAG</t>
        </is>
      </c>
      <c r="Q77" s="178" t="inlineStr">
        <is>
          <t>Not a candidate — fails a hard gate or adds nothing vs the base (see notes).</t>
        </is>
      </c>
      <c r="R77" s="179" t="inlineStr">
        <is>
          <t>—</t>
        </is>
      </c>
      <c r="S77" s="68" t="inlineStr">
        <is>
          <t>High
(FSIS+MPI 8-06)</t>
        </is>
      </c>
      <c r="T77"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8" ht="19.7" customHeight="1" s="59">
      <c r="A78" s="118" t="inlineStr">
        <is>
          <t>★ ADDED 2026-08-17 — FOCUS-REGION SWEEP (client-directed: current base re-research + Western NC · North of Raleigh · Eastern NC). 14 agents; 5 claims adversarially verified.</t>
        </is>
      </c>
    </row>
    <row r="79" ht="125.6" customHeight="1" s="59">
      <c r="A79" s="146" t="inlineStr">
        <is>
          <t>McLamb's Abattoir and Meats, Inc.</t>
        </is>
      </c>
      <c r="B79" s="83" t="inlineStr">
        <is>
          <t>Benson, NC (Johnston)</t>
        </is>
      </c>
      <c r="C79" s="83" t="inlineStr">
        <is>
          <t>NC STATE-inspected slaughter + processing</t>
        </is>
      </c>
      <c r="D79" s="83" t="inlineStr">
        <is>
          <t>unknown — state plants
publish no volumes</t>
        </is>
      </c>
      <c r="E79" s="88" t="inlineStr">
        <is>
          <t>YES · ~58 mi
(Pikeville: ~37 mi)</t>
        </is>
      </c>
      <c r="F79" s="143" t="inlineStr">
        <is>
          <t>confirm
(state — no volume published)</t>
        </is>
      </c>
      <c r="G79" s="134" t="inlineStr">
        <is>
          <t>Multi-species incl. HOGS
(state species A,B,C,D,E)</t>
        </is>
      </c>
      <c r="H79" s="83" t="inlineStr">
        <is>
          <t>STATE ✓ P-247
(NC state — APHIS-equivalent
for our harvest path)</t>
        </is>
      </c>
      <c r="I79" s="83" t="inlineStr">
        <is>
          <t>None found (state plants sit outside FSIS reporting — site-visit finding)</t>
        </is>
      </c>
      <c r="J79" s="83" t="inlineStr">
        <is>
          <t>NC state inspection = APHIS-accepted equivalent when WE harvest; export-eligible via ATM assembly</t>
        </is>
      </c>
      <c r="K79" s="83" t="inlineStr">
        <is>
          <t>Family abattoir; operator Shane Lee. Nothing published either way.</t>
        </is>
      </c>
      <c r="L79" s="83" t="inlineStr">
        <is>
          <t>Plausible-untested — custom-oriented family floor; offal return is the norm in this class</t>
        </is>
      </c>
      <c r="M79" s="83" t="inlineStr">
        <is>
          <t>Nahunta playbook: relationship-first, our crew on site</t>
        </is>
      </c>
      <c r="N79" s="83" t="inlineStr">
        <is>
          <t>Plausible</t>
        </is>
      </c>
      <c r="O79" s="83" t="inlineStr">
        <is>
          <t>(919) 894-2587
Operator: Shane Lee
623 Benson-Hardee Rd, Benson</t>
        </is>
      </c>
      <c r="P79" s="140" t="inlineStr">
        <is>
          <t>POSSIBLE</t>
        </is>
      </c>
      <c r="Q79" s="178" t="inlineStr">
        <is>
          <t>★ TIER 1 — closest unworked state-inspected floor (37 mi, I-95); the Nahunta playbook; one call closes the volume unknown.</t>
        </is>
      </c>
      <c r="R79" s="179" t="inlineStr">
        <is>
          <t>no website — phone (919) 894-2587</t>
        </is>
      </c>
      <c r="S79" s="83" t="inlineStr">
        <is>
          <t>Med
(FSIS+NCDA 8-17)</t>
        </is>
      </c>
      <c r="T79"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
Beebop 9-28 (rank #2): Lee's Fresh Market shares the address and phone — confirm the contracting entity; leesfreshmarketnc.com is live (behind a Cloudflare check).</t>
        </is>
      </c>
    </row>
    <row r="80" ht="98.8" customHeight="1" s="59">
      <c r="A80" s="146" t="inlineStr">
        <is>
          <t>Gale McLamb Meats</t>
        </is>
      </c>
      <c r="B80" s="83" t="inlineStr">
        <is>
          <t>Dunn, NC (Harnett)</t>
        </is>
      </c>
      <c r="C80" s="83" t="inlineStr">
        <is>
          <t>NC STATE-inspected slaughter + processing</t>
        </is>
      </c>
      <c r="D80" s="83" t="inlineStr">
        <is>
          <t>unknown — likely small
retail-butcher scale</t>
        </is>
      </c>
      <c r="E80" s="88" t="inlineStr">
        <is>
          <t>YES · ~60 mi
(Pikeville: ~44 mi)</t>
        </is>
      </c>
      <c r="F80" s="143" t="inlineStr">
        <is>
          <t>confirm
(state — no volume published)</t>
        </is>
      </c>
      <c r="G80" s="134" t="inlineStr">
        <is>
          <t>Cattle + HOGS
(state species A,B,C)</t>
        </is>
      </c>
      <c r="H80" s="83" t="inlineStr">
        <is>
          <t>STATE ✓ P-221
(NC state — APHIS-equivalent
for our harvest path)</t>
        </is>
      </c>
      <c r="I80" s="83" t="inlineStr">
        <is>
          <t>None found (state plants sit outside FSIS reporting)</t>
        </is>
      </c>
      <c r="J80" s="83" t="inlineStr">
        <is>
          <t>NC state inspection = APHIS-accepted equivalent when WE harvest</t>
        </is>
      </c>
      <c r="K80" s="83" t="inlineStr">
        <is>
          <t>Family plant since 1980 (Gale &amp; Linda McLamb + two sons). Nothing published either way.</t>
        </is>
      </c>
      <c r="L80" s="83" t="inlineStr">
        <is>
          <t>Plausible-untested</t>
        </is>
      </c>
      <c r="M80" s="83" t="inlineStr">
        <is>
          <t>Nahunta playbook; Martin's-adjacent fallback</t>
        </is>
      </c>
      <c r="N80" s="83" t="inlineStr">
        <is>
          <t>Plausible</t>
        </is>
      </c>
      <c r="O80" s="83" t="inlineStr">
        <is>
          <t>(910) 892-7279
4216 US 301 N, Dunn</t>
        </is>
      </c>
      <c r="P80" s="140" t="inlineStr">
        <is>
          <t>POSSIBLE</t>
        </is>
      </c>
      <c r="Q80" s="178" t="inlineStr">
        <is>
          <t>★ TIER 1 — pairs with McLamb's Benson as one I-95 trip (44 mi); state-inspected, cattle+hogs since 1980.</t>
        </is>
      </c>
      <c r="R80" s="179" t="inlineStr">
        <is>
          <t>no website — phone (910) 892-7279</t>
        </is>
      </c>
      <c r="S80" s="83" t="inlineStr">
        <is>
          <t>Med
(FSIS+NCDA 8-17)</t>
        </is>
      </c>
      <c r="T80"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
Beebop 9-28 (rank #5). NCDA directory 9-18: P-221, slaughter + processing, species A,B,C (calves, cattle, SWINE).</t>
        </is>
      </c>
    </row>
    <row r="81" ht="72" customHeight="1" s="59">
      <c r="A81" s="146" t="inlineStr">
        <is>
          <t>SCR International Corp.</t>
        </is>
      </c>
      <c r="B81" s="83" t="inlineStr">
        <is>
          <t>Fairmont, NC (Robeson)</t>
        </is>
      </c>
      <c r="C81" s="83" t="inlineStr">
        <is>
          <t>USDA federal (T-A) whole-pig ROASTER house</t>
        </is>
      </c>
      <c r="D81" s="83" t="inlineStr">
        <is>
          <t>~19-192/wk
(FSIS cat 2)</t>
        </is>
      </c>
      <c r="E81" s="110" t="inlineStr">
        <is>
          <t>NO · ~131 mi ≈
(Pikeville: ~114 mi)</t>
        </is>
      </c>
      <c r="F81" s="139" t="inlineStr">
        <is>
          <t>0-300/wk (cat-2 ≤192)</t>
        </is>
      </c>
      <c r="G81" s="134" t="inlineStr">
        <is>
          <t>MARKET + SOW flags —
reality: roasters 10-110 lb
for the lechon/ethnic trade</t>
        </is>
      </c>
      <c r="H81" s="83" t="inlineStr">
        <is>
          <t>USDA ✓ M9199 + P9199
(TA-9199 in the state TA directory)</t>
        </is>
      </c>
      <c r="I81" s="83" t="inlineStr">
        <is>
          <t>None found</t>
        </is>
      </c>
      <c r="J81" s="83" t="inlineStr">
        <is>
          <t>Federal grant → harvest-path eligible in principle</t>
        </is>
      </c>
      <c r="K81" s="83" t="inlineStr">
        <is>
          <t>None found (no FTP documentation, no HH enforcement rows)</t>
        </is>
      </c>
      <c r="L81" s="83" t="inlineStr">
        <is>
          <t>WEAK — roasters dressed whole; small-pig anatomy wrong for surgical models; sow flag likely incidental</t>
        </is>
      </c>
      <c r="M81" s="83" t="inlineStr">
        <is>
          <t>No upside vs Parks</t>
        </is>
      </c>
      <c r="N81" s="83" t="inlineStr">
        <is>
          <t>Duplicates Parks' niche</t>
        </is>
      </c>
      <c r="O81" s="83" t="inlineStr">
        <is>
          <t>(910) 628-8267
alt (917) 698-3312
csmeatinternational@gmail.com</t>
        </is>
      </c>
      <c r="P81" s="140" t="inlineStr">
        <is>
          <t>CAUTION</t>
        </is>
      </c>
      <c r="Q81" s="178" t="inlineStr">
        <is>
          <t>OUT — a second Parks (roaster/lechon house) with no upside, ~114 mi, dead website.</t>
        </is>
      </c>
      <c r="R81" s="179" t="inlineStr">
        <is>
          <t>srcinternationalcorp.com (DNS-dead)</t>
        </is>
      </c>
      <c r="S81" s="83" t="inlineStr">
        <is>
          <t>Med
(FSIS+NCDA 8-17)</t>
        </is>
      </c>
      <c r="T81"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row>
    <row r="82" ht="85.40000000000001" customHeight="1" s="59">
      <c r="A82" s="146" t="inlineStr">
        <is>
          <t>Caudle Meat (Greene Co.) — WATCH</t>
        </is>
      </c>
      <c r="B82" s="83" t="inlineStr">
        <is>
          <t>Greene County, NC (site unlocated)</t>
        </is>
      </c>
      <c r="C82" s="83" t="inlineStr">
        <is>
          <t>NCAMPI grantee — NO inspection grant yet</t>
        </is>
      </c>
      <c r="D82" s="83" t="inlineStr">
        <is>
          <t>n/a — not yet operating
(no directory record)</t>
        </is>
      </c>
      <c r="E82" s="88" t="inlineStr">
        <is>
          <t>YES · ~95 mi ≈</t>
        </is>
      </c>
      <c r="F82" s="143" t="inlineStr">
        <is>
          <t>confirm (pre-grant)</t>
        </is>
      </c>
      <c r="G82" s="134" t="inlineStr">
        <is>
          <t>unknown</t>
        </is>
      </c>
      <c r="H82" s="83" t="inlineStr">
        <is>
          <t>NOT in any 2026-08-10 directory
(state, TA, or custom)</t>
        </is>
      </c>
      <c r="I82" s="83" t="inlineStr">
        <is>
          <t>n/a</t>
        </is>
      </c>
      <c r="J82" s="83" t="inlineStr">
        <is>
          <t>n/a</t>
        </is>
      </c>
      <c r="K82" s="83" t="inlineStr">
        <is>
          <t>unknown</t>
        </is>
      </c>
      <c r="L82" s="83" t="inlineStr">
        <is>
          <t>unknown</t>
        </is>
      </c>
      <c r="M82" s="83" t="inlineStr">
        <is>
          <t>unknown</t>
        </is>
      </c>
      <c r="N82" s="83" t="inlineStr">
        <is>
          <t>unknown</t>
        </is>
      </c>
      <c r="O82" s="83" t="inlineStr">
        <is>
          <t>— (a 'Caudle's Meat Processing, LLC'
is registered in Cary NC — link unconfirmed)</t>
        </is>
      </c>
      <c r="P82" s="140" t="inlineStr">
        <is>
          <t>WATCH</t>
        </is>
      </c>
      <c r="Q82" s="178" t="inlineStr">
        <is>
          <t>Watch item — not usable yet; track for a grant or status change (see notes).</t>
        </is>
      </c>
      <c r="R82" s="179" t="inlineStr">
        <is>
          <t>—</t>
        </is>
      </c>
      <c r="S82" s="83" t="inlineStr">
        <is>
          <t>Low-Med
(FSIS+NCDA 8-17)</t>
        </is>
      </c>
      <c r="T82"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row>
    <row r="83" ht="98.8" customHeight="1" s="59">
      <c r="A83" s="146" t="inlineStr">
        <is>
          <t>Select Meats, Inc.</t>
        </is>
      </c>
      <c r="B83" s="83" t="inlineStr">
        <is>
          <t>Kannapolis, NC (Rowan)</t>
        </is>
      </c>
      <c r="C83" s="83" t="inlineStr">
        <is>
          <t>USDA federal (T-A) SLAUGHTER-ONLY plant</t>
        </is>
      </c>
      <c r="D83" s="83" t="inlineStr">
        <is>
          <t>~19-192/wk all species
(FSIS cat 2)</t>
        </is>
      </c>
      <c r="E83" s="88" t="inlineStr">
        <is>
          <t>YES · ~114 mi (borderline)
(Pikeville: ~190 mi)</t>
        </is>
      </c>
      <c r="F83" s="139" t="inlineStr">
        <is>
          <t>0-300/wk
(cat-2 ≤192, all species)</t>
        </is>
      </c>
      <c r="G83" s="134" t="inlineStr">
        <is>
          <t>MARKET only
(cattle + hogs; mgr Gerald Wood)</t>
        </is>
      </c>
      <c r="H83" s="83" t="inlineStr">
        <is>
          <t>USDA ✓ M10757
(TA-10757 in the state TA directory)</t>
        </is>
      </c>
      <c r="I83" s="83" t="inlineStr">
        <is>
          <t>None found</t>
        </is>
      </c>
      <c r="J83" s="83" t="inlineStr">
        <is>
          <t>Federal grant → harvest-path eligible</t>
        </is>
      </c>
      <c r="K83" s="83" t="inlineStr">
        <is>
          <t>None found</t>
        </is>
      </c>
      <c r="L83" s="83" t="inlineStr">
        <is>
          <t>Plausible-unknown — slaughter-only custom plant, organ return typical but undocumented</t>
        </is>
      </c>
      <c r="M83" s="83" t="inlineStr">
        <is>
          <t>Could be a CQP-style Model A host IF the building supports it — near-zero public footprint</t>
        </is>
      </c>
      <c r="N83" s="83" t="inlineStr">
        <is>
          <t>Plausible</t>
        </is>
      </c>
      <c r="O83" s="83" t="inlineStr">
        <is>
          <t>(704) 202-9340 (FSIS)
alt (704) 933-7550 (NCDA&amp;CS)
Mgr: Gerald Wood</t>
        </is>
      </c>
      <c r="P83" s="140" t="inlineStr">
        <is>
          <t>POSSIBLE</t>
        </is>
      </c>
      <c r="Q83" s="178" t="inlineStr">
        <is>
          <t>TIER 3 — western sleeper: slaughter-only market-hog floor, but 190 mi and near-zero public footprint; one call resolves it.</t>
        </is>
      </c>
      <c r="R83" s="179" t="inlineStr">
        <is>
          <t>no website — phone (704) 202-9340</t>
        </is>
      </c>
      <c r="S83" s="83" t="inlineStr">
        <is>
          <t>Low-Med
(FSIS+NCDA 8-17)</t>
        </is>
      </c>
      <c r="T83"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
Beebop 9-28 (rank #17): now INSIDE the radius from Durham (~115 road mi vs ~190 from Pikeville) — 'near the boundary; check the actual departure point before a visit'.</t>
        </is>
      </c>
    </row>
    <row r="84" ht="72" customHeight="1" s="59">
      <c r="A84" s="146" t="inlineStr">
        <is>
          <t>Crawley's Abattoir</t>
        </is>
      </c>
      <c r="B84" s="83" t="inlineStr">
        <is>
          <t>Morganton, NC (Burke)</t>
        </is>
      </c>
      <c r="C84" s="83" t="inlineStr">
        <is>
          <t>NC STATE-inspected slaughter + processing</t>
        </is>
      </c>
      <c r="D84" s="83" t="inlineStr">
        <is>
          <t>unknown — state plants
publish no volumes</t>
        </is>
      </c>
      <c r="E84" s="110" t="inlineStr">
        <is>
          <t>NO · ~170 mi ≈
(Pikeville: ~245 mi)</t>
        </is>
      </c>
      <c r="F84" s="143" t="inlineStr">
        <is>
          <t>confirm
(state — no volume published)</t>
        </is>
      </c>
      <c r="G84" s="134" t="inlineStr">
        <is>
          <t>HOGS + goats/sheep
(state species C, D, E)</t>
        </is>
      </c>
      <c r="H84" s="83" t="inlineStr">
        <is>
          <t>STATE ✓ P-101
(NC state — APHIS-equivalent
for our harvest path)</t>
        </is>
      </c>
      <c r="I84" s="83" t="inlineStr">
        <is>
          <t>None found (state plants sit outside FSIS reporting)</t>
        </is>
      </c>
      <c r="J84" s="83" t="inlineStr">
        <is>
          <t>NC state inspection = APHIS-accepted equivalent when WE harvest</t>
        </is>
      </c>
      <c r="K84" s="83" t="inlineStr">
        <is>
          <t>Nothing published either way.</t>
        </is>
      </c>
      <c r="L84" s="83" t="inlineStr">
        <is>
          <t>Plausible-untested</t>
        </is>
      </c>
      <c r="M84" s="83" t="inlineStr">
        <is>
          <t>Western-crew / Model B only (distance)</t>
        </is>
      </c>
      <c r="N84" s="83" t="inlineStr">
        <is>
          <t>Plausible</t>
        </is>
      </c>
      <c r="O84" s="83" t="inlineStr">
        <is>
          <t>(828) 584-6356</t>
        </is>
      </c>
      <c r="P84" s="140" t="inlineStr">
        <is>
          <t>POSSIBLE</t>
        </is>
      </c>
      <c r="Q84" s="178" t="inlineStr">
        <is>
          <t>Back-pool — passes no current tier; see Fit and notes for what a call would need to change.</t>
        </is>
      </c>
      <c r="R84" s="179" t="inlineStr">
        <is>
          <t>—</t>
        </is>
      </c>
      <c r="S84" s="83" t="inlineStr">
        <is>
          <t>Low-Med
(FSIS+NCDA 8-17)</t>
        </is>
      </c>
      <c r="T84"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t>
        </is>
      </c>
    </row>
    <row r="85" ht="112.2" customHeight="1" s="59">
      <c r="A85" s="146" t="inlineStr">
        <is>
          <t>Western NC micro federal plants (roll-up)</t>
        </is>
      </c>
      <c r="B85" s="83" t="inlineStr">
        <is>
          <t>Marion / Rutherfordton / Marshville / Yadkinville, NC</t>
        </is>
      </c>
      <c r="C85" s="83" t="inlineStr">
        <is>
          <t>4 small USDA federal plants, all cat 1</t>
        </is>
      </c>
      <c r="D85" s="83" t="inlineStr">
        <is>
          <t>&lt;19/wk each
(FSIS cat 1)</t>
        </is>
      </c>
      <c r="E85" s="88" t="inlineStr">
        <is>
          <t>YES · ~32 mi ≈</t>
        </is>
      </c>
      <c r="F85" s="139" t="inlineStr">
        <is>
          <t>0-300/wk (&lt;19 each)</t>
        </is>
      </c>
      <c r="G85" s="134" t="inlineStr">
        <is>
          <t>Mixed (market; some sow/boar)</t>
        </is>
      </c>
      <c r="H85" s="83" t="inlineStr">
        <is>
          <t>USDA ✓ — Blueridge Processing M2225 (Marion);
Circle S Meats M1916 (Rutherfordton);
Plantation Processing M790 (Marshville);
Cool Springs M1041 (Yadkinville)</t>
        </is>
      </c>
      <c r="I85" s="83" t="inlineStr">
        <is>
          <t>None found</t>
        </is>
      </c>
      <c r="J85" s="83" t="inlineStr">
        <is>
          <t>Federal grants → harvest-path eligible</t>
        </is>
      </c>
      <c r="K85" s="83" t="inlineStr">
        <is>
          <t>None found</t>
        </is>
      </c>
      <c r="L85" s="83" t="inlineStr">
        <is>
          <t>n/a at this volume</t>
        </is>
      </c>
      <c r="M85" s="83" t="inlineStr">
        <is>
          <t>No — too small, too far</t>
        </is>
      </c>
      <c r="N85" s="83" t="inlineStr">
        <is>
          <t>No</t>
        </is>
      </c>
      <c r="O85" s="83" t="inlineStr">
        <is>
          <t>Blueridge (828) 803-1264 · Circle S (828) 429-3047
(FSIS lists a typo'd number) ·
Plantation (704) 385-9429 · Cool Springs (336) 835-5377</t>
        </is>
      </c>
      <c r="P85" s="141" t="inlineStr">
        <is>
          <t>OUT / FLAG</t>
        </is>
      </c>
      <c r="Q85" s="178" t="inlineStr">
        <is>
          <t>Not a candidate — fails a hard gate or adds nothing vs the base (see notes).</t>
        </is>
      </c>
      <c r="R85" s="179" t="inlineStr">
        <is>
          <t>—</t>
        </is>
      </c>
      <c r="S85" s="83" t="inlineStr">
        <is>
          <t>High
(FSIS+NCDA 8-17)</t>
        </is>
      </c>
      <c r="T85"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row>
    <row r="86" ht="125.6" customHeight="1" s="59">
      <c r="A86" s="146" t="inlineStr">
        <is>
          <t>⚠ CLOSURES 2025-26 (roll-up) — the small-plant pool is SHRINKING</t>
        </is>
      </c>
      <c r="B86" s="83" t="inlineStr">
        <is>
          <t>across NC</t>
        </is>
      </c>
      <c r="C86" s="83" t="inlineStr">
        <is>
          <t>FSIS-inactive establishments</t>
        </is>
      </c>
      <c r="D86" s="83" t="inlineStr">
        <is>
          <t>n/a</t>
        </is>
      </c>
      <c r="E86" s="88" t="inlineStr">
        <is>
          <t>YES · ~95 mi ≈</t>
        </is>
      </c>
      <c r="F86" s="143" t="inlineStr">
        <is>
          <t>n/a</t>
        </is>
      </c>
      <c r="G86" s="134" t="inlineStr">
        <is>
          <t>n/a</t>
        </is>
      </c>
      <c r="H86" s="83" t="inlineStr">
        <is>
          <t>All confirmed on the FSIS INACTIVE
directory retrieved 2026-08-17</t>
        </is>
      </c>
      <c r="I86" s="83" t="inlineStr">
        <is>
          <t>n/a</t>
        </is>
      </c>
      <c r="J86" s="83" t="inlineStr">
        <is>
          <t>n/a</t>
        </is>
      </c>
      <c r="K86" s="83" t="inlineStr">
        <is>
          <t>n/a</t>
        </is>
      </c>
      <c r="L86" s="83" t="inlineStr">
        <is>
          <t>n/a</t>
        </is>
      </c>
      <c r="M86" s="83" t="inlineStr">
        <is>
          <t>n/a</t>
        </is>
      </c>
      <c r="N86" s="83" t="inlineStr">
        <is>
          <t>n/a</t>
        </is>
      </c>
      <c r="O86" s="83" t="inlineStr">
        <is>
          <t>—</t>
        </is>
      </c>
      <c r="P86" s="141" t="inlineStr">
        <is>
          <t>OUT / FLAG</t>
        </is>
      </c>
      <c r="Q86" s="178" t="inlineStr">
        <is>
          <t>Not a candidate — closed / no inspected operation (see notes).</t>
        </is>
      </c>
      <c r="R86" s="179" t="inlineStr">
        <is>
          <t>—</t>
        </is>
      </c>
      <c r="S86" s="83" t="inlineStr">
        <is>
          <t>High
(FSIS+NCDA 8-17)</t>
        </is>
      </c>
      <c r="T86"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row>
    <row r="87" ht="19.7" customHeight="1" s="59">
      <c r="A87" s="118" t="inlineStr">
        <is>
          <t>SOUTH CAROLINA — NEWLY FOUND (Clemson SCMPID official workbook)</t>
        </is>
      </c>
    </row>
    <row r="88" ht="58.6" customHeight="1" s="59">
      <c r="A88" s="4" t="inlineStr">
        <is>
          <t>SC 'Cross Utilization Federal' slaughter plants (roll-up)</t>
        </is>
      </c>
      <c r="B88" s="68" t="inlineStr">
        <is>
          <t>SC</t>
        </is>
      </c>
      <c r="C88" s="68" t="inlineStr">
        <is>
          <t>FEDERAL est. inspected by SC state staff (SC's Talmadge-Aiken analogue)</t>
        </is>
      </c>
      <c r="D88" s="68" t="inlineStr">
        <is>
          <t>unknown</t>
        </is>
      </c>
      <c r="E88" s="110" t="inlineStr">
        <is>
          <t>NO · ~231 mi ≈</t>
        </is>
      </c>
      <c r="F88" s="143" t="inlineStr">
        <is>
          <t>confirm</t>
        </is>
      </c>
      <c r="G88" s="68" t="inlineStr">
        <is>
          <t>CONFIRM — no species column in SC file</t>
        </is>
      </c>
      <c r="H88" s="68" t="inlineStr">
        <is>
          <t>USDA federal-equivalent
(interstate/export eligible)</t>
        </is>
      </c>
      <c r="I88" s="68" t="inlineStr">
        <is>
          <t>None found — and SC LEGALLY REFUSES to release humane records, so screening returns false negatives by construction</t>
        </is>
      </c>
      <c r="J88" s="68" t="inlineStr">
        <is>
          <t>Federal-equivalent — SC's ONLY export-eligible slaughter route. APHIS listing unverified</t>
        </is>
      </c>
      <c r="K88" s="68" t="inlineStr">
        <is>
          <t>None found</t>
        </is>
      </c>
      <c r="L88" s="68" t="inlineStr">
        <is>
          <t>unknown</t>
        </is>
      </c>
      <c r="M88" s="68" t="inlineStr">
        <is>
          <t>Plausible</t>
        </is>
      </c>
      <c r="N88" s="68" t="inlineStr">
        <is>
          <t>Plausible</t>
        </is>
      </c>
      <c r="O88" s="68" t="inlineStr">
        <is>
          <t>see notes →</t>
        </is>
      </c>
      <c r="P88" s="23" t="inlineStr">
        <is>
          <t>POSSIBLE</t>
        </is>
      </c>
      <c r="Q88" s="178" t="inlineStr">
        <is>
          <t>Context roll-up — not an individual candidate.</t>
        </is>
      </c>
      <c r="R88" s="179" t="inlineStr">
        <is>
          <t>—</t>
        </is>
      </c>
      <c r="S88" s="68" t="inlineStr">
        <is>
          <t>Med
(study 8-03/05)</t>
        </is>
      </c>
      <c r="T88"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89" ht="98.8" customHeight="1" s="59">
      <c r="A89" s="4" t="inlineStr">
        <is>
          <t>SC state-inspected slaughter plants (roll-up)</t>
        </is>
      </c>
      <c r="B89" s="68" t="inlineStr">
        <is>
          <t>SC</t>
        </is>
      </c>
      <c r="C89" s="68" t="inlineStr">
        <is>
          <t>SC STATE-inspected (intrastate only)</t>
        </is>
      </c>
      <c r="D89" s="68" t="inlineStr">
        <is>
          <t>unknown (est. SMALL)</t>
        </is>
      </c>
      <c r="E89" s="110" t="inlineStr">
        <is>
          <t>NO · ~231 mi ≈</t>
        </is>
      </c>
      <c r="F89" s="143" t="inlineStr">
        <is>
          <t>confirm</t>
        </is>
      </c>
      <c r="G89" s="68" t="inlineStr">
        <is>
          <t>CONFIRM — no species column</t>
        </is>
      </c>
      <c r="H89" s="68" t="inlineStr">
        <is>
          <t>STATE only
(NOT USDA — FLAG)</t>
        </is>
      </c>
      <c r="I89" s="68" t="inlineStr">
        <is>
          <t>SC law blocks release of humane-handling records — public screening is unreliable by construction</t>
        </is>
      </c>
      <c r="J89" s="112" t="inlineStr">
        <is>
          <t>⛔ State-inspected, non-NC — NOT accepted as equivalent. Needs USDA/FSIS to qualify for Path 1.</t>
        </is>
      </c>
      <c r="K89" s="68" t="inlineStr">
        <is>
          <t>SC LEGALLY REFUSES to release humane-handling records — screening returns false negatives by construction</t>
        </is>
      </c>
      <c r="L89" s="68" t="inlineStr">
        <is>
          <t>unknown</t>
        </is>
      </c>
      <c r="M89" s="68" t="inlineStr">
        <is>
          <t>Plausible</t>
        </is>
      </c>
      <c r="N89" s="68" t="inlineStr">
        <is>
          <t>Implausible</t>
        </is>
      </c>
      <c r="O89" s="68" t="inlineStr">
        <is>
          <t>see notes →</t>
        </is>
      </c>
      <c r="P89" s="23" t="inlineStr">
        <is>
          <t>CAUTION</t>
        </is>
      </c>
      <c r="Q89" s="178" t="inlineStr">
        <is>
          <t>Context roll-up — not an individual candidate.</t>
        </is>
      </c>
      <c r="R89" s="179" t="inlineStr">
        <is>
          <t>—</t>
        </is>
      </c>
      <c r="S89" s="68" t="inlineStr">
        <is>
          <t>Med
(study 8-03/05)</t>
        </is>
      </c>
      <c r="T89"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90" ht="19.7" customHeight="1" s="59">
      <c r="A90" s="118" t="inlineStr">
        <is>
          <t>TENNESSEE &amp; VIRGINIA — SOW plants and corrections</t>
        </is>
      </c>
    </row>
    <row r="91" ht="58.6" customHeight="1" s="59">
      <c r="A91" s="4" t="inlineStr">
        <is>
          <t>Swaggerty Sausage Co.</t>
        </is>
      </c>
      <c r="B91" s="68" t="inlineStr">
        <is>
          <t>Kodak, TN (Sevier)</t>
        </is>
      </c>
      <c r="C91" s="68" t="inlineStr">
        <is>
          <t>USDA federal — PRIMARILY SOWS</t>
        </is>
      </c>
      <c r="D91" s="68" t="inlineStr">
        <is>
          <t>~4,250/wk (850 hd/day)</t>
        </is>
      </c>
      <c r="E91" s="110" t="inlineStr">
        <is>
          <t>NO · ~325 mi ≈</t>
        </is>
      </c>
      <c r="F91" s="136" t="inlineStr">
        <is>
          <t>1,250-5,000/wk (~4,250)</t>
        </is>
      </c>
      <c r="G91" s="68" t="inlineStr">
        <is>
          <t>Yes — SOWS</t>
        </is>
      </c>
      <c r="H91" s="68" t="inlineStr">
        <is>
          <t>USDA ✓ M8314 + V8314</t>
        </is>
      </c>
      <c r="I91" s="25" t="inlineStr">
        <is>
          <t>⚠ Two TN OSHA machine-guarding actions (2018 complaint-driven, 2024 planned; same 1910.212(a)(1) standard 6 yrs apart)</t>
        </is>
      </c>
      <c r="J91" s="68" t="inlineStr">
        <is>
          <t>Federal (M8314). Not confirmed on public export lists</t>
        </is>
      </c>
      <c r="K91" s="68" t="inlineStr">
        <is>
          <t>⚠ Two TN OSHA machine-guarding actions 6 yrs apart (2018, 2024, same standard) — worker-welfare flag</t>
        </is>
      </c>
      <c r="L91" s="68" t="inlineStr">
        <is>
          <t>No existing organ programme — would have to be BUILT</t>
        </is>
      </c>
      <c r="M91" s="68" t="inlineStr">
        <is>
          <t>Possible</t>
        </is>
      </c>
      <c r="N91" s="68" t="inlineStr">
        <is>
          <t>Plausible</t>
        </is>
      </c>
      <c r="O91" s="68" t="inlineStr">
        <is>
          <t>2827 Swaggerty Rd, Kodak TN 37764</t>
        </is>
      </c>
      <c r="P91" s="23" t="inlineStr">
        <is>
          <t>POSSIBLE</t>
        </is>
      </c>
      <c r="Q91" s="178" t="inlineStr">
        <is>
          <t>Back-pool — passes no current tier; see Fit and notes for what a call would need to change.</t>
        </is>
      </c>
      <c r="R91" s="179" t="inlineStr">
        <is>
          <t>—</t>
        </is>
      </c>
      <c r="S91" s="68" t="inlineStr">
        <is>
          <t>Med
(study 8-03/05)</t>
        </is>
      </c>
      <c r="T91" s="68" t="inlineStr">
        <is>
          <t>#7 US SOW plant; 50,000 sq ft expansion recently online. MEDIUM-HIGH tier. Sow anatomy is closer to adult human scale — potentially an ADVANTAGE for pelvic/bariatric blocks. Confirm against the anatomical spec.</t>
        </is>
      </c>
    </row>
    <row r="92" ht="112.2" customHeight="1" s="59">
      <c r="A92" s="4" t="inlineStr">
        <is>
          <t>Wampler's Farm Sausage Co.</t>
        </is>
      </c>
      <c r="B92" s="68" t="inlineStr">
        <is>
          <t>Lenoir City, TN (Loudon)</t>
        </is>
      </c>
      <c r="C92" s="68" t="inlineStr">
        <is>
          <t>USDA federal — PRIMARILY SOWS</t>
        </is>
      </c>
      <c r="D92" s="68" t="inlineStr">
        <is>
          <t>~1,500/wk (300 hd/day)</t>
        </is>
      </c>
      <c r="E92" s="110" t="inlineStr">
        <is>
          <t>NO · ~369 mi ≈</t>
        </is>
      </c>
      <c r="F92" s="136" t="inlineStr">
        <is>
          <t>1,250-5,000/wk (~1,500)</t>
        </is>
      </c>
      <c r="G92" s="133" t="inlineStr">
        <is>
          <t>MARKET + SOW
(not sow-only)</t>
        </is>
      </c>
      <c r="H92" s="68" t="inlineStr">
        <is>
          <t>USDA ✓ M9065 + P9065 + V9065</t>
        </is>
      </c>
      <c r="I92"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J92" s="68" t="inlineStr">
        <is>
          <t>Federal (M9065). Not confirmed on public export lists</t>
        </is>
      </c>
      <c r="K92" s="68" t="inlineStr">
        <is>
          <t>Family-owned since 1937 BUT production hiring routes through 3 staffing agencies at $12-14/hr — against the tenure criterion</t>
        </is>
      </c>
      <c r="L92" s="68" t="inlineStr">
        <is>
          <t>unknown</t>
        </is>
      </c>
      <c r="M92" s="68" t="inlineStr">
        <is>
          <t>Possible</t>
        </is>
      </c>
      <c r="N92" s="68" t="inlineStr">
        <is>
          <t>Plausible</t>
        </is>
      </c>
      <c r="O92" s="68" t="inlineStr">
        <is>
          <t>(865) 986-2056
781 Highway 70 W</t>
        </is>
      </c>
      <c r="P92" s="23" t="inlineStr">
        <is>
          <t>POSSIBLE</t>
        </is>
      </c>
      <c r="Q92" s="178" t="inlineStr">
        <is>
          <t>TIER-2-ADJACENT (TN) — real cat-3 federal floor (market+sow, ~1,500/wk) with a strong brand; distance → Model B-T; staffing-agency labor model cuts against the tenure criterion.</t>
        </is>
      </c>
      <c r="R92" s="179" t="inlineStr">
        <is>
          <t>wamplersfarmsausage.com</t>
        </is>
      </c>
      <c r="S92" s="68" t="inlineStr">
        <is>
          <t>Med
(study 8-03/05)</t>
        </is>
      </c>
      <c r="T92"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93" ht="45.2" customHeight="1" s="59">
      <c r="A93" s="4" t="inlineStr">
        <is>
          <t>Tyson (Hillshire / Jimmy Dean) — Newbern</t>
        </is>
      </c>
      <c r="B93" s="68" t="inlineStr">
        <is>
          <t>Newbern, TN (Dyer)</t>
        </is>
      </c>
      <c r="C93" s="68" t="inlineStr">
        <is>
          <t>Industrial — PRIMARILY SOWS</t>
        </is>
      </c>
      <c r="D93" s="68" t="inlineStr">
        <is>
          <t>~14,000/wk (2,800 hd/day)</t>
        </is>
      </c>
      <c r="E93" s="110" t="inlineStr">
        <is>
          <t>NO · ~701 mi ≈</t>
        </is>
      </c>
      <c r="F93" s="195" t="inlineStr">
        <is>
          <t>5,000+/wk (~14,000)</t>
        </is>
      </c>
      <c r="G93" s="68" t="inlineStr">
        <is>
          <t>MARKET + SOW
(roaster: No, boar/stag: No)</t>
        </is>
      </c>
      <c r="H93" s="68" t="inlineStr">
        <is>
          <t>USDA ✓ M8080 + P8080
(FSIS lists The Hillshire Brands Company)</t>
        </is>
      </c>
      <c r="I93" s="68" t="inlineStr">
        <is>
          <t>Not individually researched</t>
        </is>
      </c>
      <c r="J93" s="68" t="inlineStr">
        <is>
          <t>Federal. Export status not researched</t>
        </is>
      </c>
      <c r="K93" s="68" t="inlineStr">
        <is>
          <t>Corporate industrial</t>
        </is>
      </c>
      <c r="L93" s="68" t="inlineStr">
        <is>
          <t>unknown</t>
        </is>
      </c>
      <c r="M93" s="68" t="inlineStr">
        <is>
          <t>Low plausibility</t>
        </is>
      </c>
      <c r="N93" s="68" t="inlineStr">
        <is>
          <t>Model B only</t>
        </is>
      </c>
      <c r="O93" s="68" t="inlineStr">
        <is>
          <t>—</t>
        </is>
      </c>
      <c r="P93" s="23" t="inlineStr">
        <is>
          <t>POSSIBLE</t>
        </is>
      </c>
      <c r="Q93" s="178" t="inlineStr">
        <is>
          <t>Back-pool — passes no current tier; see Fit and notes for what a call would need to change.</t>
        </is>
      </c>
      <c r="R93" s="179" t="inlineStr">
        <is>
          <t>—</t>
        </is>
      </c>
      <c r="S93" s="68" t="inlineStr">
        <is>
          <t>High
(study 8-03/05)</t>
        </is>
      </c>
      <c r="T93" s="68" t="inlineStr">
        <is>
          <t>#3 US SOW plant. HIGH tier — access, not volume, is the constraint. Corporate conversation, not a plant conversation.</t>
        </is>
      </c>
    </row>
    <row r="94" ht="85.40000000000001" customHeight="1" s="59">
      <c r="A94" s="4" t="inlineStr">
        <is>
          <t>Gunnoe Sausage Co.</t>
        </is>
      </c>
      <c r="B94" s="68" t="inlineStr">
        <is>
          <t>Goode, VA (Bedford)</t>
        </is>
      </c>
      <c r="C94" s="68" t="inlineStr">
        <is>
          <t>Dedicated SOW slaughterhouse since 1965</t>
        </is>
      </c>
      <c r="D94" s="68" t="inlineStr">
        <is>
          <t>~450/wk (110 hd/day 2016 → 90/day 2017, DECLINING)</t>
        </is>
      </c>
      <c r="E94" s="110" t="inlineStr">
        <is>
          <t>NO · ~130 mi ≈ (borderline)</t>
        </is>
      </c>
      <c r="F94" s="143" t="inlineStr">
        <is>
          <t>confirm</t>
        </is>
      </c>
      <c r="G94" s="68" t="inlineStr">
        <is>
          <t>Yes — SOWS</t>
        </is>
      </c>
      <c r="H94" s="68" t="inlineStr">
        <is>
          <t>unknown — est. no. NOT captured</t>
        </is>
      </c>
      <c r="I94" s="68" t="inlineStr">
        <is>
          <t>None found (FSIS unreachable)</t>
        </is>
      </c>
      <c r="J94" s="68" t="inlineStr">
        <is>
          <t>Establishment number not captured — inspection + export status UNKNOWN</t>
        </is>
      </c>
      <c r="K94" s="68" t="inlineStr">
        <is>
          <t>None found</t>
        </is>
      </c>
      <c r="L94" s="68" t="inlineStr">
        <is>
          <t>unknown</t>
        </is>
      </c>
      <c r="M94" s="68" t="inlineStr">
        <is>
          <t>Plausible (small family op)</t>
        </is>
      </c>
      <c r="N94" s="68" t="inlineStr">
        <is>
          <t>Plausible</t>
        </is>
      </c>
      <c r="O94" s="68" t="inlineStr">
        <is>
          <t>(540) 586-1091
3989 Cifax Rd · gunnoesausage.com</t>
        </is>
      </c>
      <c r="P94" s="141" t="inlineStr">
        <is>
          <t>OUT / FLAG</t>
        </is>
      </c>
      <c r="Q94" s="178" t="inlineStr">
        <is>
          <t>Not a candidate — fails a hard gate or adds nothing vs the base (see notes).</t>
        </is>
      </c>
      <c r="R94" s="179" t="inlineStr">
        <is>
          <t>—</t>
        </is>
      </c>
      <c r="S94" s="68" t="inlineStr">
        <is>
          <t>High
(FSIS+MPI 8-06)</t>
        </is>
      </c>
      <c r="T94"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95" ht="45.2" customHeight="1" s="59">
      <c r="A95" s="4" t="inlineStr">
        <is>
          <t>VIRGINIA — coverage gap (action required)</t>
        </is>
      </c>
      <c r="B95" s="68" t="inlineStr">
        <is>
          <t>VA statewide</t>
        </is>
      </c>
      <c r="C95" s="68" t="inlineStr">
        <is>
          <t>n/a — enumeration incomplete</t>
        </is>
      </c>
      <c r="D95" s="68" t="inlineStr">
        <is>
          <t>n/a</t>
        </is>
      </c>
      <c r="E95" s="110" t="inlineStr">
        <is>
          <t>NO · ~1202 mi ≈</t>
        </is>
      </c>
      <c r="F95" s="143" t="inlineStr">
        <is>
          <t>n/a</t>
        </is>
      </c>
      <c r="G95" s="68" t="inlineStr">
        <is>
          <t>n/a</t>
        </is>
      </c>
      <c r="H95" s="68" t="inlineStr">
        <is>
          <t>VDACS publishes NO online directory</t>
        </is>
      </c>
      <c r="I95" s="68" t="inlineStr">
        <is>
          <t>n/a</t>
        </is>
      </c>
      <c r="J95" s="68" t="inlineStr">
        <is>
          <t>n/a</t>
        </is>
      </c>
      <c r="K95" s="68" t="inlineStr">
        <is>
          <t>n/a</t>
        </is>
      </c>
      <c r="L95" s="68" t="inlineStr">
        <is>
          <t>n/a</t>
        </is>
      </c>
      <c r="M95" s="68" t="inlineStr">
        <is>
          <t>n/a</t>
        </is>
      </c>
      <c r="N95" s="68" t="inlineStr">
        <is>
          <t>n/a</t>
        </is>
      </c>
      <c r="O95" s="68" t="inlineStr">
        <is>
          <t>VDACS 804-786-4569
omps@vdacs.virginia.gov</t>
        </is>
      </c>
      <c r="P95" s="23" t="inlineStr">
        <is>
          <t>CAUTION</t>
        </is>
      </c>
      <c r="Q95" s="178" t="inlineStr">
        <is>
          <t>Back-pool — passes no current tier; see Fit and notes for what a call would need to change.</t>
        </is>
      </c>
      <c r="R95" s="179" t="inlineStr">
        <is>
          <t>—</t>
        </is>
      </c>
      <c r="S95" s="68" t="inlineStr">
        <is>
          <t>High
(study 8-03/05)</t>
        </is>
      </c>
      <c r="T95"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96" ht="19.7" customHeight="1" s="59">
      <c r="A96" s="118" t="inlineStr">
        <is>
          <t>MEDIUM-HIGH BAND (2,500-5,000/wk) — FSIS category-4 sweep, the enumerable universe</t>
        </is>
      </c>
    </row>
    <row r="97" ht="58.6" customHeight="1" s="59">
      <c r="A97" s="4" t="inlineStr">
        <is>
          <t>Swaggerty Sausage Company</t>
        </is>
      </c>
      <c r="B97" s="68" t="inlineStr">
        <is>
          <t>Kodak, TN (Sevier)</t>
        </is>
      </c>
      <c r="C97" s="68" t="inlineStr">
        <is>
          <t>Captive SOW abattoir + sausage mfr (FSIS 'Large')</t>
        </is>
      </c>
      <c r="D97" s="68" t="inlineStr">
        <is>
          <t>~4,250/wk (850 hd/day EMI 2017; cat-4 confirms ≥2,000/wk)</t>
        </is>
      </c>
      <c r="E97" s="110" t="inlineStr">
        <is>
          <t>NO · ~325 mi ≈</t>
        </is>
      </c>
      <c r="F97" s="136" t="inlineStr">
        <is>
          <t>1,250-5,000/wk (~4,250)</t>
        </is>
      </c>
      <c r="G97" s="68" t="inlineStr">
        <is>
          <t>Yes — SOW ONLY (FSIS flags: sow=TRUE, market=FALSE)</t>
        </is>
      </c>
      <c r="H97" s="68" t="inlineStr">
        <is>
          <t>USDA ✓ M8314 + V8314 (V = voluntary grant)</t>
        </is>
      </c>
      <c r="I97" s="68" t="inlineStr">
        <is>
          <t>See the Welfare &amp; culture column — enforcement detail is carried there for these rows</t>
        </is>
      </c>
      <c r="J97" s="68" t="inlineStr">
        <is>
          <t>Not verified — APHIS publishes no searchable list; confirm with APHIS VS</t>
        </is>
      </c>
      <c r="K97" s="68" t="inlineStr">
        <is>
          <t>NO suspension in ANY FSIS QER FY2024Q1-FY2026Q2 (no public record ≠ clean). Prior TN OSHA machine-guarding actions 2018 &amp; 2024</t>
        </is>
      </c>
      <c r="L97" s="68" t="inlineStr">
        <is>
          <t>No existing organ programme — would be built. V-grant is useful for non-amenable/research material</t>
        </is>
      </c>
      <c r="M97" s="68" t="inlineStr">
        <is>
          <t>Plausible — single site, family-owned, decision-maker reachable</t>
        </is>
      </c>
      <c r="N97" s="68" t="inlineStr">
        <is>
          <t>Plausible</t>
        </is>
      </c>
      <c r="O97" s="68" t="inlineStr">
        <is>
          <t>(865) 933-2625
2827 Swaggerty Rd, Kodak TN 37764</t>
        </is>
      </c>
      <c r="P97" s="20" t="inlineStr">
        <is>
          <t>STRONG FIT</t>
        </is>
      </c>
      <c r="Q97" s="178" t="inlineStr">
        <is>
          <t>Back-pool — passes no current tier; see Fit and notes for what a call would need to change.</t>
        </is>
      </c>
      <c r="R97" s="179" t="inlineStr">
        <is>
          <t>—</t>
        </is>
      </c>
      <c r="S97" s="68" t="inlineStr">
        <is>
          <t>Med-High
(study 8-03/05)</t>
        </is>
      </c>
      <c r="T97"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98" ht="125.6" customHeight="1" s="59">
      <c r="A98" s="4" t="inlineStr">
        <is>
          <t>Peoria Packing, Ltd.</t>
        </is>
      </c>
      <c r="B98" s="68" t="inlineStr">
        <is>
          <t>Grant Park, IL (slaughter)</t>
        </is>
      </c>
      <c r="C98" s="68" t="inlineStr">
        <is>
          <t>USDA federal slaughter; sister processing plant in Chicago</t>
        </is>
      </c>
      <c r="D98" s="68" t="inlineStr">
        <is>
          <t>~3,000/wk (600 hd/day EMI 2017; cat-4)</t>
        </is>
      </c>
      <c r="E98" s="110" t="inlineStr">
        <is>
          <t>NO
(Durham: n/m)</t>
        </is>
      </c>
      <c r="F98" s="136" t="inlineStr">
        <is>
          <t>1,250-5,000/wk (~3,000)</t>
        </is>
      </c>
      <c r="G98" s="68" t="inlineStr">
        <is>
          <t>Yes — MARKET HOGS (butcher hogs 180-230 lb)</t>
        </is>
      </c>
      <c r="H98" s="68" t="inlineStr">
        <is>
          <t>USDA ✓ M21651 (slaughter)
Sister M21826+V21826 Chicago = Certification-Export</t>
        </is>
      </c>
      <c r="I98" s="68" t="inlineStr">
        <is>
          <t>See the Welfare &amp; culture column — enforcement detail is carried there for these rows</t>
        </is>
      </c>
      <c r="J98" s="68" t="inlineStr">
        <is>
          <t>Not verified — APHIS publishes no searchable list; confirm with APHIS VS</t>
        </is>
      </c>
      <c r="K98" s="68" t="inlineStr">
        <is>
          <t>NO suspension in any QER FY2024-FY2026 (no public record)</t>
        </is>
      </c>
      <c r="L98"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M98" s="68" t="inlineStr">
        <is>
          <t>Plausible</t>
        </is>
      </c>
      <c r="N98" s="68" t="inlineStr">
        <is>
          <t>EXCELLENT — already positions as medical/pharma supplier with spec flexibility</t>
        </is>
      </c>
      <c r="O98" s="68" t="inlineStr">
        <is>
          <t>(815) 465-9824 (Grant Park)
(312) 226-2600 (Chicago)</t>
        </is>
      </c>
      <c r="P98" s="20" t="inlineStr">
        <is>
          <t>STRONG FIT</t>
        </is>
      </c>
      <c r="Q98" s="178" t="inlineStr">
        <is>
          <t>Back-pool — passes no current tier; see Fit and notes for what a call would need to change.</t>
        </is>
      </c>
      <c r="R98" s="179" t="inlineStr">
        <is>
          <t>—</t>
        </is>
      </c>
      <c r="S98" s="68" t="inlineStr">
        <is>
          <t>Med
(study 8-03/05)</t>
        </is>
      </c>
      <c r="T98" s="68" t="inlineStr">
        <is>
          <t>★ BEST UNNAMED FIND — a genuine sleeper nobody had surfaced. Market hogs (not sows) so anatomy is smaller — confirm block dimensions suit the spec. Sister plant is export-certified.</t>
        </is>
      </c>
    </row>
    <row r="99" ht="179.2" customHeight="1" s="59">
      <c r="A99" s="4" t="inlineStr">
        <is>
          <t>Perry Way Foods, LLC (Sustainable Swine Resources)</t>
        </is>
      </c>
      <c r="B99" s="68" t="inlineStr">
        <is>
          <t>Watertown, WI</t>
        </is>
      </c>
      <c r="C99" s="68" t="inlineStr">
        <is>
          <t>SOW abattoir + medical tissue operation</t>
        </is>
      </c>
      <c r="D99" s="68" t="inlineStr">
        <is>
          <t>~4,250/wk (850 hd/day EMI 2017) — LIKELY HIGHER NOW (absorbed Momence volume + 2nd shift)</t>
        </is>
      </c>
      <c r="E99" s="110" t="inlineStr">
        <is>
          <t>NO
(Durham: n/m)</t>
        </is>
      </c>
      <c r="F99" s="136" t="inlineStr">
        <is>
          <t>1,250-5,000/wk (~4,250)</t>
        </is>
      </c>
      <c r="G99" s="68" t="inlineStr">
        <is>
          <t>Yes — SOW ONLY</t>
        </is>
      </c>
      <c r="H99" s="68" t="inlineStr">
        <is>
          <t>USDA ✓ M1962 + P1962</t>
        </is>
      </c>
      <c r="I99" s="68" t="inlineStr">
        <is>
          <t>See the Welfare &amp; culture column — enforcement detail is carried there for these rows</t>
        </is>
      </c>
      <c r="J99" s="68" t="inlineStr">
        <is>
          <t>Not verified — APHIS publishes no searchable list; confirm with APHIS VS</t>
        </is>
      </c>
      <c r="K99" s="68" t="inlineStr">
        <is>
          <t>NO suspension in any QER FY2024-FY2026 (no public record)</t>
        </is>
      </c>
      <c r="L99"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M99" s="68" t="inlineStr">
        <is>
          <t>⚠ May be REFUSED on channel conflict</t>
        </is>
      </c>
      <c r="N99" s="68" t="inlineStr">
        <is>
          <t>Already built and running — but for their own account</t>
        </is>
      </c>
      <c r="O99" s="68" t="inlineStr">
        <is>
          <t>(920) 261-1053
1222 Perry Way, Watertown WI 53094</t>
        </is>
      </c>
      <c r="P99" s="23" t="inlineStr">
        <is>
          <t>CAUTION</t>
        </is>
      </c>
      <c r="Q99" s="178" t="inlineStr">
        <is>
          <t>Back-pool — passes no current tier; see Fit and notes for what a call would need to change.</t>
        </is>
      </c>
      <c r="R99" s="179" t="inlineStr">
        <is>
          <t>—</t>
        </is>
      </c>
      <c r="S99" s="68" t="inlineStr">
        <is>
          <t>Med-High
(study 8-03/05)</t>
        </is>
      </c>
      <c r="T99"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100" ht="58.6" customHeight="1" s="59">
      <c r="A100" s="4" t="inlineStr">
        <is>
          <t>Banner Creek, LLC (Sustainable Swine Resources)</t>
        </is>
      </c>
      <c r="B100" s="68" t="inlineStr">
        <is>
          <t>Holton, KS</t>
        </is>
      </c>
      <c r="C100" s="68" t="inlineStr">
        <is>
          <t>SOW abattoir (Johnsonville / SSR)</t>
        </is>
      </c>
      <c r="D100" s="68" t="inlineStr">
        <is>
          <t>~5,500/wk (1,100 hd/day EMI 2017) — at/just above ceiling; likely higher post-Momence</t>
        </is>
      </c>
      <c r="E100" s="110" t="inlineStr">
        <is>
          <t>NO
(Durham: n/m)</t>
        </is>
      </c>
      <c r="F100" s="195" t="inlineStr">
        <is>
          <t>5,000+/wk (~5,500)</t>
        </is>
      </c>
      <c r="G100" s="68" t="inlineStr">
        <is>
          <t>Yes — SOW ONLY</t>
        </is>
      </c>
      <c r="H100" s="68" t="inlineStr">
        <is>
          <t>USDA ✓ M5536 + P5536</t>
        </is>
      </c>
      <c r="I100" s="68" t="inlineStr">
        <is>
          <t>See the Welfare &amp; culture column — enforcement detail is carried there for these rows</t>
        </is>
      </c>
      <c r="J100" s="68" t="inlineStr">
        <is>
          <t>Not verified — APHIS publishes no searchable list; confirm with APHIS VS</t>
        </is>
      </c>
      <c r="K100" s="68" t="inlineStr">
        <is>
          <t>NO suspension in any QER FY2024-FY2026 (no public record)</t>
        </is>
      </c>
      <c r="L100" s="68" t="inlineStr">
        <is>
          <t>Same SSR medical-tissue infrastructure as Perry Way (ISO 22442-2, GMP rooms, Customization Center)</t>
        </is>
      </c>
      <c r="M100" s="68" t="inlineStr">
        <is>
          <t>⚠ Same competitor caveat</t>
        </is>
      </c>
      <c r="N100" s="68" t="inlineStr">
        <is>
          <t>Already built for their own account</t>
        </is>
      </c>
      <c r="O100" s="68" t="inlineStr">
        <is>
          <t>(785) 364-3126
619 East 4th St, Holton KS 66436</t>
        </is>
      </c>
      <c r="P100" s="23" t="inlineStr">
        <is>
          <t>CAUTION</t>
        </is>
      </c>
      <c r="Q100" s="178" t="inlineStr">
        <is>
          <t>Back-pool — passes no current tier; see Fit and notes for what a call would need to change.</t>
        </is>
      </c>
      <c r="R100" s="179" t="inlineStr">
        <is>
          <t>—</t>
        </is>
      </c>
      <c r="S100" s="68" t="inlineStr">
        <is>
          <t>Med
(study 8-03/05)</t>
        </is>
      </c>
      <c r="T100" s="68" t="inlineStr">
        <is>
          <t>Second SSR harvest site. Top-of-band or just over. Same channel-conflict caveat as Perry Way.</t>
        </is>
      </c>
    </row>
    <row r="101" ht="192.6" customHeight="1" s="59">
      <c r="A101" s="4" t="inlineStr">
        <is>
          <t>Calihan Processing Cooperative</t>
        </is>
      </c>
      <c r="B101" s="68" t="inlineStr">
        <is>
          <t>Peoria, IL</t>
        </is>
      </c>
      <c r="C101" s="68" t="inlineStr">
        <is>
          <t>Producer-owned cooperative sow/market abattoir</t>
        </is>
      </c>
      <c r="D101" s="68" t="inlineStr">
        <is>
          <t>~3,500/wk — BEST-VERIFIED FIGURE IN THE BAND ('700 sows per day', company's own site)</t>
        </is>
      </c>
      <c r="E101" s="110" t="inlineStr">
        <is>
          <t>NO
(Durham: n/m)</t>
        </is>
      </c>
      <c r="F101" s="136" t="inlineStr">
        <is>
          <t>1,250-5,000/wk (~3,500)</t>
        </is>
      </c>
      <c r="G101" s="68" t="inlineStr">
        <is>
          <t>Yes — MKT + SOW + boar</t>
        </is>
      </c>
      <c r="H101" s="68" t="inlineStr">
        <is>
          <t>USDA ✓ M6775 + V6775
✅ Certification-Export ON THE GRANT</t>
        </is>
      </c>
      <c r="I101" s="68" t="inlineStr">
        <is>
          <t>See the Welfare &amp; culture column — enforcement detail is carried there for these rows</t>
        </is>
      </c>
      <c r="J101" s="68" t="inlineStr">
        <is>
          <t>Not verified — APHIS publishes no searchable list; confirm with APHIS VS</t>
        </is>
      </c>
      <c r="K101"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L101" s="68" t="inlineStr">
        <is>
          <t>unknown</t>
        </is>
      </c>
      <c r="M101" s="68" t="inlineStr">
        <is>
          <t>Plausible</t>
        </is>
      </c>
      <c r="N101" s="68" t="inlineStr">
        <is>
          <t>Plausible — new co-op board may welcome new revenue</t>
        </is>
      </c>
      <c r="O101" s="68" t="inlineStr">
        <is>
          <t>(309) 512-7124
One South Street, Peoria IL 61602
Ben Elbert (Plant Mgr) · Jason Jones (EVP Pork)</t>
        </is>
      </c>
      <c r="P101" s="23" t="inlineStr">
        <is>
          <t>CAUTION</t>
        </is>
      </c>
      <c r="Q101" s="178" t="inlineStr">
        <is>
          <t>Back-pool — passes no current tier; see Fit and notes for what a call would need to change.</t>
        </is>
      </c>
      <c r="R101" s="179" t="inlineStr">
        <is>
          <t>—</t>
        </is>
      </c>
      <c r="S101" s="68" t="inlineStr">
        <is>
          <t>High
(study 8-03/05)</t>
        </is>
      </c>
      <c r="T101"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102" ht="72" customHeight="1" s="59">
      <c r="A102" s="4" t="inlineStr">
        <is>
          <t>Clausen Meat Company, Inc.</t>
        </is>
      </c>
      <c r="B102" s="68" t="inlineStr">
        <is>
          <t>Turlock, CA (Merced)</t>
        </is>
      </c>
      <c r="C102" s="68" t="inlineStr">
        <is>
          <t>Federal abattoir; absorbed Jim's Farm Meats (Atwater)</t>
        </is>
      </c>
      <c r="D102" s="68" t="inlineStr">
        <is>
          <t>unknown precisely — cat-4 proves ≥2,000/wk; 2,500-5,000 is an INFERENCE from the absorbed 850 hd/day plant</t>
        </is>
      </c>
      <c r="E102" s="110" t="inlineStr">
        <is>
          <t>NO
(Durham: n/m)</t>
        </is>
      </c>
      <c r="F102" s="136" t="inlineStr">
        <is>
          <t>1,250-5,000/wk
(cat-4 ≥1,917 — confirm)</t>
        </is>
      </c>
      <c r="G102" s="68" t="inlineStr">
        <is>
          <t>Yes — MKT + SOW + roaster</t>
        </is>
      </c>
      <c r="H102" s="68" t="inlineStr">
        <is>
          <t>USDA ✓ M325</t>
        </is>
      </c>
      <c r="I102" s="68" t="inlineStr">
        <is>
          <t>See the Welfare &amp; culture column — enforcement detail is carried there for these rows</t>
        </is>
      </c>
      <c r="J102" s="68" t="inlineStr">
        <is>
          <t>Not verified — APHIS publishes no searchable list; confirm with APHIS VS</t>
        </is>
      </c>
      <c r="K102" s="68" t="inlineStr">
        <is>
          <t>🚨 INH suspension 15 Nov 2023 — NOT reinstated until 12 Apr 2024, roughly FIVE MONTHS out. A long suspension; warrants scrutiny</t>
        </is>
      </c>
      <c r="L102" s="68" t="inlineStr">
        <is>
          <t>unknown</t>
        </is>
      </c>
      <c r="M102" s="68" t="inlineStr">
        <is>
          <t>Plausible</t>
        </is>
      </c>
      <c r="N102" s="68" t="inlineStr">
        <is>
          <t>Plausible</t>
        </is>
      </c>
      <c r="O102" s="68" t="inlineStr">
        <is>
          <t>(209) 667-8690
19455 E Clausen Rd, Turlock CA 95380</t>
        </is>
      </c>
      <c r="P102" s="23" t="inlineStr">
        <is>
          <t>CAUTION</t>
        </is>
      </c>
      <c r="Q102" s="178" t="inlineStr">
        <is>
          <t>Back-pool — passes no current tier; see Fit and notes for what a call would need to change.</t>
        </is>
      </c>
      <c r="R102" s="179" t="inlineStr">
        <is>
          <t>—</t>
        </is>
      </c>
      <c r="S102" s="68" t="inlineStr">
        <is>
          <t>Low-Med
(study 8-03/05)</t>
        </is>
      </c>
      <c r="T102" s="68" t="inlineStr">
        <is>
          <t>The ONLY serious in-band candidate on the WEST COAST, and rare MKT+SOW+roaster flexibility. Volume is an inference, not a published figure — verify volume AND welfare directly.</t>
        </is>
      </c>
    </row>
    <row r="103" ht="19.7" customHeight="1" s="59">
      <c r="A103" s="118" t="inlineStr">
        <is>
          <t>JUST ABOVE BAND (~5,000-7,500/wk) — viable if the ceiling flexes</t>
        </is>
      </c>
    </row>
    <row r="104" ht="45.2" customHeight="1" s="59">
      <c r="A104" s="4" t="inlineStr">
        <is>
          <t>Leidy's, LLC</t>
        </is>
      </c>
      <c r="B104" s="68" t="inlineStr">
        <is>
          <t>Souderton, PA</t>
        </is>
      </c>
      <c r="C104" s="68" t="inlineStr">
        <is>
          <t>USDA federal — MARKET hogs</t>
        </is>
      </c>
      <c r="D104" s="68" t="inlineStr">
        <is>
          <t>~6,750/wk (1,350 hd/day EMI 2017)</t>
        </is>
      </c>
      <c r="E104" s="110" t="inlineStr">
        <is>
          <t>NO
(Durham: n/m)</t>
        </is>
      </c>
      <c r="F104" s="195" t="inlineStr">
        <is>
          <t>5,000+/wk (~5,000-7,000)</t>
        </is>
      </c>
      <c r="G104" s="68" t="inlineStr">
        <is>
          <t>Yes — MARKET</t>
        </is>
      </c>
      <c r="H104" s="68" t="inlineStr">
        <is>
          <t>USDA ✓ M9520+P9520+V9520
✅ EXPORT-CERTIFIED</t>
        </is>
      </c>
      <c r="I104" s="68" t="inlineStr">
        <is>
          <t>See the Welfare &amp; culture column — enforcement detail is carried there for these rows</t>
        </is>
      </c>
      <c r="J104" s="68" t="inlineStr">
        <is>
          <t>Not verified — APHIS publishes no searchable list; confirm with APHIS VS</t>
        </is>
      </c>
      <c r="K104" s="68" t="inlineStr">
        <is>
          <t>No QER suspension FY2024-FY2026 (no public record)</t>
        </is>
      </c>
      <c r="L104" s="68" t="inlineStr">
        <is>
          <t>unknown</t>
        </is>
      </c>
      <c r="M104" s="68" t="inlineStr">
        <is>
          <t>Plausible</t>
        </is>
      </c>
      <c r="N104" s="68" t="inlineStr">
        <is>
          <t>Plausible</t>
        </is>
      </c>
      <c r="O104" s="68" t="inlineStr">
        <is>
          <t>(215) 723-4606</t>
        </is>
      </c>
      <c r="P104" s="23" t="inlineStr">
        <is>
          <t>POSSIBLE</t>
        </is>
      </c>
      <c r="Q104" s="178" t="inlineStr">
        <is>
          <t>Back-pool — passes no current tier; see Fit and notes for what a call would need to change.</t>
        </is>
      </c>
      <c r="R104" s="179" t="inlineStr">
        <is>
          <t>—</t>
        </is>
      </c>
      <c r="S104" s="68" t="inlineStr">
        <is>
          <t>Med
(study 8-03/05)</t>
        </is>
      </c>
      <c r="T104" s="68" t="inlineStr">
        <is>
          <t>MID-ATLANTIC and EXPORT-CERTIFIED — relevant to the Pennsylvania-abattoir lead from Animal Biotech. Closest large export-capable plant to the NC operation.</t>
        </is>
      </c>
    </row>
    <row r="105" ht="45.2" customHeight="1" s="59">
      <c r="A105" s="4" t="inlineStr">
        <is>
          <t>Tri Eagle Provisions</t>
        </is>
      </c>
      <c r="B105" s="68" t="inlineStr">
        <is>
          <t>Tippecanoe, IN</t>
        </is>
      </c>
      <c r="C105" s="68" t="inlineStr">
        <is>
          <t>USDA federal — market + roaster</t>
        </is>
      </c>
      <c r="D105" s="68" t="inlineStr">
        <is>
          <t>~5,500/wk (1,100 hd/day EMI 2017)</t>
        </is>
      </c>
      <c r="E105" s="110" t="inlineStr">
        <is>
          <t>NO
(Durham: n/m)</t>
        </is>
      </c>
      <c r="F105" s="195" t="inlineStr">
        <is>
          <t>5,000+/wk (~5,500)</t>
        </is>
      </c>
      <c r="G105" s="68" t="inlineStr">
        <is>
          <t>Yes — MKT + roaster</t>
        </is>
      </c>
      <c r="H105" s="68" t="inlineStr">
        <is>
          <t>USDA ✓ M17496</t>
        </is>
      </c>
      <c r="I105" s="68" t="inlineStr">
        <is>
          <t>See the Welfare &amp; culture column — enforcement detail is carried there for these rows</t>
        </is>
      </c>
      <c r="J105" s="68" t="inlineStr">
        <is>
          <t>Not verified — APHIS publishes no searchable list; confirm with APHIS VS</t>
        </is>
      </c>
      <c r="K105" s="68" t="inlineStr">
        <is>
          <t>No QER suspension FY2024-FY2026</t>
        </is>
      </c>
      <c r="L105" s="68" t="inlineStr">
        <is>
          <t>unknown</t>
        </is>
      </c>
      <c r="M105" s="68" t="inlineStr">
        <is>
          <t>Plausible</t>
        </is>
      </c>
      <c r="N105" s="68" t="inlineStr">
        <is>
          <t>Plausible</t>
        </is>
      </c>
      <c r="O105" s="68" t="inlineStr">
        <is>
          <t>(574) 223-4600</t>
        </is>
      </c>
      <c r="P105" s="23" t="inlineStr">
        <is>
          <t>POSSIBLE</t>
        </is>
      </c>
      <c r="Q105" s="178" t="inlineStr">
        <is>
          <t>Back-pool — passes no current tier; see Fit and notes for what a call would need to change.</t>
        </is>
      </c>
      <c r="R105" s="179" t="inlineStr">
        <is>
          <t>—</t>
        </is>
      </c>
      <c r="S105" s="68" t="inlineStr">
        <is>
          <t>Med
(study 8-03/05)</t>
        </is>
      </c>
      <c r="T105" s="68" t="inlineStr">
        <is>
          <t>DBAs Vin Lee Ron, Maple Creek Packing.</t>
        </is>
      </c>
    </row>
    <row r="106" ht="45.2" customHeight="1" s="59">
      <c r="A106" s="4" t="inlineStr">
        <is>
          <t>Verschoor Meats</t>
        </is>
      </c>
      <c r="B106" s="68" t="inlineStr">
        <is>
          <t>Sioux City, IA</t>
        </is>
      </c>
      <c r="C106" s="68" t="inlineStr">
        <is>
          <t>USDA federal — market + boar</t>
        </is>
      </c>
      <c r="D106" s="68" t="inlineStr">
        <is>
          <t>~6,000/wk (1,200 hd/day EMI 2017)</t>
        </is>
      </c>
      <c r="E106" s="110" t="inlineStr">
        <is>
          <t>NO
(Durham: n/m)</t>
        </is>
      </c>
      <c r="F106" s="195" t="inlineStr">
        <is>
          <t>5,000+/wk (~6,000)</t>
        </is>
      </c>
      <c r="G106" s="68" t="inlineStr">
        <is>
          <t>Yes — MKT + boar</t>
        </is>
      </c>
      <c r="H106" s="68" t="inlineStr">
        <is>
          <t>USDA ✓ M363</t>
        </is>
      </c>
      <c r="I106" s="68" t="inlineStr">
        <is>
          <t>See the Welfare &amp; culture column — enforcement detail is carried there for these rows</t>
        </is>
      </c>
      <c r="J106" s="68" t="inlineStr">
        <is>
          <t>Not verified — APHIS publishes no searchable list; confirm with APHIS VS</t>
        </is>
      </c>
      <c r="K106" s="68" t="inlineStr">
        <is>
          <t>No QER suspension FY2024-FY2026</t>
        </is>
      </c>
      <c r="L106" s="68" t="inlineStr">
        <is>
          <t>unknown</t>
        </is>
      </c>
      <c r="M106" s="68" t="inlineStr">
        <is>
          <t>Plausible</t>
        </is>
      </c>
      <c r="N106" s="68" t="inlineStr">
        <is>
          <t>Plausible</t>
        </is>
      </c>
      <c r="O106" s="68" t="inlineStr">
        <is>
          <t>(712) 252-1847</t>
        </is>
      </c>
      <c r="P106" s="23" t="inlineStr">
        <is>
          <t>POSSIBLE</t>
        </is>
      </c>
      <c r="Q106" s="178" t="inlineStr">
        <is>
          <t>Back-pool — passes no current tier; see Fit and notes for what a call would need to change.</t>
        </is>
      </c>
      <c r="R106" s="179" t="inlineStr">
        <is>
          <t>—</t>
        </is>
      </c>
      <c r="S106" s="68" t="inlineStr">
        <is>
          <t>Med
(study 8-03/05)</t>
        </is>
      </c>
      <c r="T106" s="68" t="inlineStr">
        <is>
          <t>Iowa option just above band.</t>
        </is>
      </c>
    </row>
    <row r="107" ht="45.2" customHeight="1" s="59">
      <c r="A107" s="4" t="inlineStr">
        <is>
          <t>Premium Minnesota Pork</t>
        </is>
      </c>
      <c r="B107" s="68" t="inlineStr">
        <is>
          <t>Luverne, MN</t>
        </is>
      </c>
      <c r="C107" s="68" t="inlineStr">
        <is>
          <t>USDA federal — market</t>
        </is>
      </c>
      <c r="D107" s="68" t="inlineStr">
        <is>
          <t>unknown — FSIS category 4 (≥2,000/wk)</t>
        </is>
      </c>
      <c r="E107" s="110" t="inlineStr">
        <is>
          <t>NO
(Durham: n/m)</t>
        </is>
      </c>
      <c r="F107" s="143" t="inlineStr">
        <is>
          <t>confirm (cat-4 ≥1,917)</t>
        </is>
      </c>
      <c r="G107" s="68" t="inlineStr">
        <is>
          <t>Yes — MARKET</t>
        </is>
      </c>
      <c r="H107" s="68" t="inlineStr">
        <is>
          <t>USDA ✓ M21069L (newer grant, 2022)</t>
        </is>
      </c>
      <c r="I107" s="68" t="inlineStr">
        <is>
          <t>See the Welfare &amp; culture column — enforcement detail is carried there for these rows</t>
        </is>
      </c>
      <c r="J107" s="68" t="inlineStr">
        <is>
          <t>Not verified — APHIS publishes no searchable list; confirm with APHIS VS</t>
        </is>
      </c>
      <c r="K107" s="68" t="inlineStr">
        <is>
          <t>No QER suspension FY2024-FY2026</t>
        </is>
      </c>
      <c r="L107" s="68" t="inlineStr">
        <is>
          <t>unknown</t>
        </is>
      </c>
      <c r="M107" s="68" t="inlineStr">
        <is>
          <t>Plausible</t>
        </is>
      </c>
      <c r="N107" s="68" t="inlineStr">
        <is>
          <t>Plausible</t>
        </is>
      </c>
      <c r="O107" s="68" t="inlineStr">
        <is>
          <t>(712) 752-8666</t>
        </is>
      </c>
      <c r="P107" s="23" t="inlineStr">
        <is>
          <t>POSSIBLE</t>
        </is>
      </c>
      <c r="Q107" s="178" t="inlineStr">
        <is>
          <t>Back-pool — passes no current tier; see Fit and notes for what a call would need to change.</t>
        </is>
      </c>
      <c r="R107" s="179" t="inlineStr">
        <is>
          <t>—</t>
        </is>
      </c>
      <c r="S107" s="68" t="inlineStr">
        <is>
          <t>Low-Med
(study 8-03/05)</t>
        </is>
      </c>
      <c r="T107" s="68" t="inlineStr">
        <is>
          <t>Newer establishment; volume unpublished.</t>
        </is>
      </c>
    </row>
    <row r="108" ht="19.7" customHeight="1" s="59">
      <c r="A108" s="118" t="inlineStr">
        <is>
          <t>SOW &amp; DUAL-CLASS PLANTS — verified against USDA's own species flags</t>
        </is>
      </c>
    </row>
    <row r="109" ht="165.8" customHeight="1" s="59">
      <c r="A109" s="4" t="inlineStr">
        <is>
          <t>Pioneer Packing Company, Inc.</t>
        </is>
      </c>
      <c r="B109" s="68" t="inlineStr">
        <is>
          <t>Bowling Green, OH</t>
        </is>
      </c>
      <c r="C109" s="68" t="inlineStr">
        <is>
          <t>PURE SOW/BOAR abattoir (FSIS 'Small')</t>
        </is>
      </c>
      <c r="D109" s="68" t="inlineStr">
        <is>
          <t>~2,250-2,430/wk (450 hd/day EMI 2017, flat)</t>
        </is>
      </c>
      <c r="E109" s="110" t="inlineStr">
        <is>
          <t>NO
(Durham: n/m)</t>
        </is>
      </c>
      <c r="F109" s="136" t="inlineStr">
        <is>
          <t>1,250-5,000/wk (~2,250-2,430)</t>
        </is>
      </c>
      <c r="G109" s="68" t="inlineStr">
        <is>
          <t>Yes — SOW + BOAR ONLY (market_swine flag BLANK)</t>
        </is>
      </c>
      <c r="H109" s="68" t="inlineStr">
        <is>
          <t>USDA ✓ M372 (grant 2021)</t>
        </is>
      </c>
      <c r="I109" s="68" t="inlineStr">
        <is>
          <t>See the Welfare &amp; culture column — enforcement detail is carried there for these rows</t>
        </is>
      </c>
      <c r="J109" s="68" t="inlineStr">
        <is>
          <t>Not verified — APHIS publishes no searchable list; confirm with APHIS VS</t>
        </is>
      </c>
      <c r="K109" s="68" t="inlineStr">
        <is>
          <t>Not on the current FSIS enforcement page (that page covers only ~Aug 2025-Jul 2026 — NOT a clean record)</t>
        </is>
      </c>
      <c r="L109"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M109" s="68" t="inlineStr">
        <is>
          <t>STRONG — sow+boar only, single small site, pre-rigor culture</t>
        </is>
      </c>
      <c r="N109" s="68" t="inlineStr">
        <is>
          <t>STRONG — 'harvest to our spec' extends an existing SKU concept rather than creating a new discipline</t>
        </is>
      </c>
      <c r="O109" s="68" t="inlineStr">
        <is>
          <t>(419) 352-5283
510 Napoleon Rd, Bowling Green OH 43402
Mon-Fri 7am-2pm</t>
        </is>
      </c>
      <c r="P109" s="20" t="inlineStr">
        <is>
          <t>STRONG FIT</t>
        </is>
      </c>
      <c r="Q109" s="178" t="inlineStr">
        <is>
          <t>Back-pool — passes no current tier; see Fit and notes for what a call would need to change.</t>
        </is>
      </c>
      <c r="R109" s="179" t="inlineStr">
        <is>
          <t>—</t>
        </is>
      </c>
      <c r="S109" s="68" t="inlineStr">
        <is>
          <t>Med-High
(study 8-03/05)</t>
        </is>
      </c>
      <c r="T109"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110" ht="72" customHeight="1" s="59">
      <c r="A110" s="4" t="inlineStr">
        <is>
          <t>F.B. Purnell Sausage Co.</t>
        </is>
      </c>
      <c r="B110" s="68" t="inlineStr">
        <is>
          <t>Simpsonville, KY</t>
        </is>
      </c>
      <c r="C110" s="68" t="inlineStr">
        <is>
          <t>Sow + market slaughter + sausage mfr</t>
        </is>
      </c>
      <c r="D110" s="68" t="inlineStr">
        <is>
          <t>~2,500-2,700/wk (600/day 2016 → 500/day 2017 — DECLINING)</t>
        </is>
      </c>
      <c r="E110" s="110" t="inlineStr">
        <is>
          <t>NO
(Durham: n/m)</t>
        </is>
      </c>
      <c r="F110" s="136" t="inlineStr">
        <is>
          <t>1,250-5,000/wk (~2,500-2,700)</t>
        </is>
      </c>
      <c r="G110" s="68" t="inlineStr">
        <is>
          <t>Yes — BOTH sow AND market (USDA flags both = Yes)</t>
        </is>
      </c>
      <c r="H110" s="68" t="inlineStr">
        <is>
          <t>USDA ✓ M7464 + P7464 (grant 2021; category refreshed 2025-06)</t>
        </is>
      </c>
      <c r="I110" s="68" t="inlineStr">
        <is>
          <t>See the Welfare &amp; culture column — enforcement detail is carried there for these rows</t>
        </is>
      </c>
      <c r="J110" s="68" t="inlineStr">
        <is>
          <t>Not verified — APHIS publishes no searchable list; confirm with APHIS VS</t>
        </is>
      </c>
      <c r="K110" s="68" t="inlineStr">
        <is>
          <t>Not on the current FSIS enforcement page (1-yr window only — not a clean record)</t>
        </is>
      </c>
      <c r="L110" s="68" t="inlineStr">
        <is>
          <t>None found</t>
        </is>
      </c>
      <c r="M110" s="68" t="inlineStr">
        <is>
          <t>Plausible — small, family-run, single site, already runs a poultry grant so used to multi-programme oversight</t>
        </is>
      </c>
      <c r="N110" s="68" t="inlineStr">
        <is>
          <t>Plausible, but sausage-focused workflow means viscera likely already committed to rendering</t>
        </is>
      </c>
      <c r="O110" s="68" t="inlineStr">
        <is>
          <t>(502) 722-5626
6931 Shelbyville Rd · itsgooo-od.com</t>
        </is>
      </c>
      <c r="P110" s="23" t="inlineStr">
        <is>
          <t>POSSIBLE</t>
        </is>
      </c>
      <c r="Q110" s="178" t="inlineStr">
        <is>
          <t>Back-pool — passes no current tier; see Fit and notes for what a call would need to change.</t>
        </is>
      </c>
      <c r="R110" s="179" t="inlineStr">
        <is>
          <t>—</t>
        </is>
      </c>
      <c r="S110" s="68" t="inlineStr">
        <is>
          <t>Med
(study 8-03/05)</t>
        </is>
      </c>
      <c r="T110" s="68" t="inlineStr">
        <is>
          <t>BEST DUAL-CLASS SUPPLY: the only plant flagged for BOTH sow and market-hog slaughter, so animal class can be specced PER TISSUE BLOCK. Volume trend was downward 2016→2017.</t>
        </is>
      </c>
    </row>
    <row r="111" ht="165.8" customHeight="1" s="59">
      <c r="A111" s="4" t="inlineStr">
        <is>
          <t>BEF Foods (Bob Evans) — Xenia</t>
        </is>
      </c>
      <c r="B111" s="68" t="inlineStr">
        <is>
          <t>Xenia, OH</t>
        </is>
      </c>
      <c r="C111" s="68" t="inlineStr">
        <is>
          <t>SOW-ONLY abattoir; Post Holdings subsidiary</t>
        </is>
      </c>
      <c r="D111" s="133" t="inlineStr">
        <is>
          <t>192–1,923/wk (FSIS cat 3)</t>
        </is>
      </c>
      <c r="E111" s="110" t="inlineStr">
        <is>
          <t>NO
(Durham: n/m)</t>
        </is>
      </c>
      <c r="F111" s="143" t="inlineStr">
        <is>
          <t>confirm (band ≤1,917)</t>
        </is>
      </c>
      <c r="G111" s="68" t="inlineStr">
        <is>
          <t>Yes — SOW ONLY</t>
        </is>
      </c>
      <c r="H111" s="68" t="inlineStr">
        <is>
          <t>USDA ✓ M6785 (grant 2020)</t>
        </is>
      </c>
      <c r="I111" s="68" t="inlineStr">
        <is>
          <t>See the Welfare &amp; culture column — enforcement detail is carried there for these rows</t>
        </is>
      </c>
      <c r="J111" s="68" t="inlineStr">
        <is>
          <t>Not verified — APHIS publishes no searchable list; confirm with APHIS VS</t>
        </is>
      </c>
      <c r="K111"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L111" s="68" t="inlineStr">
        <is>
          <t>None found</t>
        </is>
      </c>
      <c r="M111" s="68" t="inlineStr">
        <is>
          <t>WEAK-MEDIUM — big-corporate parent means legal/insurance friction for third-party staff on the kill floor</t>
        </is>
      </c>
      <c r="N111" s="68" t="inlineStr">
        <is>
          <t>MEDIUM</t>
        </is>
      </c>
      <c r="O111" s="68" t="inlineStr">
        <is>
          <t>(937) 372-4494
640 Birch Rd, Xenia OH 45385</t>
        </is>
      </c>
      <c r="P111" s="23" t="inlineStr">
        <is>
          <t>CAUTION</t>
        </is>
      </c>
      <c r="Q111" s="178" t="inlineStr">
        <is>
          <t>Back-pool — passes no current tier; see Fit and notes for what a call would need to change.</t>
        </is>
      </c>
      <c r="R111" s="179" t="inlineStr">
        <is>
          <t>—</t>
        </is>
      </c>
      <c r="S111" s="68" t="inlineStr">
        <is>
          <t>Med-High
(study 8-03/05)</t>
        </is>
      </c>
      <c r="T111" s="68" t="inlineStr">
        <is>
          <t>⚠ VOLUME CORRECTED: FSIS slaughter_volume_category=3 for M6785 = 10,000–99,999 head/360 days = ~192–1,923/wk,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12" ht="139" customHeight="1" s="59">
      <c r="A112" s="4" t="inlineStr">
        <is>
          <t>BEF Foods (Bob Evans) — Hillsdale</t>
        </is>
      </c>
      <c r="B112" s="68" t="inlineStr">
        <is>
          <t>Hillsdale, MI</t>
        </is>
      </c>
      <c r="C112" s="68" t="inlineStr">
        <is>
          <t>SOW-ONLY abattoir (open since 1964)</t>
        </is>
      </c>
      <c r="D112" s="133" t="inlineStr">
        <is>
          <t>192–1,923/wk (FSIS cat 3)</t>
        </is>
      </c>
      <c r="E112" s="110" t="inlineStr">
        <is>
          <t>NO
(Durham: n/m)</t>
        </is>
      </c>
      <c r="F112" s="143" t="inlineStr">
        <is>
          <t>confirm (band ≤1,917)</t>
        </is>
      </c>
      <c r="G112" s="68" t="inlineStr">
        <is>
          <t>Yes — SOW ONLY</t>
        </is>
      </c>
      <c r="H112" s="68" t="inlineStr">
        <is>
          <t>USDA ✓ M952 (grant 2021)</t>
        </is>
      </c>
      <c r="I112"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J112" s="68" t="inlineStr">
        <is>
          <t>Not verified — APHIS publishes no searchable list; confirm with APHIS VS</t>
        </is>
      </c>
      <c r="K112" s="68" t="inlineStr">
        <is>
          <t>Not on the current enforcement page — BUT corporate humane-handling systems are shared with Xenia, so treat the 2018 Xenia action as a COMPANY-LEVEL signal</t>
        </is>
      </c>
      <c r="L112" s="68" t="inlineStr">
        <is>
          <t>None found</t>
        </is>
      </c>
      <c r="M112" s="68" t="inlineStr">
        <is>
          <t>WEAK-MEDIUM (corporate)</t>
        </is>
      </c>
      <c r="N112" s="68" t="inlineStr">
        <is>
          <t>MEDIUM</t>
        </is>
      </c>
      <c r="O112" s="68" t="inlineStr">
        <is>
          <t>No phone in the USDA file — route via Post / Bob Evans corporate</t>
        </is>
      </c>
      <c r="P112" s="23" t="inlineStr">
        <is>
          <t>CAUTION</t>
        </is>
      </c>
      <c r="Q112" s="178" t="inlineStr">
        <is>
          <t>Back-pool — passes no current tier; see Fit and notes for what a call would need to change.</t>
        </is>
      </c>
      <c r="R112" s="179" t="inlineStr">
        <is>
          <t>—</t>
        </is>
      </c>
      <c r="S112" s="68" t="inlineStr">
        <is>
          <t>Med
(study 8-03/05)</t>
        </is>
      </c>
      <c r="T112" s="68" t="inlineStr">
        <is>
          <t>⚠ VOLUME CORRECTED to FSIS cat 3 (~192–1,923/wk); tier corrected to MEDIUM. || Confirmed operating by the same Post FY2025 10-K sentence.</t>
        </is>
      </c>
    </row>
    <row r="113" ht="165.8" customHeight="1" s="59">
      <c r="A113" s="4" t="inlineStr">
        <is>
          <t>Dean Sausage Co. (Attalla)</t>
        </is>
      </c>
      <c r="B113" s="68" t="inlineStr">
        <is>
          <t>Attalla, AL</t>
        </is>
      </c>
      <c r="C113" s="68" t="inlineStr">
        <is>
          <t>SOW slaughter plant marketed purely as a sausage brand</t>
        </is>
      </c>
      <c r="D113" s="133" t="inlineStr">
        <is>
          <t>19–192/wk (FSIS cat 2)</t>
        </is>
      </c>
      <c r="E113" s="110" t="inlineStr">
        <is>
          <t>NO
(Durham: n/m)</t>
        </is>
      </c>
      <c r="F113" s="139" t="inlineStr">
        <is>
          <t>0-300/wk (≤192)</t>
        </is>
      </c>
      <c r="G113" s="135" t="inlineStr">
        <is>
          <t>SOW</t>
        </is>
      </c>
      <c r="H113" s="68" t="inlineStr">
        <is>
          <t>USDA ✓ M6621 + P6621</t>
        </is>
      </c>
      <c r="I113"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J113" s="68" t="inlineStr">
        <is>
          <t>Not verified — APHIS publishes no searchable list; confirm with APHIS VS</t>
        </is>
      </c>
      <c r="K113"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L113" s="68" t="inlineStr">
        <is>
          <t>None found</t>
        </is>
      </c>
      <c r="M113" s="68" t="inlineStr">
        <is>
          <t>WEAK — placing our own harvesters inside a plant with an active repeat record for machine guarding and blocked egress is a direct worker-safety and insurance exposure</t>
        </is>
      </c>
      <c r="N113" s="68" t="inlineStr">
        <is>
          <t>MEDIUM — arm's-length purchase avoids the exposure</t>
        </is>
      </c>
      <c r="O113" s="68" t="inlineStr">
        <is>
          <t>(256) 538-6082
3750 Pleasant Valley Rd · ~85 staff, founded 1955</t>
        </is>
      </c>
      <c r="P113" s="23" t="inlineStr">
        <is>
          <t>CAUTION</t>
        </is>
      </c>
      <c r="Q113" s="178" t="inlineStr">
        <is>
          <t>Back-pool — passes no current tier; see Fit and notes for what a call would need to change.</t>
        </is>
      </c>
      <c r="R113" s="179" t="inlineStr">
        <is>
          <t>—</t>
        </is>
      </c>
      <c r="S113" s="68" t="inlineStr">
        <is>
          <t>High
(study 8-03/05)</t>
        </is>
      </c>
      <c r="T113" s="68" t="inlineStr">
        <is>
          <t>⚠ VOLUME CONTRADICTION RESOLVED: FSIS slaughter_volume_category=2 = 1,000–9,999 head/360 days = ~19–192/wk.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14" ht="85.40000000000001" customHeight="1" s="59">
      <c r="A114" s="4" t="inlineStr">
        <is>
          <t>Carlton Packing Co. (dba Carlton Farms)</t>
        </is>
      </c>
      <c r="B114" s="68" t="inlineStr">
        <is>
          <t>Carlton, OR</t>
        </is>
      </c>
      <c r="C114" s="68" t="inlineStr">
        <is>
          <t>Market-hog + roaster slaughter, also beef; custom-exempt too</t>
        </is>
      </c>
      <c r="D114" s="68" t="inlineStr">
        <is>
          <t>~1,875-2,025/wk (375 hd/day, flat) — mixed-species floor means hog share is lower</t>
        </is>
      </c>
      <c r="E114" s="110" t="inlineStr">
        <is>
          <t>NO
(Durham: n/m)</t>
        </is>
      </c>
      <c r="F114" s="136" t="inlineStr">
        <is>
          <t>1,250-5,000/wk (~1,875-2,025)</t>
        </is>
      </c>
      <c r="G114" s="68" t="inlineStr">
        <is>
          <t>Yes — MARKET + ROASTER, NO SOW</t>
        </is>
      </c>
      <c r="H114" s="68" t="inlineStr">
        <is>
          <t>USDA ✓ M9228 + P9228 + V9228
(V = VOLUNTARY grant)</t>
        </is>
      </c>
      <c r="I114" s="68" t="inlineStr">
        <is>
          <t>See the Welfare &amp; culture column — enforcement detail is carried there for these rows</t>
        </is>
      </c>
      <c r="J114" s="68" t="inlineStr">
        <is>
          <t>Not verified — APHIS publishes no searchable list; confirm with APHIS VS</t>
        </is>
      </c>
      <c r="K114" s="68" t="inlineStr">
        <is>
          <t>None found (limited-window caveat)</t>
        </is>
      </c>
      <c r="L114" s="68" t="inlineStr">
        <is>
          <t>⭐ The V GRANT IS THE KEY DETAIL: voluntary inspection is the mechanism USDA uses for NON-AMENABLE / NON-FOOD-USE product — so this plant already has the regulatory scaffolding for non-food biomedical harvest</t>
        </is>
      </c>
      <c r="M114" s="68" t="inlineStr">
        <is>
          <t>MEDIUM-STRONG — small, clean, traceable</t>
        </is>
      </c>
      <c r="N114" s="68" t="inlineStr">
        <is>
          <t>STRONG</t>
        </is>
      </c>
      <c r="O114" s="68" t="inlineStr">
        <is>
          <t>(503) 852-7166
10600 NW Westside Rd · carltonfarms.com</t>
        </is>
      </c>
      <c r="P114" s="23" t="inlineStr">
        <is>
          <t>POSSIBLE</t>
        </is>
      </c>
      <c r="Q114" s="178" t="inlineStr">
        <is>
          <t>Back-pool — passes no current tier; see Fit and notes for what a call would need to change.</t>
        </is>
      </c>
      <c r="R114" s="179" t="inlineStr">
        <is>
          <t>—</t>
        </is>
      </c>
      <c r="S114" s="68" t="inlineStr">
        <is>
          <t>Med-High
(study 8-03/05)</t>
        </is>
      </c>
      <c r="T114"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15" ht="72" customHeight="1" s="59">
      <c r="A115" s="4" t="inlineStr">
        <is>
          <t>Dealaman Enterprises, Inc.</t>
        </is>
      </c>
      <c r="B115" s="68" t="inlineStr">
        <is>
          <t>Warren, NJ</t>
        </is>
      </c>
      <c r="C115" s="68" t="inlineStr">
        <is>
          <t>Market + roaster + sheep slaughter since 1905</t>
        </is>
      </c>
      <c r="D115" s="68" t="inlineStr">
        <is>
          <t>~1,000-1,200/wk — BEST-CORROBORATED FIGURE IN THE STUDY (EMI 200/day AND a Bloomberg-sourced '1,200 pigs a week' agree)</t>
        </is>
      </c>
      <c r="E115" s="110" t="inlineStr">
        <is>
          <t>NO
(Durham: n/m)</t>
        </is>
      </c>
      <c r="F115" s="137" t="inlineStr">
        <is>
          <t>750-1,200/wk (~1,000-1,200)</t>
        </is>
      </c>
      <c r="G115" s="68" t="inlineStr">
        <is>
          <t>Yes — MARKET + ROASTER + sheep. NO SOW</t>
        </is>
      </c>
      <c r="H115" s="68" t="inlineStr">
        <is>
          <t>USDA ✓ M7562 (grant 2021)</t>
        </is>
      </c>
      <c r="I115" s="68" t="inlineStr">
        <is>
          <t>See the Welfare &amp; culture column — enforcement detail is carried there for these rows</t>
        </is>
      </c>
      <c r="J115" s="68" t="inlineStr">
        <is>
          <t>Not verified — APHIS publishes no searchable list; confirm with APHIS VS</t>
        </is>
      </c>
      <c r="K115" s="68" t="inlineStr">
        <is>
          <t>None found (limited-window caveat). Positively framed in trade press — used by small farms 'who value personalized service and humane treatment'</t>
        </is>
      </c>
      <c r="L115" s="68" t="inlineStr">
        <is>
          <t>None found</t>
        </is>
      </c>
      <c r="M115" s="68" t="inlineStr">
        <is>
          <t>MEDIUM — small, relationship-driven, likely receptive</t>
        </is>
      </c>
      <c r="N115" s="68" t="inlineStr">
        <is>
          <t>MEDIUM</t>
        </is>
      </c>
      <c r="O115" s="68" t="inlineStr">
        <is>
          <t>(908) 755-1780 / (908) 647-5533
214 Mountainview Rd · ~30 staff</t>
        </is>
      </c>
      <c r="P115" s="23" t="inlineStr">
        <is>
          <t>CAUTION</t>
        </is>
      </c>
      <c r="Q115" s="178" t="inlineStr">
        <is>
          <t>Back-pool — passes no current tier; see Fit and notes for what a call would need to change.</t>
        </is>
      </c>
      <c r="R115" s="179" t="inlineStr">
        <is>
          <t>—</t>
        </is>
      </c>
      <c r="S115" s="68" t="inlineStr">
        <is>
          <t>Med-High
(study 8-03/05)</t>
        </is>
      </c>
      <c r="T115"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16" ht="19.7" customHeight="1" s="59">
      <c r="A116" s="118" t="inlineStr">
        <is>
          <t>PENNSYLVANIA CLUSTER — the Animal Biotech lead, now closed out (73 PA swine plants enumerated)</t>
        </is>
      </c>
    </row>
    <row r="117" ht="72" customHeight="1" s="59">
      <c r="A117" s="4" t="inlineStr">
        <is>
          <t>Leidy's, LLC</t>
        </is>
      </c>
      <c r="B117" s="68" t="inlineStr">
        <is>
          <t>Souderton, PA</t>
        </is>
      </c>
      <c r="C117" s="68" t="inlineStr">
        <is>
          <t>USDA federal market-hog slaughter, operating since 1893</t>
        </is>
      </c>
      <c r="D117" s="68" t="inlineStr">
        <is>
          <t>~5,000-7,000/wk (EMI 1,350/day; company/trade say 1,000-1,200/day; 220+ staff)</t>
        </is>
      </c>
      <c r="E117" s="110" t="inlineStr">
        <is>
          <t>NO
(Durham: n/m)</t>
        </is>
      </c>
      <c r="F117" s="195" t="inlineStr">
        <is>
          <t>5,000+/wk (~5,000-7,000)</t>
        </is>
      </c>
      <c r="G117" s="68" t="inlineStr">
        <is>
          <t>Yes — MARKET</t>
        </is>
      </c>
      <c r="H117" s="68" t="inlineStr">
        <is>
          <t>USDA ✓ M9520+P9520+V9520
✅ EXPORT-CERTIFIED</t>
        </is>
      </c>
      <c r="I117" s="68" t="inlineStr">
        <is>
          <t>See the Welfare &amp; culture column — enforcement detail is carried there for these rows</t>
        </is>
      </c>
      <c r="J117" s="68" t="inlineStr">
        <is>
          <t>Not verified — APHIS publishes no searchable list; confirm with APHIS VS</t>
        </is>
      </c>
      <c r="K117" s="68" t="inlineStr">
        <is>
          <t>Not on the current FSIS enforcement page (1-yr window)</t>
        </is>
      </c>
      <c r="L117" s="68" t="inlineStr">
        <is>
          <t>None published</t>
        </is>
      </c>
      <c r="M117" s="68" t="inlineStr">
        <is>
          <t>Plausible — ASK WHETHER ABI OR LAMPIRE TECHNICIANS ALREADY HARVEST HERE; if so, a Model A precedent already exists</t>
        </is>
      </c>
      <c r="N117" s="68" t="inlineStr">
        <is>
          <t>Plausible</t>
        </is>
      </c>
      <c r="O117" s="68" t="inlineStr">
        <is>
          <t>(215) 723-4606
266 W Cherry Ln, Souderton PA</t>
        </is>
      </c>
      <c r="P117" s="20" t="inlineStr">
        <is>
          <t>STRONG FIT</t>
        </is>
      </c>
      <c r="Q117" s="178" t="inlineStr">
        <is>
          <t>Back-pool — passes no current tier; see Fit and notes for what a call would need to change.</t>
        </is>
      </c>
      <c r="R117" s="179" t="inlineStr">
        <is>
          <t>—</t>
        </is>
      </c>
      <c r="S117" s="68" t="inlineStr">
        <is>
          <t>Med
(study 8-03/05)</t>
        </is>
      </c>
      <c r="T117" s="68" t="inlineStr">
        <is>
          <t>★ BEST PA ENTRY POINT. ~5 MILES from Animal Biotech Industries' lab at Harleysville, and one of only TWO PA swine plants holding export certification. Also appears in the 'just above band' group — Medium-High/High boundary.</t>
        </is>
      </c>
    </row>
    <row r="118" ht="45.2" customHeight="1" s="59">
      <c r="A118" s="4" t="inlineStr">
        <is>
          <t>Clemens Food Group</t>
        </is>
      </c>
      <c r="B118" s="68" t="inlineStr">
        <is>
          <t>Hatfield, PA</t>
        </is>
      </c>
      <c r="C118" s="68" t="inlineStr">
        <is>
          <t>Large industrial market-hog packer</t>
        </is>
      </c>
      <c r="D118" s="68" t="inlineStr">
        <is>
          <t>~58,000-63,000/wk (11,700 hd/day)</t>
        </is>
      </c>
      <c r="E118" s="110" t="inlineStr">
        <is>
          <t>NO
(Durham: n/m)</t>
        </is>
      </c>
      <c r="F118" s="143" t="inlineStr">
        <is>
          <t>confirm</t>
        </is>
      </c>
      <c r="G118" s="68" t="inlineStr">
        <is>
          <t>Yes — MARKET</t>
        </is>
      </c>
      <c r="H118" s="68" t="inlineStr">
        <is>
          <t>USDA ✓ M791+P791+V791
✅ EXPORT-CERTIFIED</t>
        </is>
      </c>
      <c r="I118" s="68" t="inlineStr">
        <is>
          <t>See the Welfare &amp; culture column — enforcement detail is carried there for these rows</t>
        </is>
      </c>
      <c r="J118" s="68" t="inlineStr">
        <is>
          <t>Not verified — APHIS publishes no searchable list; confirm with APHIS VS</t>
        </is>
      </c>
      <c r="K118" s="68" t="inlineStr">
        <is>
          <t>Not on the current enforcement page (1-yr window)</t>
        </is>
      </c>
      <c r="L118" s="68" t="inlineStr">
        <is>
          <t>None published</t>
        </is>
      </c>
      <c r="M118" s="68" t="inlineStr">
        <is>
          <t>Unlikely at this scale — corporate-level agreement required</t>
        </is>
      </c>
      <c r="N118" s="68" t="inlineStr">
        <is>
          <t>Model B far more realistic</t>
        </is>
      </c>
      <c r="O118" s="68" t="inlineStr">
        <is>
          <t>2700 Clemens Rd, Hatfield PA</t>
        </is>
      </c>
      <c r="P118" s="23" t="inlineStr">
        <is>
          <t>POSSIBLE</t>
        </is>
      </c>
      <c r="Q118" s="178" t="inlineStr">
        <is>
          <t>Back-pool — passes no current tier; see Fit and notes for what a call would need to change.</t>
        </is>
      </c>
      <c r="R118" s="179" t="inlineStr">
        <is>
          <t>—</t>
        </is>
      </c>
      <c r="S118" s="68" t="inlineStr">
        <is>
          <t>Med
(study 8-03/05)</t>
        </is>
      </c>
      <c r="T118" s="68" t="inlineStr">
        <is>
          <t>The only HIGH-tier PA option and ~5 miles from Animal Biotech's Harleysville lab. Volume solves everything except access.</t>
        </is>
      </c>
    </row>
    <row r="119" ht="58.6" customHeight="1" s="59">
      <c r="A119" s="4" t="inlineStr">
        <is>
          <t>PA SOW plants (roll-up)</t>
        </is>
      </c>
      <c r="B119" s="68" t="inlineStr">
        <is>
          <t>eastern PA</t>
        </is>
      </c>
      <c r="C119" s="68" t="inlineStr">
        <is>
          <t>USDA federal, sow-capable</t>
        </is>
      </c>
      <c r="D119" s="68" t="inlineStr">
        <is>
          <t>unknown</t>
        </is>
      </c>
      <c r="E119" s="111" t="inlineStr">
        <is>
          <t>mixed — confirm
(Durham: n/m)</t>
        </is>
      </c>
      <c r="F119" s="143" t="inlineStr">
        <is>
          <t>confirm</t>
        </is>
      </c>
      <c r="G119" s="68" t="inlineStr">
        <is>
          <t>Yes — market + SOW + roaster (+boar at two)</t>
        </is>
      </c>
      <c r="H119" s="68" t="inlineStr">
        <is>
          <t>USDA ✓ — see notes</t>
        </is>
      </c>
      <c r="I119" s="68" t="inlineStr">
        <is>
          <t>See the Welfare &amp; culture column — enforcement detail is carried there for these rows</t>
        </is>
      </c>
      <c r="J119" s="68" t="inlineStr">
        <is>
          <t>Not verified — APHIS publishes no searchable list; confirm with APHIS VS</t>
        </is>
      </c>
      <c r="K119" s="68" t="inlineStr">
        <is>
          <t>Not on the current enforcement page (1-yr window)</t>
        </is>
      </c>
      <c r="L119" s="68" t="inlineStr">
        <is>
          <t>None published</t>
        </is>
      </c>
      <c r="M119" s="68" t="inlineStr">
        <is>
          <t>Plausible (small plants)</t>
        </is>
      </c>
      <c r="N119" s="68" t="inlineStr">
        <is>
          <t>Plausible</t>
        </is>
      </c>
      <c r="O119" s="68" t="inlineStr">
        <is>
          <t>see notes →</t>
        </is>
      </c>
      <c r="P119" s="23" t="inlineStr">
        <is>
          <t>POSSIBLE</t>
        </is>
      </c>
      <c r="Q119" s="178" t="inlineStr">
        <is>
          <t>Context roll-up — not an individual candidate.</t>
        </is>
      </c>
      <c r="R119" s="179" t="inlineStr">
        <is>
          <t>—</t>
        </is>
      </c>
      <c r="S119" s="68" t="inlineStr">
        <is>
          <t>Med
(study 8-03/05)</t>
        </is>
      </c>
      <c r="T119"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20" ht="192.6" customHeight="1" s="59">
      <c r="A120" s="4" t="inlineStr">
        <is>
          <t>⚑ The ABI / LAMPIRE abattoir inference</t>
        </is>
      </c>
      <c r="B120" s="68" t="inlineStr">
        <is>
          <t>Harleysville &amp; Pipersville, PA</t>
        </is>
      </c>
      <c r="C120" s="68" t="inlineStr">
        <is>
          <t>tissue suppliers, not slaughterers</t>
        </is>
      </c>
      <c r="D120" s="68" t="inlineStr">
        <is>
          <t>n/a</t>
        </is>
      </c>
      <c r="E120" s="110" t="inlineStr">
        <is>
          <t>NO
(Durham: n/m)</t>
        </is>
      </c>
      <c r="F120" s="143" t="inlineStr">
        <is>
          <t>n/a — buys, not kills</t>
        </is>
      </c>
      <c r="G120" s="68" t="inlineStr">
        <is>
          <t>n/a</t>
        </is>
      </c>
      <c r="H120" s="68" t="inlineStr">
        <is>
          <t>n/a — they BUY from PA abattoirs</t>
        </is>
      </c>
      <c r="I120" s="68" t="inlineStr">
        <is>
          <t>See the Welfare &amp; culture column — enforcement detail is carried there for these rows</t>
        </is>
      </c>
      <c r="J120" s="68" t="inlineStr">
        <is>
          <t>Not verified — APHIS publishes no searchable list; confirm with APHIS VS</t>
        </is>
      </c>
      <c r="K120" s="68" t="inlineStr">
        <is>
          <t>n/a</t>
        </is>
      </c>
      <c r="L120"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M120" s="68" t="inlineStr">
        <is>
          <t>n/a</t>
        </is>
      </c>
      <c r="N120" s="68" t="inlineStr">
        <is>
          <t>n/a</t>
        </is>
      </c>
      <c r="O120" s="68" t="inlineStr">
        <is>
          <t>ABI (215) 766-7413 · LAMPIRE Pipersville</t>
        </is>
      </c>
      <c r="P120" s="23" t="inlineStr">
        <is>
          <t>POSSIBLE</t>
        </is>
      </c>
      <c r="Q120" s="178" t="inlineStr">
        <is>
          <t>Back-pool — passes no current tier; see Fit and notes for what a call would need to change.</t>
        </is>
      </c>
      <c r="R120" s="179" t="inlineStr">
        <is>
          <t>—</t>
        </is>
      </c>
      <c r="S120" s="68" t="inlineStr">
        <is>
          <t>Med (inference)
(study 8-03/05)</t>
        </is>
      </c>
      <c r="T120"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21" ht="19.7" customHeight="1" s="59">
      <c r="A121" s="118" t="inlineStr">
        <is>
          <t>⚠ CORRECTED / REFUTED BY THE FSIS PRIMARY-DATA SWEEP</t>
        </is>
      </c>
    </row>
    <row r="122" ht="152.4" customHeight="1" s="59">
      <c r="A122" s="138" t="inlineStr">
        <is>
          <t>Kansas City Sausage / Coastal Protein — RESOLVED NEGATIVE (CLOSED)</t>
        </is>
      </c>
      <c r="B122" s="68" t="inlineStr">
        <is>
          <t>Godwin, NC</t>
        </is>
      </c>
      <c r="C122" s="68" t="inlineStr">
        <is>
          <t>NO ACTIVE OR INACTIVE FSIS ESTABLISHMENT AT THE SITE</t>
        </is>
      </c>
      <c r="D122" s="68" t="inlineStr">
        <is>
          <t>n/a — dead as an inspected source</t>
        </is>
      </c>
      <c r="E122" s="88" t="inlineStr">
        <is>
          <t>YES · ~73 mi ≈
(Pikeville: ~45 mi)</t>
        </is>
      </c>
      <c r="F122" s="143" t="inlineStr">
        <is>
          <t>n/a — dead</t>
        </is>
      </c>
      <c r="G122" s="68" t="inlineStr">
        <is>
          <t>n/a</t>
        </is>
      </c>
      <c r="H122" s="68" t="inlineStr">
        <is>
          <t>KCS's own establishment M760A (DBAs
'Coastal Protein; Pine Ridge Farms')
went FSIS-INACTIVE 9/3/2024</t>
        </is>
      </c>
      <c r="I122" s="68" t="inlineStr">
        <is>
          <t>See the Welfare &amp; culture column — enforcement detail is carried there for these rows</t>
        </is>
      </c>
      <c r="J122" s="68" t="inlineStr">
        <is>
          <t>Not verified — APHIS publishes no searchable list; confirm with APHIS VS</t>
        </is>
      </c>
      <c r="K122" s="68" t="inlineStr">
        <is>
          <t>n/a</t>
        </is>
      </c>
      <c r="L122" s="68" t="inlineStr">
        <is>
          <t>n/a</t>
        </is>
      </c>
      <c r="M122" s="68" t="inlineStr">
        <is>
          <t>No</t>
        </is>
      </c>
      <c r="N122" s="68" t="inlineStr">
        <is>
          <t>No</t>
        </is>
      </c>
      <c r="O122" s="68" t="inlineStr">
        <is>
          <t>—</t>
        </is>
      </c>
      <c r="P122" s="141" t="inlineStr">
        <is>
          <t>OUT / FLAG</t>
        </is>
      </c>
      <c r="Q122" s="178" t="inlineStr">
        <is>
          <t>Not a candidate — closed / no inspected operation (see notes).</t>
        </is>
      </c>
      <c r="R122" s="179" t="inlineStr">
        <is>
          <t>—</t>
        </is>
      </c>
      <c r="S122" s="68" t="inlineStr">
        <is>
          <t>High
(FSIS+NCDA 8-17)</t>
        </is>
      </c>
      <c r="T122"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t>
        </is>
      </c>
    </row>
    <row r="123" ht="85.40000000000001" customHeight="1" s="59">
      <c r="A123" s="4" t="inlineStr">
        <is>
          <t>Gunnoe Sausage Co. — REFUTED</t>
        </is>
      </c>
      <c r="B123" s="68" t="inlineStr">
        <is>
          <t>Goode, VA</t>
        </is>
      </c>
      <c r="C123" s="68" t="inlineStr">
        <is>
          <t>NO ACTIVE FSIS ESTABLISHMENT</t>
        </is>
      </c>
      <c r="D123" s="68" t="inlineStr">
        <is>
          <t>n/a</t>
        </is>
      </c>
      <c r="E123" s="110" t="inlineStr">
        <is>
          <t>NO · ~130 mi ≈ (borderline)</t>
        </is>
      </c>
      <c r="F123" s="143" t="inlineStr">
        <is>
          <t>confirm</t>
        </is>
      </c>
      <c r="G123" s="68" t="inlineStr">
        <is>
          <t>n/a</t>
        </is>
      </c>
      <c r="H123" s="68" t="inlineStr">
        <is>
          <t>No active FSIS establishment found</t>
        </is>
      </c>
      <c r="I123" s="68" t="inlineStr">
        <is>
          <t>See the Welfare &amp; culture column — enforcement detail is carried there for these rows</t>
        </is>
      </c>
      <c r="J123" s="68" t="inlineStr">
        <is>
          <t>Not verified — APHIS publishes no searchable list; confirm with APHIS VS</t>
        </is>
      </c>
      <c r="K123" s="68" t="inlineStr">
        <is>
          <t>n/a</t>
        </is>
      </c>
      <c r="L123" s="68" t="inlineStr">
        <is>
          <t>n/a</t>
        </is>
      </c>
      <c r="M123" s="68" t="inlineStr">
        <is>
          <t>No</t>
        </is>
      </c>
      <c r="N123" s="68" t="inlineStr">
        <is>
          <t>No</t>
        </is>
      </c>
      <c r="O123" s="68" t="inlineStr">
        <is>
          <t>—</t>
        </is>
      </c>
      <c r="P123" s="28" t="inlineStr">
        <is>
          <t>OUT / FLAG</t>
        </is>
      </c>
      <c r="Q123" s="178" t="inlineStr">
        <is>
          <t>Not a candidate — fails a hard gate or adds nothing vs the base (see notes).</t>
        </is>
      </c>
      <c r="R123" s="179" t="inlineStr">
        <is>
          <t>—</t>
        </is>
      </c>
      <c r="S123" s="68" t="inlineStr">
        <is>
          <t>Med-High
(study 8-03/05)</t>
        </is>
      </c>
      <c r="T123"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24" ht="72" customHeight="1" s="59">
      <c r="A124" s="4" t="inlineStr">
        <is>
          <t>Below-band leads — all REFUTED on volume</t>
        </is>
      </c>
      <c r="B124" s="68" t="inlineStr">
        <is>
          <t>KY / OH / MI / AL / OR / NJ / TX</t>
        </is>
      </c>
      <c r="C124" s="68" t="inlineStr">
        <is>
          <t>FSIS category 2-3 = below 2,000/wk</t>
        </is>
      </c>
      <c r="D124" s="68" t="inlineStr">
        <is>
          <t>below band</t>
        </is>
      </c>
      <c r="E124" s="110" t="inlineStr">
        <is>
          <t>NO
(Durham: n/m)</t>
        </is>
      </c>
      <c r="F124" s="139" t="inlineStr">
        <is>
          <t>0-300/wk</t>
        </is>
      </c>
      <c r="G124" s="68" t="inlineStr">
        <is>
          <t>mixed</t>
        </is>
      </c>
      <c r="H124" s="68" t="inlineStr">
        <is>
          <t>USDA ✓ (various)</t>
        </is>
      </c>
      <c r="I124" s="68" t="inlineStr">
        <is>
          <t>See the Welfare &amp; culture column — enforcement detail is carried there for these rows</t>
        </is>
      </c>
      <c r="J124" s="68" t="inlineStr">
        <is>
          <t>Not verified — APHIS publishes no searchable list; confirm with APHIS VS</t>
        </is>
      </c>
      <c r="K124" s="68" t="inlineStr">
        <is>
          <t>various</t>
        </is>
      </c>
      <c r="L124" s="68" t="inlineStr">
        <is>
          <t>unknown</t>
        </is>
      </c>
      <c r="M124" s="68" t="inlineStr">
        <is>
          <t>varies</t>
        </is>
      </c>
      <c r="N124" s="68" t="inlineStr">
        <is>
          <t>varies</t>
        </is>
      </c>
      <c r="O124" s="68" t="inlineStr">
        <is>
          <t>see notes →</t>
        </is>
      </c>
      <c r="P124" s="23" t="inlineStr">
        <is>
          <t>CAUTION</t>
        </is>
      </c>
      <c r="Q124" s="178" t="inlineStr">
        <is>
          <t>Back-pool — passes no current tier; see Fit and notes for what a call would need to change.</t>
        </is>
      </c>
      <c r="R124" s="179" t="inlineStr">
        <is>
          <t>—</t>
        </is>
      </c>
      <c r="S124" s="68" t="inlineStr">
        <is>
          <t>High
(study 8-03/05)</t>
        </is>
      </c>
      <c r="T124"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25" ht="72" customHeight="1" s="59">
      <c r="A125" s="4" t="inlineStr">
        <is>
          <t>Plants that no longer slaughter — REFUTED</t>
        </is>
      </c>
      <c r="B125" s="68" t="inlineStr">
        <is>
          <t>OR / TX / IL</t>
        </is>
      </c>
      <c r="C125" s="68" t="inlineStr">
        <is>
          <t>exited slaughter or no establishment</t>
        </is>
      </c>
      <c r="D125" s="68" t="inlineStr">
        <is>
          <t>n/a</t>
        </is>
      </c>
      <c r="E125" s="110" t="inlineStr">
        <is>
          <t>NO
(Durham: n/m)</t>
        </is>
      </c>
      <c r="F125" s="143" t="inlineStr">
        <is>
          <t>n/a — closed</t>
        </is>
      </c>
      <c r="G125" s="68" t="inlineStr">
        <is>
          <t>n/a</t>
        </is>
      </c>
      <c r="H125" s="68" t="inlineStr">
        <is>
          <t>n/a</t>
        </is>
      </c>
      <c r="I125" s="68" t="inlineStr">
        <is>
          <t>See the Welfare &amp; culture column — enforcement detail is carried there for these rows</t>
        </is>
      </c>
      <c r="J125" s="68" t="inlineStr">
        <is>
          <t>Not verified — APHIS publishes no searchable list; confirm with APHIS VS</t>
        </is>
      </c>
      <c r="K125" s="68" t="inlineStr">
        <is>
          <t>n/a</t>
        </is>
      </c>
      <c r="L125" s="68" t="inlineStr">
        <is>
          <t>n/a</t>
        </is>
      </c>
      <c r="M125" s="68" t="inlineStr">
        <is>
          <t>No</t>
        </is>
      </c>
      <c r="N125" s="68" t="inlineStr">
        <is>
          <t>No</t>
        </is>
      </c>
      <c r="O125" s="68" t="inlineStr">
        <is>
          <t>—</t>
        </is>
      </c>
      <c r="P125" s="28" t="inlineStr">
        <is>
          <t>OUT / FLAG</t>
        </is>
      </c>
      <c r="Q125" s="178" t="inlineStr">
        <is>
          <t>Not a candidate — fails a hard gate or adds nothing vs the base (see notes).</t>
        </is>
      </c>
      <c r="R125" s="179" t="inlineStr">
        <is>
          <t>—</t>
        </is>
      </c>
      <c r="S125" s="68" t="inlineStr">
        <is>
          <t>High
(study 8-03/05)</t>
        </is>
      </c>
      <c r="T125"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26" ht="72" customHeight="1" s="59">
      <c r="A126" s="4" t="inlineStr">
        <is>
          <t>Fauquier's Finest — DATA ANOMALY</t>
        </is>
      </c>
      <c r="B126" s="68" t="inlineStr">
        <is>
          <t>Bealeton, VA</t>
        </is>
      </c>
      <c r="C126" s="68" t="inlineStr">
        <is>
          <t>USDA federal, multi-species</t>
        </is>
      </c>
      <c r="D126" s="68" t="inlineStr">
        <is>
          <t>CONTRADICTORY: FSIS size 'Very Small' (&lt;10 employees / &lt;$2.5M) YET slaughter_volume_category = 4 (≥100,000 head/yr)</t>
        </is>
      </c>
      <c r="E126" s="110" t="inlineStr">
        <is>
          <t>NO · ~233 mi ≈</t>
        </is>
      </c>
      <c r="F126" s="143" t="inlineStr">
        <is>
          <t>confirm (anomaly)</t>
        </is>
      </c>
      <c r="G126" s="68" t="inlineStr">
        <is>
          <t>Yes — MKT+SOW+boar+beef</t>
        </is>
      </c>
      <c r="H126" s="68" t="inlineStr">
        <is>
          <t>USDA ✓ M33940</t>
        </is>
      </c>
      <c r="I126" s="68" t="inlineStr">
        <is>
          <t>See the Welfare &amp; culture column — enforcement detail is carried there for these rows</t>
        </is>
      </c>
      <c r="J126" s="68" t="inlineStr">
        <is>
          <t>Not verified — APHIS publishes no searchable list; confirm with APHIS VS</t>
        </is>
      </c>
      <c r="K126" s="68" t="inlineStr">
        <is>
          <t>🚨 INH suspension 04 Dec 2024 → reinstated 06 Mar 2025</t>
        </is>
      </c>
      <c r="L126" s="68" t="inlineStr">
        <is>
          <t>unknown</t>
        </is>
      </c>
      <c r="M126" s="68" t="inlineStr">
        <is>
          <t>Structurally suits Model A (custom processor)</t>
        </is>
      </c>
      <c r="N126" s="68" t="inlineStr">
        <is>
          <t>unknown</t>
        </is>
      </c>
      <c r="O126" s="68" t="inlineStr">
        <is>
          <t>(540) 439-7227
11746 AG Industrial Dr, Bealeton VA 22712</t>
        </is>
      </c>
      <c r="P126" s="23" t="inlineStr">
        <is>
          <t>CAUTION</t>
        </is>
      </c>
      <c r="Q126" s="178" t="inlineStr">
        <is>
          <t>Back-pool — passes no current tier; see Fit and notes for what a call would need to change.</t>
        </is>
      </c>
      <c r="R126" s="179" t="inlineStr">
        <is>
          <t>—</t>
        </is>
      </c>
      <c r="S126" s="68" t="inlineStr">
        <is>
          <t>Low
(study 8-03/05)</t>
        </is>
      </c>
      <c r="T126"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27" ht="15" customHeight="1" s="59"/>
    <row r="128" ht="19.7" customHeight="1" s="59">
      <c r="A128" s="119" t="inlineStr">
        <is>
          <t>★★ PRIORITY OUTREACH — TISSUE COLLECTORS OPERATING INSIDE THIRD-PARTY PLANTS (they already run Model A at industrial scale)</t>
        </is>
      </c>
    </row>
    <row r="129" ht="58.6" customHeight="1" s="59">
      <c r="A129" s="51" t="inlineStr">
        <is>
          <t>Scientific Protein Laboratories (SPL)</t>
        </is>
      </c>
      <c r="B129" s="53" t="inlineStr">
        <is>
          <t>Waunakee, WI</t>
        </is>
      </c>
      <c r="C129" s="53" t="inlineStr">
        <is>
          <t>HEPARIN / mucosa collector — operates INSIDE third-party USDA plants</t>
        </is>
      </c>
      <c r="D129" s="53" t="inlineStr">
        <is>
          <t>n/a — collects, does not slaughter</t>
        </is>
      </c>
      <c r="E129" s="110" t="inlineStr">
        <is>
          <t>NO
(Durham: n/m)</t>
        </is>
      </c>
      <c r="F129" s="143" t="inlineStr">
        <is>
          <t>n/a — collector</t>
        </is>
      </c>
      <c r="G129" s="53" t="inlineStr">
        <is>
          <t>n/a (works on others' hog lines)</t>
        </is>
      </c>
      <c r="H129" s="53" t="inlineStr">
        <is>
          <t>n/a — collects at USDA-inspected plants</t>
        </is>
      </c>
      <c r="I129" s="53" t="inlineStr">
        <is>
          <t>Not researched — they are operators, not slaughter plants</t>
        </is>
      </c>
      <c r="J129" s="53" t="inlineStr">
        <is>
          <t>Not verified — ask directly; they run an established export-grade pharma supply chain</t>
        </is>
      </c>
      <c r="K129" s="53" t="inlineStr">
        <is>
          <t>Pharma-grade operation; heparin API feeds regulated medicine supply</t>
        </is>
      </c>
      <c r="L129" s="53" t="inlineStr">
        <is>
          <t>⭐ THIS IS THE POINT: they recover porcine MUCOSA under written protocol, with their OWN CREWS, on someone else's kill floor, paying for line position</t>
        </is>
      </c>
      <c r="M129" s="53" t="inlineStr">
        <is>
          <t>They ARE Model A — at industrial scale, already proven</t>
        </is>
      </c>
      <c r="N129" s="53" t="inlineStr">
        <is>
          <t>n/a — they are an operator, not a host</t>
        </is>
      </c>
      <c r="O129" s="53" t="inlineStr">
        <is>
          <t>Waunakee, WI (find current number via company site)</t>
        </is>
      </c>
      <c r="P129" s="54" t="inlineStr">
        <is>
          <t>★★ PRIORITY
CONTACT</t>
        </is>
      </c>
      <c r="Q129" s="178" t="inlineStr">
        <is>
          <t>Client-flagged collector to interview — they already run our Model A at industrial scale inside third-party plants.</t>
        </is>
      </c>
      <c r="R129" s="179" t="inlineStr">
        <is>
          <t>see contact column</t>
        </is>
      </c>
      <c r="S129" s="49" t="inlineStr">
        <is>
          <t>Med
(study 8-03/05)</t>
        </is>
      </c>
      <c r="T129"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30" ht="72" customHeight="1" s="59">
      <c r="A130" s="51" t="inlineStr">
        <is>
          <t>DeWied International</t>
        </is>
      </c>
      <c r="B130" s="53" t="inlineStr">
        <is>
          <t>San Antonio, TX</t>
        </is>
      </c>
      <c r="C130" s="53" t="inlineStr">
        <is>
          <t>NATURAL CASINGS collector — operates INSIDE third-party USDA plants</t>
        </is>
      </c>
      <c r="D130" s="53" t="inlineStr">
        <is>
          <t>n/a — collects, does not slaughter</t>
        </is>
      </c>
      <c r="E130" s="110" t="inlineStr">
        <is>
          <t>NO
(Durham: n/m)</t>
        </is>
      </c>
      <c r="F130" s="143" t="inlineStr">
        <is>
          <t>n/a — collector</t>
        </is>
      </c>
      <c r="G130" s="53" t="inlineStr">
        <is>
          <t>n/a (works on others' hog lines)</t>
        </is>
      </c>
      <c r="H130" s="53" t="inlineStr">
        <is>
          <t>USDA ✓ V27254
(voluntary grant, Certification–Export;
FSIS lists 'Oversea Dewied International LLC')</t>
        </is>
      </c>
      <c r="I130" s="53" t="inlineStr">
        <is>
          <t>Not researched — they are operators, not slaughter plants</t>
        </is>
      </c>
      <c r="J130" s="53" t="inlineStr">
        <is>
          <t>Not verified — ask directly; casings are widely exported so export documentation experience is likely</t>
        </is>
      </c>
      <c r="K130" s="53" t="inlineStr">
        <is>
          <t>Long-established casings house; merged with Oversea Casing 2018</t>
        </is>
      </c>
      <c r="L130" s="53" t="inlineStr">
        <is>
          <t>⭐ Same model: own crews recovering ONE tissue (intestine/casings) under written protocol inside third-party plants</t>
        </is>
      </c>
      <c r="M130" s="53" t="inlineStr">
        <is>
          <t>They ARE Model A — at industrial scale, already proven</t>
        </is>
      </c>
      <c r="N130" s="53" t="inlineStr">
        <is>
          <t>n/a — they are an operator, not a host</t>
        </is>
      </c>
      <c r="O130" s="53" t="inlineStr">
        <is>
          <t>San Antonio, TX (find current number via company site)</t>
        </is>
      </c>
      <c r="P130" s="54" t="inlineStr">
        <is>
          <t>★★ PRIORITY
CONTACT</t>
        </is>
      </c>
      <c r="Q130" s="178" t="inlineStr">
        <is>
          <t>Client-flagged collector to interview — they already run our Model A at industrial scale inside third-party plants.</t>
        </is>
      </c>
      <c r="R130" s="179" t="inlineStr">
        <is>
          <t>see contact column</t>
        </is>
      </c>
      <c r="S130" s="49" t="inlineStr">
        <is>
          <t>High
(study 8-03/05)</t>
        </is>
      </c>
      <c r="T130" s="49" t="inlineStr">
        <is>
          <t>NOT A SUPPLIER TO US — a MODEL and an INFORMATION SOURCE, same as SPL. Casings collectors negotiate line access at hundreds of plants; they know the commercial terms, the HACCP arrangements and which plants say yes. Interview them (Action 0c).</t>
        </is>
      </c>
    </row>
    <row r="131" ht="85.40000000000001" customHeight="1" s="59">
      <c r="A131" s="138" t="inlineStr">
        <is>
          <t>Quaqua Creek Farm, LLC</t>
        </is>
      </c>
      <c r="B131" s="68" t="inlineStr">
        <is>
          <t>Ruffin, NC (Rockingham Co.)</t>
        </is>
      </c>
      <c r="C131" s="68" t="inlineStr">
        <is>
          <t>NC state-inspected slaughter + processing</t>
        </is>
      </c>
      <c r="D131" s="68" t="inlineStr">
        <is>
          <t>unknown — state plants publish no volumes</t>
        </is>
      </c>
      <c r="E131" s="88" t="inlineStr">
        <is>
          <t>YES · ~67 mi
(Pikeville: n/m)</t>
        </is>
      </c>
      <c r="F131" s="143" t="inlineStr">
        <is>
          <t>confirm
(state plant — no band)</t>
        </is>
      </c>
      <c r="G131" s="68" t="inlineStr">
        <is>
          <t>Calves, cattle, SWINE, sheep, goats
(NCDA species A,B,C,D,E)</t>
        </is>
      </c>
      <c r="H131" s="68" t="inlineStr">
        <is>
          <t>STATE ✓ P-375
(NCDA&amp;CS directory 2026-09-18)</t>
        </is>
      </c>
      <c r="I131" s="25" t="inlineStr">
        <is>
          <t>n/a — state plant sits outside FSIS reporting (welfare = site-visit finding)</t>
        </is>
      </c>
      <c r="J131" s="68" t="inlineStr">
        <is>
          <t>Eligible — NC state inspection is the APHIS-accepted equivalent for our harvest path</t>
        </is>
      </c>
      <c r="K131" s="68" t="inlineStr">
        <is>
          <t>No record either way; small farm-plant; visit finding</t>
        </is>
      </c>
      <c r="L131" s="68" t="inlineStr">
        <is>
          <t>unknown — call question 3</t>
        </is>
      </c>
      <c r="M131" s="68" t="inlineStr">
        <is>
          <t>possible — small floor, ~67 road mi from Durham</t>
        </is>
      </c>
      <c r="N131" s="68" t="inlineStr">
        <is>
          <t>possible only if the crew is stable — unknown</t>
        </is>
      </c>
      <c r="O131" s="68" t="inlineStr">
        <is>
          <t>336-939-2656 · 429 Estes Road, Ruffin, NC 27326</t>
        </is>
      </c>
      <c r="P131" s="23" t="inlineStr">
        <is>
          <t>POSSIBLE</t>
        </is>
      </c>
      <c r="Q131" s="178" t="inlineStr">
        <is>
          <t>The one north-of-Greensboro STATE plant in the zone the client asked to emphasize; the NC grant carries the APHIS equivalence. Promoted from the state roll-up (row 74) because Beebop's plan ranks it #7. Volume, hog share and hosting are all unknown — the three-question call decides it.</t>
        </is>
      </c>
      <c r="R131" s="179" t="inlineStr">
        <is>
          <t>Not confirmed (Beebop 9-28: no company site found)</t>
        </is>
      </c>
      <c r="S131" s="68" t="inlineStr">
        <is>
          <t>Medium (NCDA 9-18 + Beebop)</t>
        </is>
      </c>
      <c r="T131" s="68" t="inlineStr">
        <is>
          <t>Listed P-375 in the NCDA&amp;CS directory run Friday 2026-09-18 (Area 8, Rockingham). Beebop 9-28 caution: older directories described custom status; the current listing is a state grant — confirm INSPECTED hog slaughter on the call. Previously carried only inside the 'NC state-inspected multi-species' roll-up row.</t>
        </is>
      </c>
    </row>
    <row r="132" ht="98.8" customHeight="1" s="59">
      <c r="A132" s="138" t="inlineStr">
        <is>
          <t>Cool Springs Farm and Meat, LLC
(CSMP Farm Store)</t>
        </is>
      </c>
      <c r="B132" s="68" t="inlineStr">
        <is>
          <t>Yadkinville, NC (Yadkin Co.)</t>
        </is>
      </c>
      <c r="C132" s="68" t="inlineStr">
        <is>
          <t>USDA-inspected (also does custom-exempt work)</t>
        </is>
      </c>
      <c r="D132" s="68" t="inlineStr">
        <is>
          <t>&lt;19/wk (FSIS cat 1)</t>
        </is>
      </c>
      <c r="E132" s="88" t="inlineStr">
        <is>
          <t>YES · ~107 mi
(Pikeville: n/m)</t>
        </is>
      </c>
      <c r="F132" s="139" t="inlineStr">
        <is>
          <t>0-300/wk (&lt;19)</t>
        </is>
      </c>
      <c r="G132" s="68" t="inlineStr">
        <is>
          <t>MARKET swine flag (FSIS) + cattle, sheep
(NCDA species A-E)</t>
        </is>
      </c>
      <c r="H132" s="68" t="inlineStr">
        <is>
          <t>USDA ✓ M1041 (NCDA lists TA-1041)
grant 10/28/2024</t>
        </is>
      </c>
      <c r="I132" s="25" t="inlineStr">
        <is>
          <t>None found (grant under 2 years old)</t>
        </is>
      </c>
      <c r="J132" s="68" t="inlineStr">
        <is>
          <t>Eligible (federal)</t>
        </is>
      </c>
      <c r="K132" s="68" t="inlineStr">
        <is>
          <t>No record; new operator; visit finding</t>
        </is>
      </c>
      <c r="L132" s="68" t="inlineStr">
        <is>
          <t>unknown</t>
        </is>
      </c>
      <c r="M132" s="68" t="inlineStr">
        <is>
          <t>pilot-scale only — cat-1 ceiling &lt;19 animals/wk, ALL species</t>
        </is>
      </c>
      <c r="N132" s="68" t="inlineStr">
        <is>
          <t>unlikely — too small to justify training</t>
        </is>
      </c>
      <c r="O132" s="68" t="inlineStr">
        <is>
          <t>336-835-5377 · 1041 Disher Road, Yadkinville, NC 27055</t>
        </is>
      </c>
      <c r="P132" s="140" t="inlineStr">
        <is>
          <t>WATCH</t>
        </is>
      </c>
      <c r="Q132" s="178" t="inlineStr">
        <is>
          <t>The last western swine grant issued (Oct-2024) with a live retail/processing business — but a cat-1 floor (&lt;19 animals/week, all species) is pilot scale, 107 road miles from Durham. A scale check only if a western lane opens. Promoted from the western micro-plant roll-up (row 85); Beebop ranks it #8.</t>
        </is>
      </c>
      <c r="R132" s="179" t="inlineStr">
        <is>
          <t>csmpfarmstore.com (verified live 2026-09-28)</t>
        </is>
      </c>
      <c r="S132" s="68" t="inlineStr">
        <is>
          <t>High (FSIS 9-03 + NCDA 9-18)</t>
        </is>
      </c>
      <c r="T132" s="68" t="inlineStr">
        <is>
          <t>FSIS demographic data: slaughter cat 1, market_swine_slaughter = Yes, custom-exempt slaughter = Yes as well (mixed inspected/custom work — ask which hogs run under inspection). Beebop 9-28 (Nextdoor): advertises whole/half hogs and custom processing; the hog service is advertised as CUSTOM — confirm the inspected arrangement before any specimen plan.</t>
        </is>
      </c>
    </row>
    <row r="133" ht="98.8" customHeight="1" s="59">
      <c r="A133" s="138" t="inlineStr">
        <is>
          <t>Smithfield Fresh Meats Corp. — Clinton plant</t>
        </is>
      </c>
      <c r="B133" s="68" t="inlineStr">
        <is>
          <t>Clinton, NC (Sampson Co.)</t>
        </is>
      </c>
      <c r="C133" s="68" t="inlineStr">
        <is>
          <t>USDA federal — industrial pork plant</t>
        </is>
      </c>
      <c r="D133" s="68" t="inlineStr">
        <is>
          <t>&gt;5,000/wk (FSIS cat 4; plant scale far above the band floor)</t>
        </is>
      </c>
      <c r="E133" s="88" t="inlineStr">
        <is>
          <t>YES · ~89 mi
(Pikeville: n/m)</t>
        </is>
      </c>
      <c r="F133" s="195" t="inlineStr">
        <is>
          <t>5,000+ /wk</t>
        </is>
      </c>
      <c r="G133" s="68" t="inlineStr">
        <is>
          <t>market hogs (industrial line)</t>
        </is>
      </c>
      <c r="H133" s="68" t="inlineStr">
        <is>
          <t>USDA ✓ M413</t>
        </is>
      </c>
      <c r="I133" s="25" t="inlineStr">
        <is>
          <t>Not checked this pass (corporate plant; audited systems)</t>
        </is>
      </c>
      <c r="J133" s="68" t="inlineStr">
        <is>
          <t>Federal — eligible in principle; the corporate by-products channel decides</t>
        </is>
      </c>
      <c r="K133" s="68" t="inlineStr">
        <is>
          <t>Corporate plant; audited welfare systems</t>
        </is>
      </c>
      <c r="L133" s="68" t="inlineStr">
        <is>
          <t>corporate by-products / biologics channel (Smithfield BioScience) — not a floor we could host on</t>
        </is>
      </c>
      <c r="M133" s="68" t="inlineStr">
        <is>
          <t>NO — industrial line, no hosting</t>
        </is>
      </c>
      <c r="N133" s="68" t="inlineStr">
        <is>
          <t>only via a biomedical by-products agreement</t>
        </is>
      </c>
      <c r="O133" s="68" t="inlineStr">
        <is>
          <t>910-592-2104 (plant) — route via Smithfield BioScience (National Direct tab)</t>
        </is>
      </c>
      <c r="P133" s="23" t="inlineStr">
        <is>
          <t>CAUTION</t>
        </is>
      </c>
      <c r="Q133" s="178" t="inlineStr">
        <is>
          <t>Beebop's #25 and the only in-radius plant that could meet the stated 2,000-5,000/wk preference — but it is industrial, and access runs through Smithfield BioScience's by-products channel, not a hosted crew. Keep as the scale backstop; approach through the BioScience contact already rated STRONG FIT on the National Direct tab.</t>
        </is>
      </c>
      <c r="R133" s="179" t="inlineStr">
        <is>
          <t>smithfieldfoods.com (corporate)</t>
        </is>
      </c>
      <c r="S133" s="68" t="inlineStr">
        <is>
          <t>High (FSIS 9-03)</t>
        </is>
      </c>
      <c r="T133" s="68" t="inlineStr">
        <is>
          <t>Added 2026-09-28 from the Beebop plan. Sister rows: Smithfield Tar Heel (row 25) and Smithfield BioScience (row 49).</t>
        </is>
      </c>
    </row>
    <row r="134" ht="72" customHeight="1" s="59">
      <c r="A134" s="138" t="inlineStr">
        <is>
          <t>Schrock's Slaughter House</t>
        </is>
      </c>
      <c r="B134" s="68" t="inlineStr">
        <is>
          <t>Gladys, VA (Campbell Co.)</t>
        </is>
      </c>
      <c r="C134" s="68" t="inlineStr">
        <is>
          <t>USDA-inspected (Virginia)</t>
        </is>
      </c>
      <c r="D134" s="68" t="inlineStr">
        <is>
          <t>&lt;19/wk (FSIS cat 1)</t>
        </is>
      </c>
      <c r="E134" s="88" t="inlineStr">
        <is>
          <t>YES · ~95 mi
(Pikeville: n/m)</t>
        </is>
      </c>
      <c r="F134" s="139" t="inlineStr">
        <is>
          <t>0-300/wk (&lt;19)</t>
        </is>
      </c>
      <c r="G134" s="68" t="inlineStr">
        <is>
          <t>swine flagged; website is beef-first</t>
        </is>
      </c>
      <c r="H134" s="68" t="inlineStr">
        <is>
          <t>USDA ✓ M44217
grant 8/21/2015</t>
        </is>
      </c>
      <c r="I134" s="25" t="inlineStr">
        <is>
          <t>None found (not in the QER shortlist search)</t>
        </is>
      </c>
      <c r="J134" s="68" t="inlineStr">
        <is>
          <t>Eligible (federal grant — a VA STATE grant would not be)</t>
        </is>
      </c>
      <c r="K134" s="68" t="inlineStr">
        <is>
          <t>No record; visit finding</t>
        </is>
      </c>
      <c r="L134" s="68" t="inlineStr">
        <is>
          <t>unknown</t>
        </is>
      </c>
      <c r="M134" s="68" t="inlineStr">
        <is>
          <t>pilot-scale only</t>
        </is>
      </c>
      <c r="N134" s="68" t="inlineStr">
        <is>
          <t>no</t>
        </is>
      </c>
      <c r="O134" s="68" t="inlineStr">
        <is>
          <t>434-283-5400 · 4141 Pigeon Run Road, Gladys, VA 24554</t>
        </is>
      </c>
      <c r="P134" s="140" t="inlineStr">
        <is>
          <t>WATCH</t>
        </is>
      </c>
      <c r="Q134" s="178" t="inlineStr">
        <is>
          <t>Beebop's #10 and the only Virginia plant inside 120 road miles of Durham — but cat 1 (&lt;19 animals/week) and a beef-first website. A one-question call (do you still kill hogs, how many) is all it merits.</t>
        </is>
      </c>
      <c r="R134" s="179" t="inlineStr">
        <is>
          <t>schrockssh.com (verified live 2026-09-28)</t>
        </is>
      </c>
      <c r="S134" s="68" t="inlineStr">
        <is>
          <t>High (FSIS 9-03)</t>
        </is>
      </c>
      <c r="T134" s="68" t="inlineStr">
        <is>
          <t>The southern-VA census (2026-09-03) found only cat-1 plants; this is one of them.</t>
        </is>
      </c>
    </row>
    <row r="135" ht="58.6" customHeight="1" s="59">
      <c r="A135" s="138" t="inlineStr">
        <is>
          <t>Neese Country Sausage, Inc. — Burlington (M8341)</t>
        </is>
      </c>
      <c r="B135" s="68" t="inlineStr">
        <is>
          <t>Burlington, NC (Alamance Co.)</t>
        </is>
      </c>
      <c r="C135" s="68" t="inlineStr">
        <is>
          <t>exited slaughter — FSIS INACTIVE</t>
        </is>
      </c>
      <c r="D135" s="68" t="inlineStr">
        <is>
          <t>n/a</t>
        </is>
      </c>
      <c r="E135" s="88" t="inlineStr">
        <is>
          <t>YES · ~33 mi
(Pikeville: n/m)</t>
        </is>
      </c>
      <c r="F135" s="143" t="inlineStr">
        <is>
          <t>n/a</t>
        </is>
      </c>
      <c r="G135" s="68" t="inlineStr">
        <is>
          <t>sow kill (historic; cat 1)</t>
        </is>
      </c>
      <c r="H135" s="68" t="inlineStr">
        <is>
          <t>⚠ INACTIVE — M8341 (Burlington) and M8341A (Greensboro) inactive effective 2026-07-02 (FSIS Inactive Directory)</t>
        </is>
      </c>
      <c r="I135" s="25" t="inlineStr">
        <is>
          <t>n/a</t>
        </is>
      </c>
      <c r="J135" s="68" t="inlineStr">
        <is>
          <t>n/a</t>
        </is>
      </c>
      <c r="K135" s="68" t="inlineStr">
        <is>
          <t>n/a</t>
        </is>
      </c>
      <c r="L135" s="68" t="inlineStr">
        <is>
          <t>n/a</t>
        </is>
      </c>
      <c r="M135" s="68" t="inlineStr">
        <is>
          <t>NO</t>
        </is>
      </c>
      <c r="N135" s="68" t="inlineStr">
        <is>
          <t>NO</t>
        </is>
      </c>
      <c r="O135" s="68" t="inlineStr">
        <is>
          <t>336-227-0211 (historic)</t>
        </is>
      </c>
      <c r="P135" s="141" t="inlineStr">
        <is>
          <t>OUT / FLAG</t>
        </is>
      </c>
      <c r="Q135" s="178" t="inlineStr">
        <is>
          <t>Beebop's #20 rests on a stale federal listing: both Neese grants went inactive on 2026-07-02. Dead lead — recorded so nobody re-researches it.</t>
        </is>
      </c>
      <c r="R135" s="179" t="inlineStr">
        <is>
          <t>neesesausage.com (brand site)</t>
        </is>
      </c>
      <c r="S135" s="68" t="inlineStr">
        <is>
          <t>High (FSIS inactive directory 9-03)</t>
        </is>
      </c>
      <c r="T135" s="68" t="inlineStr">
        <is>
          <t>Also in the 2025-26 closures roll-up (row 86).</t>
        </is>
      </c>
    </row>
    <row r="136" ht="72" customHeight="1" s="59">
      <c r="A136" s="138" t="inlineStr">
        <is>
          <t>AAA Abattoir</t>
        </is>
      </c>
      <c r="B136" s="68" t="inlineStr">
        <is>
          <t>Graham, NC (Alamance Co.)</t>
        </is>
      </c>
      <c r="C136" s="68" t="inlineStr">
        <is>
          <t>custom-exempt (no continuous inspection)</t>
        </is>
      </c>
      <c r="D136" s="68" t="inlineStr">
        <is>
          <t>n/a</t>
        </is>
      </c>
      <c r="E136" s="88" t="inlineStr">
        <is>
          <t>YES · ~32 mi
(Pikeville: n/m)</t>
        </is>
      </c>
      <c r="F136" s="143" t="inlineStr">
        <is>
          <t>n/a</t>
        </is>
      </c>
      <c r="G136" s="68" t="inlineStr">
        <is>
          <t>swine listed (NCDA species C)</t>
        </is>
      </c>
      <c r="H136" s="68" t="inlineStr">
        <is>
          <t>CUSTOM-EXEMPT (NCDA&amp;CS directory 2026-09-18)</t>
        </is>
      </c>
      <c r="I136" s="25" t="inlineStr">
        <is>
          <t>n/a</t>
        </is>
      </c>
      <c r="J136" s="68" t="inlineStr">
        <is>
          <t>NONE — custom-exempt product cannot be sold; no EU path</t>
        </is>
      </c>
      <c r="K136" s="68" t="inlineStr">
        <is>
          <t>n/a</t>
        </is>
      </c>
      <c r="L136" s="68" t="inlineStr">
        <is>
          <t>n/a</t>
        </is>
      </c>
      <c r="M136" s="68" t="inlineStr">
        <is>
          <t>NO</t>
        </is>
      </c>
      <c r="N136" s="68" t="inlineStr">
        <is>
          <t>NO</t>
        </is>
      </c>
      <c r="O136" s="68" t="inlineStr">
        <is>
          <t>717-405-8137 · 2301 Austin Quarter Road, Graham, NC 27253</t>
        </is>
      </c>
      <c r="P136" s="141" t="inlineStr">
        <is>
          <t>OUT / FLAG</t>
        </is>
      </c>
      <c r="Q136" s="178" t="inlineStr">
        <is>
          <t>Custom-exempt = fails hard gate G1 (no ante-/post-mortem inspection, no resale). Listed only because Beebop's plan carries it (rank #21) — do not call for supply. Very local (32 mi) but custom-only.</t>
        </is>
      </c>
      <c r="R136" s="179" t="inlineStr">
        <is>
          <t>n/a</t>
        </is>
      </c>
      <c r="S136" s="68" t="inlineStr">
        <is>
          <t>High (NCDA 9-18)</t>
        </is>
      </c>
      <c r="T136" s="68" t="inlineStr">
        <is>
          <t>Added 2026-09-28 for the record; 10 more custom-exempt swine plants from the 9-18 directory are listed on Sources &amp; Confidence, not here.</t>
        </is>
      </c>
    </row>
    <row r="137" ht="72" customHeight="1" s="59">
      <c r="A137" s="138" t="inlineStr">
        <is>
          <t>Coletown</t>
        </is>
      </c>
      <c r="B137" s="68" t="inlineStr">
        <is>
          <t>Lexington, NC (Davidson Co.)</t>
        </is>
      </c>
      <c r="C137" s="68" t="inlineStr">
        <is>
          <t>custom-exempt (no continuous inspection)</t>
        </is>
      </c>
      <c r="D137" s="68" t="inlineStr">
        <is>
          <t>n/a</t>
        </is>
      </c>
      <c r="E137" s="88" t="inlineStr">
        <is>
          <t>YES · ~90 mi
(Pikeville: n/m)</t>
        </is>
      </c>
      <c r="F137" s="143" t="inlineStr">
        <is>
          <t>n/a</t>
        </is>
      </c>
      <c r="G137" s="68" t="inlineStr">
        <is>
          <t>swine listed (NCDA species C)</t>
        </is>
      </c>
      <c r="H137" s="68" t="inlineStr">
        <is>
          <t>CUSTOM-EXEMPT (NCDA&amp;CS directory 2026-09-18)</t>
        </is>
      </c>
      <c r="I137" s="25" t="inlineStr">
        <is>
          <t>n/a</t>
        </is>
      </c>
      <c r="J137" s="68" t="inlineStr">
        <is>
          <t>NONE — custom-exempt product cannot be sold; no EU path</t>
        </is>
      </c>
      <c r="K137" s="68" t="inlineStr">
        <is>
          <t>n/a</t>
        </is>
      </c>
      <c r="L137" s="68" t="inlineStr">
        <is>
          <t>n/a</t>
        </is>
      </c>
      <c r="M137" s="68" t="inlineStr">
        <is>
          <t>NO</t>
        </is>
      </c>
      <c r="N137" s="68" t="inlineStr">
        <is>
          <t>NO</t>
        </is>
      </c>
      <c r="O137" s="68" t="inlineStr">
        <is>
          <t>336-596-0826 · 4611 NC Highway 47, Lexington, NC 27292</t>
        </is>
      </c>
      <c r="P137" s="141" t="inlineStr">
        <is>
          <t>OUT / FLAG</t>
        </is>
      </c>
      <c r="Q137" s="178" t="inlineStr">
        <is>
          <t>Custom-exempt = fails hard gate G1 (no ante-/post-mortem inspection, no resale). Listed only because Beebop's plan carries it (rank #22) — do not call for supply. Custom-only; deer-season workload; pork listed alongside game.</t>
        </is>
      </c>
      <c r="R137" s="179" t="inlineStr">
        <is>
          <t>n/a</t>
        </is>
      </c>
      <c r="S137" s="68" t="inlineStr">
        <is>
          <t>High (NCDA 9-18)</t>
        </is>
      </c>
      <c r="T137" s="68" t="inlineStr">
        <is>
          <t>Added 2026-09-28 for the record; 10 more custom-exempt swine plants from the 9-18 directory are listed on Sources &amp; Confidence, not here.</t>
        </is>
      </c>
    </row>
    <row r="138" ht="85.40000000000001" customHeight="1" s="59">
      <c r="A138" s="138" t="inlineStr">
        <is>
          <t>Homestead Custom Meat Processing (mobile)</t>
        </is>
      </c>
      <c r="B138" s="68" t="inlineStr">
        <is>
          <t>Archdale, NC (Randolph Co. — MOBILE service, no fixed plant)</t>
        </is>
      </c>
      <c r="C138" s="68" t="inlineStr">
        <is>
          <t>custom-exempt (no continuous inspection)</t>
        </is>
      </c>
      <c r="D138" s="68" t="inlineStr">
        <is>
          <t>n/a</t>
        </is>
      </c>
      <c r="E138" s="88" t="inlineStr">
        <is>
          <t>YES · ~70 mi
(Pikeville: n/m)</t>
        </is>
      </c>
      <c r="F138" s="143" t="inlineStr">
        <is>
          <t>n/a</t>
        </is>
      </c>
      <c r="G138" s="68" t="inlineStr">
        <is>
          <t>swine listed (NCDA species C)</t>
        </is>
      </c>
      <c r="H138" s="68" t="inlineStr">
        <is>
          <t>CUSTOM / mobile — not a listed plant</t>
        </is>
      </c>
      <c r="I138" s="25" t="inlineStr">
        <is>
          <t>n/a</t>
        </is>
      </c>
      <c r="J138" s="68" t="inlineStr">
        <is>
          <t>NONE — custom-exempt product cannot be sold; no EU path</t>
        </is>
      </c>
      <c r="K138" s="68" t="inlineStr">
        <is>
          <t>n/a</t>
        </is>
      </c>
      <c r="L138" s="68" t="inlineStr">
        <is>
          <t>n/a</t>
        </is>
      </c>
      <c r="M138" s="68" t="inlineStr">
        <is>
          <t>NO</t>
        </is>
      </c>
      <c r="N138" s="68" t="inlineStr">
        <is>
          <t>NO</t>
        </is>
      </c>
      <c r="O138" s="68" t="inlineStr">
        <is>
          <t>336-689-6232 · 6192 Muddy Creek Road, Archdale, NC 27263</t>
        </is>
      </c>
      <c r="P138" s="141" t="inlineStr">
        <is>
          <t>OUT / FLAG</t>
        </is>
      </c>
      <c r="Q138" s="178" t="inlineStr">
        <is>
          <t>Custom-exempt = fails hard gate G1 (no ante-/post-mortem inspection, no resale). Listed only because Beebop's plan carries it (rank #23) — do not call for supply. Mobile on-farm service (Facebook); a 440 lb customer pig documented; no fixed site, no inspection.</t>
        </is>
      </c>
      <c r="R138" s="179" t="inlineStr">
        <is>
          <t>n/a</t>
        </is>
      </c>
      <c r="S138" s="68" t="inlineStr">
        <is>
          <t>High (NCDA 9-18)</t>
        </is>
      </c>
      <c r="T138" s="68" t="inlineStr">
        <is>
          <t>Added 2026-09-28 for the record; 10 more custom-exempt swine plants from the 9-18 directory are listed on Sources &amp; Confidence, not here.</t>
        </is>
      </c>
    </row>
    <row r="139" ht="72" customHeight="1" s="59">
      <c r="A139" s="138" t="inlineStr">
        <is>
          <t>Miller Meat Processing</t>
        </is>
      </c>
      <c r="B139" s="68" t="inlineStr">
        <is>
          <t>Seaboard, NC (Northampton Co.)</t>
        </is>
      </c>
      <c r="C139" s="68" t="inlineStr">
        <is>
          <t>custom-exempt (no continuous inspection)</t>
        </is>
      </c>
      <c r="D139" s="68" t="inlineStr">
        <is>
          <t>n/a</t>
        </is>
      </c>
      <c r="E139" s="88" t="inlineStr">
        <is>
          <t>YES · ~103 mi
(Pikeville: n/m)</t>
        </is>
      </c>
      <c r="F139" s="143" t="inlineStr">
        <is>
          <t>n/a</t>
        </is>
      </c>
      <c r="G139" s="68" t="inlineStr">
        <is>
          <t>swine listed (NCDA species C)</t>
        </is>
      </c>
      <c r="H139" s="68" t="inlineStr">
        <is>
          <t>CUSTOM-EXEMPT (NCDA&amp;CS directory 2026-09-18)</t>
        </is>
      </c>
      <c r="I139" s="25" t="inlineStr">
        <is>
          <t>n/a</t>
        </is>
      </c>
      <c r="J139" s="68" t="inlineStr">
        <is>
          <t>NONE — custom-exempt product cannot be sold; no EU path</t>
        </is>
      </c>
      <c r="K139" s="68" t="inlineStr">
        <is>
          <t>n/a</t>
        </is>
      </c>
      <c r="L139" s="68" t="inlineStr">
        <is>
          <t>n/a</t>
        </is>
      </c>
      <c r="M139" s="68" t="inlineStr">
        <is>
          <t>NO</t>
        </is>
      </c>
      <c r="N139" s="68" t="inlineStr">
        <is>
          <t>NO</t>
        </is>
      </c>
      <c r="O139" s="68" t="inlineStr">
        <is>
          <t>252-589-0004 · 2381 Big Johns Store Road, Seaboard, NC 27876</t>
        </is>
      </c>
      <c r="P139" s="141" t="inlineStr">
        <is>
          <t>OUT / FLAG</t>
        </is>
      </c>
      <c r="Q139" s="178" t="inlineStr">
        <is>
          <t>Custom-exempt = fails hard gate G1 (no ante-/post-mortem inspection, no resale). Listed only because Beebop's plan carries it (rank #24) — do not call for supply. Custom-only; game-processing listing.</t>
        </is>
      </c>
      <c r="R139" s="179" t="inlineStr">
        <is>
          <t>n/a</t>
        </is>
      </c>
      <c r="S139" s="68" t="inlineStr">
        <is>
          <t>High (NCDA 9-18)</t>
        </is>
      </c>
      <c r="T139" s="68" t="inlineStr">
        <is>
          <t>Added 2026-09-28 for the record; 10 more custom-exempt swine plants from the 9-18 directory are listed on Sources &amp; Confidence, not here.</t>
        </is>
      </c>
    </row>
    <row r="140" ht="58.6" customHeight="1" s="59">
      <c r="A140" s="138" t="inlineStr">
        <is>
          <t>Firsthand Foods</t>
        </is>
      </c>
      <c r="B140" s="68" t="inlineStr">
        <is>
          <t>Durham, NC</t>
        </is>
      </c>
      <c r="C140" s="68" t="inlineStr">
        <is>
          <t>Referral / network contact (not a plant)</t>
        </is>
      </c>
      <c r="D140" s="68" t="inlineStr">
        <is>
          <t>n/a</t>
        </is>
      </c>
      <c r="E140" s="88" t="inlineStr">
        <is>
          <t>YES · ~2 mi
(Pikeville: n/m)</t>
        </is>
      </c>
      <c r="F140" s="143" t="inlineStr">
        <is>
          <t>n/a</t>
        </is>
      </c>
      <c r="G140" s="68" t="inlineStr">
        <is>
          <t>n/a</t>
        </is>
      </c>
      <c r="H140" s="68" t="inlineStr">
        <is>
          <t>n/a (not a slaughter plant)</t>
        </is>
      </c>
      <c r="I140" s="25" t="inlineStr">
        <is>
          <t>n/a</t>
        </is>
      </c>
      <c r="J140" s="68" t="inlineStr">
        <is>
          <t>n/a</t>
        </is>
      </c>
      <c r="K140" s="68" t="inlineStr">
        <is>
          <t>n/a</t>
        </is>
      </c>
      <c r="L140" s="68" t="inlineStr">
        <is>
          <t>n/a</t>
        </is>
      </c>
      <c r="M140" s="68" t="inlineStr">
        <is>
          <t>n/a</t>
        </is>
      </c>
      <c r="N140" s="68" t="inlineStr">
        <is>
          <t>n/a</t>
        </is>
      </c>
      <c r="O140" s="68" t="inlineStr">
        <is>
          <t>919-599-0804 · 2210 East Pettigrew Street, Durham, NC 27703</t>
        </is>
      </c>
      <c r="P140" s="145" t="inlineStr">
        <is>
          <t>REFERRAL</t>
        </is>
      </c>
      <c r="Q140" s="178" t="inlineStr">
        <is>
          <t>Local pasture-raised meat hub coordinating small producers and processors: ask which plants kill their pigs and who controls organ rights. Zero-cost referral call (Beebop #26).</t>
        </is>
      </c>
      <c r="R140" s="179" t="inlineStr">
        <is>
          <t>firsthandfoods.com (live)</t>
        </is>
      </c>
      <c r="S140" s="68" t="inlineStr">
        <is>
          <t>High (Beebop 9-28; sites verified)</t>
        </is>
      </c>
      <c r="T140" s="68" t="inlineStr">
        <is>
          <t>Referral lane added 2026-09-28 from the Beebop plan — introductions and intel only.</t>
        </is>
      </c>
    </row>
    <row r="141" ht="58.6" customHeight="1" s="59">
      <c r="A141" s="138" t="inlineStr">
        <is>
          <t>Heritage Farms Cheshire Pork</t>
        </is>
      </c>
      <c r="B141" s="68" t="inlineStr">
        <is>
          <t>Goldsboro, NC</t>
        </is>
      </c>
      <c r="C141" s="68" t="inlineStr">
        <is>
          <t>Referral / network contact (not a plant)</t>
        </is>
      </c>
      <c r="D141" s="68" t="inlineStr">
        <is>
          <t>n/a</t>
        </is>
      </c>
      <c r="E141" s="88" t="inlineStr">
        <is>
          <t>YES · ~86 mi
(Pikeville: n/m)</t>
        </is>
      </c>
      <c r="F141" s="143" t="inlineStr">
        <is>
          <t>n/a</t>
        </is>
      </c>
      <c r="G141" s="68" t="inlineStr">
        <is>
          <t>n/a</t>
        </is>
      </c>
      <c r="H141" s="68" t="inlineStr">
        <is>
          <t>n/a (not a slaughter plant)</t>
        </is>
      </c>
      <c r="I141" s="25" t="inlineStr">
        <is>
          <t>n/a</t>
        </is>
      </c>
      <c r="J141" s="68" t="inlineStr">
        <is>
          <t>n/a</t>
        </is>
      </c>
      <c r="K141" s="68" t="inlineStr">
        <is>
          <t>n/a</t>
        </is>
      </c>
      <c r="L141" s="68" t="inlineStr">
        <is>
          <t>n/a</t>
        </is>
      </c>
      <c r="M141" s="68" t="inlineStr">
        <is>
          <t>n/a</t>
        </is>
      </c>
      <c r="N141" s="68" t="inlineStr">
        <is>
          <t>n/a</t>
        </is>
      </c>
      <c r="O141" s="68" t="inlineStr">
        <is>
          <t>919-222-9496 · 340 Dollard Town Road, Goldsboro, NC 27534</t>
        </is>
      </c>
      <c r="P141" s="145" t="inlineStr">
        <is>
          <t>REFERRAL</t>
        </is>
      </c>
      <c r="Q141" s="178" t="inlineStr">
        <is>
          <t>Heritage-breed pork brand ~10 mi from Pikeville: the question is which plant kills Cheshire pigs and whether intact blocks can be reserved at slaughter (Beebop #27).</t>
        </is>
      </c>
      <c r="R141" s="179" t="inlineStr">
        <is>
          <t>cheshirepork.com (live)</t>
        </is>
      </c>
      <c r="S141" s="68" t="inlineStr">
        <is>
          <t>High (Beebop 9-28; sites verified)</t>
        </is>
      </c>
      <c r="T141" s="68" t="inlineStr">
        <is>
          <t>Referral lane added 2026-09-28 from the Beebop plan — introductions and intel only.</t>
        </is>
      </c>
    </row>
    <row r="142" ht="45.2" customHeight="1" s="59">
      <c r="A142" s="138" t="inlineStr">
        <is>
          <t>Carolina Packers</t>
        </is>
      </c>
      <c r="B142" s="68" t="inlineStr">
        <is>
          <t>Smithfield, NC</t>
        </is>
      </c>
      <c r="C142" s="68" t="inlineStr">
        <is>
          <t>Referral / network contact (not a plant)</t>
        </is>
      </c>
      <c r="D142" s="68" t="inlineStr">
        <is>
          <t>n/a</t>
        </is>
      </c>
      <c r="E142" s="88" t="inlineStr">
        <is>
          <t>YES · ~58 mi
(Pikeville: n/m)</t>
        </is>
      </c>
      <c r="F142" s="143" t="inlineStr">
        <is>
          <t>n/a</t>
        </is>
      </c>
      <c r="G142" s="68" t="inlineStr">
        <is>
          <t>n/a</t>
        </is>
      </c>
      <c r="H142" s="68" t="inlineStr">
        <is>
          <t>TA-19836 — processing only</t>
        </is>
      </c>
      <c r="I142" s="25" t="inlineStr">
        <is>
          <t>n/a</t>
        </is>
      </c>
      <c r="J142" s="68" t="inlineStr">
        <is>
          <t>n/a</t>
        </is>
      </c>
      <c r="K142" s="68" t="inlineStr">
        <is>
          <t>n/a</t>
        </is>
      </c>
      <c r="L142" s="68" t="inlineStr">
        <is>
          <t>n/a</t>
        </is>
      </c>
      <c r="M142" s="68" t="inlineStr">
        <is>
          <t>n/a</t>
        </is>
      </c>
      <c r="N142" s="68" t="inlineStr">
        <is>
          <t>n/a</t>
        </is>
      </c>
      <c r="O142" s="68" t="inlineStr">
        <is>
          <t>919-934-2181 · 2999 South Brightleaf Boulevard, Smithfield, NC 27577</t>
        </is>
      </c>
      <c r="P142" s="145" t="inlineStr">
        <is>
          <t>REFERRAL</t>
        </is>
      </c>
      <c r="Q142" s="178" t="inlineStr">
        <is>
          <t>Bright Leaf hot-dog maker; processing only (TA-19836, no slaughter) — an upstream-introduction call, not capacity (Beebop #28).</t>
        </is>
      </c>
      <c r="R142" s="179" t="inlineStr">
        <is>
          <t>carolinapackers.com (live)</t>
        </is>
      </c>
      <c r="S142" s="68" t="inlineStr">
        <is>
          <t>High (Beebop 9-28; sites verified)</t>
        </is>
      </c>
      <c r="T142" s="68" t="inlineStr">
        <is>
          <t>Referral lane added 2026-09-28 from the Beebop plan — introductions and intel only.</t>
        </is>
      </c>
    </row>
    <row r="143" ht="45.2" customHeight="1" s="59">
      <c r="A143" s="138" t="inlineStr">
        <is>
          <t>NC Choices, Sarah Blacklin</t>
        </is>
      </c>
      <c r="B143" s="68" t="inlineStr">
        <is>
          <t>Raleigh, NC</t>
        </is>
      </c>
      <c r="C143" s="68" t="inlineStr">
        <is>
          <t>Referral / network contact (not a plant)</t>
        </is>
      </c>
      <c r="D143" s="68" t="inlineStr">
        <is>
          <t>n/a</t>
        </is>
      </c>
      <c r="E143" s="88" t="inlineStr">
        <is>
          <t>YES · ~24 mi
(Pikeville: n/m)</t>
        </is>
      </c>
      <c r="F143" s="143" t="inlineStr">
        <is>
          <t>n/a</t>
        </is>
      </c>
      <c r="G143" s="68" t="inlineStr">
        <is>
          <t>n/a</t>
        </is>
      </c>
      <c r="H143" s="68" t="inlineStr">
        <is>
          <t>n/a (not a slaughter plant)</t>
        </is>
      </c>
      <c r="I143" s="25" t="inlineStr">
        <is>
          <t>n/a</t>
        </is>
      </c>
      <c r="J143" s="68" t="inlineStr">
        <is>
          <t>n/a</t>
        </is>
      </c>
      <c r="K143" s="68" t="inlineStr">
        <is>
          <t>n/a</t>
        </is>
      </c>
      <c r="L143" s="68" t="inlineStr">
        <is>
          <t>n/a</t>
        </is>
      </c>
      <c r="M143" s="68" t="inlineStr">
        <is>
          <t>n/a</t>
        </is>
      </c>
      <c r="N143" s="68" t="inlineStr">
        <is>
          <t>n/a</t>
        </is>
      </c>
      <c r="O143" s="68" t="inlineStr">
        <is>
          <t>919-928-4771 · 840 Oval Drive, Raleigh, NC 27606</t>
        </is>
      </c>
      <c r="P143" s="145" t="inlineStr">
        <is>
          <t>REFERRAL</t>
        </is>
      </c>
      <c r="Q143" s="178" t="inlineStr">
        <is>
          <t>NC State / CEFS niche-meat network — best placed to name operators open to a paid harvest partnership and newly active plants (Beebop #29).</t>
        </is>
      </c>
      <c r="R143" s="179" t="inlineStr">
        <is>
          <t>ncchoices.com (live)</t>
        </is>
      </c>
      <c r="S143" s="68" t="inlineStr">
        <is>
          <t>High (Beebop 9-28; sites verified)</t>
        </is>
      </c>
      <c r="T143" s="68" t="inlineStr">
        <is>
          <t>Referral lane added 2026-09-28 from the Beebop plan — introductions and intel only.</t>
        </is>
      </c>
    </row>
    <row r="144" ht="58.6" customHeight="1" s="59">
      <c r="A144" s="138" t="inlineStr">
        <is>
          <t>NC Meat and Poultry Inspection Division</t>
        </is>
      </c>
      <c r="B144" s="68" t="inlineStr">
        <is>
          <t>Raleigh, NC</t>
        </is>
      </c>
      <c r="C144" s="68" t="inlineStr">
        <is>
          <t>Referral / network contact (not a plant)</t>
        </is>
      </c>
      <c r="D144" s="68" t="inlineStr">
        <is>
          <t>n/a</t>
        </is>
      </c>
      <c r="E144" s="88" t="inlineStr">
        <is>
          <t>YES · ~25 mi
(Pikeville: n/m)</t>
        </is>
      </c>
      <c r="F144" s="143" t="inlineStr">
        <is>
          <t>n/a</t>
        </is>
      </c>
      <c r="G144" s="68" t="inlineStr">
        <is>
          <t>n/a</t>
        </is>
      </c>
      <c r="H144" s="68" t="inlineStr">
        <is>
          <t>n/a (not a slaughter plant)</t>
        </is>
      </c>
      <c r="I144" s="25" t="inlineStr">
        <is>
          <t>n/a</t>
        </is>
      </c>
      <c r="J144" s="68" t="inlineStr">
        <is>
          <t>n/a</t>
        </is>
      </c>
      <c r="K144" s="68" t="inlineStr">
        <is>
          <t>n/a</t>
        </is>
      </c>
      <c r="L144" s="68" t="inlineStr">
        <is>
          <t>n/a</t>
        </is>
      </c>
      <c r="M144" s="68" t="inlineStr">
        <is>
          <t>n/a</t>
        </is>
      </c>
      <c r="N144" s="68" t="inlineStr">
        <is>
          <t>n/a</t>
        </is>
      </c>
      <c r="O144" s="68" t="inlineStr">
        <is>
          <t>919-707-3180 · 2 West Edenton Street, Raleigh, NC 27601</t>
        </is>
      </c>
      <c r="P144" s="145" t="inlineStr">
        <is>
          <t>REFERRAL</t>
        </is>
      </c>
      <c r="Q144" s="178" t="inlineStr">
        <is>
          <t>The state inspection division: confirms newly active or changed swine plants and the specimen-collection rules for our model (Beebop #30). Source of the 09-18 directory.</t>
        </is>
      </c>
      <c r="R144" s="179" t="inlineStr">
        <is>
          <t>ncagr.gov/divisions/meat-poultry-inspection</t>
        </is>
      </c>
      <c r="S144" s="68" t="inlineStr">
        <is>
          <t>High (Beebop 9-28; sites verified)</t>
        </is>
      </c>
      <c r="T144" s="68" t="inlineStr">
        <is>
          <t>Referral lane added 2026-09-28 from the Beebop plan — introductions and intel only.</t>
        </is>
      </c>
    </row>
  </sheetData>
  <autoFilter ref="A4:T4"/>
  <mergeCells count="22">
    <mergeCell ref="A40:T40"/>
    <mergeCell ref="A24:T24"/>
    <mergeCell ref="A1:T1"/>
    <mergeCell ref="A103:T103"/>
    <mergeCell ref="A61:T61"/>
    <mergeCell ref="A78:T78"/>
    <mergeCell ref="A87:T87"/>
    <mergeCell ref="A128:T128"/>
    <mergeCell ref="A90:T90"/>
    <mergeCell ref="A108:T108"/>
    <mergeCell ref="A27:T27"/>
    <mergeCell ref="A50:T50"/>
    <mergeCell ref="A55:T55"/>
    <mergeCell ref="A2:T2"/>
    <mergeCell ref="A47:T47"/>
    <mergeCell ref="A116:T116"/>
    <mergeCell ref="A5:T5"/>
    <mergeCell ref="A8:T8"/>
    <mergeCell ref="A35:T35"/>
    <mergeCell ref="A96:T96"/>
    <mergeCell ref="A63:T63"/>
    <mergeCell ref="A121:T121"/>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6.xml><?xml version="1.0" encoding="utf-8"?>
<worksheet xmlns="http://schemas.openxmlformats.org/spreadsheetml/2006/main">
  <sheetPr>
    <tabColor rgb="00C00000"/>
    <outlinePr summaryBelow="1" summaryRight="1"/>
    <pageSetUpPr fitToPage="1"/>
  </sheetPr>
  <dimension ref="A1:W24"/>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7" customWidth="1" style="59" min="1" max="1"/>
    <col width="24" customWidth="1" style="59" min="2" max="2"/>
    <col width="13" customWidth="1" style="59" min="3" max="3"/>
    <col width="13" customWidth="1" style="59" min="4" max="4"/>
    <col width="22" customWidth="1" style="59" min="5" max="5"/>
    <col width="20" customWidth="1" style="59" min="6" max="6"/>
    <col width="16" customWidth="1" style="59" min="7" max="7"/>
    <col width="34" customWidth="1" style="59" min="8" max="8"/>
    <col width="34" customWidth="1" style="59" min="9" max="9"/>
    <col width="26" customWidth="1" style="59" min="10" max="10"/>
    <col width="6" customWidth="1" style="59" min="11" max="11"/>
    <col width="6" customWidth="1" style="59" min="12" max="12"/>
    <col width="6" customWidth="1" style="59" min="13" max="13"/>
    <col width="6" customWidth="1" style="59" min="14" max="14"/>
    <col width="6" customWidth="1" style="59" min="15" max="15"/>
    <col width="6" customWidth="1" style="59" min="16" max="16"/>
    <col width="6" customWidth="1" style="59" min="17" max="17"/>
    <col width="6" customWidth="1" style="59" min="18" max="18"/>
    <col width="8" customWidth="1" style="59" min="19" max="19"/>
    <col width="8" customWidth="1" style="59" min="20" max="20"/>
    <col width="7" customWidth="1" style="59" min="21" max="21"/>
    <col width="40" customWidth="1" style="59" min="22" max="22"/>
    <col width="9" customWidth="1" style="59" min="23" max="23"/>
  </cols>
  <sheetData>
    <row r="1" ht="19.7" customHeight="1" s="59">
      <c r="A1" s="150" t="inlineStr">
        <is>
          <t>RATED CANDIDATES — every plant that passes the hard gates, scored for Model A (our techs go there) and Model B-T (their crew, our training)</t>
        </is>
      </c>
      <c r="B1" s="171" t="n"/>
      <c r="C1" s="171" t="n"/>
      <c r="D1" s="171" t="n"/>
      <c r="E1" s="171" t="n"/>
      <c r="F1" s="171" t="n"/>
      <c r="G1" s="171" t="n"/>
      <c r="H1" s="171" t="n"/>
      <c r="I1" s="171" t="n"/>
      <c r="J1" s="171" t="n"/>
      <c r="K1" s="171" t="n"/>
      <c r="L1" s="171" t="n"/>
      <c r="M1" s="171" t="n"/>
      <c r="N1" s="171" t="n"/>
      <c r="O1" s="171" t="n"/>
      <c r="P1" s="171" t="n"/>
      <c r="Q1" s="171" t="n"/>
      <c r="R1" s="171" t="n"/>
      <c r="S1" s="171" t="n"/>
      <c r="T1" s="171" t="n"/>
      <c r="U1" s="171" t="n"/>
      <c r="V1" s="171" t="n"/>
      <c r="W1" s="172" t="n"/>
    </row>
    <row r="2" ht="18.4" customHeight="1" s="59">
      <c r="A2" s="180" t="inlineStr">
        <is>
          <t>Codes, scoring definitions and weights: see the INSTRUCTIONS tab (sections 5-6). Yellow weight cells below are editable; scores recompute on open. 2026-09-28: PROX now measured from the DURHAM origin and ANAT against the 140-220 lb target; column W shows the Beebop (ChatGPT) call rank for comparison.</t>
        </is>
      </c>
      <c r="B2" s="171" t="n"/>
      <c r="C2" s="171" t="n"/>
      <c r="D2" s="171" t="n"/>
      <c r="E2" s="171" t="n"/>
      <c r="F2" s="171" t="n"/>
      <c r="G2" s="171" t="n"/>
      <c r="H2" s="171" t="n"/>
      <c r="I2" s="171" t="n"/>
      <c r="J2" s="171" t="n"/>
      <c r="K2" s="171" t="n"/>
      <c r="L2" s="171" t="n"/>
      <c r="M2" s="171" t="n"/>
      <c r="N2" s="171" t="n"/>
      <c r="O2" s="171" t="n"/>
      <c r="P2" s="171" t="n"/>
      <c r="Q2" s="171" t="n"/>
      <c r="R2" s="171" t="n"/>
      <c r="S2" s="171" t="n"/>
      <c r="T2" s="171" t="n"/>
      <c r="U2" s="171" t="n"/>
      <c r="V2" s="171" t="n"/>
      <c r="W2" s="172" t="n"/>
    </row>
    <row r="3" ht="18.4" customHeight="1" s="59">
      <c r="J3" s="182" t="inlineStr">
        <is>
          <t>A-FIT weights →</t>
        </is>
      </c>
      <c r="K3" s="183" t="n">
        <v>0.25</v>
      </c>
      <c r="L3" s="183" t="n">
        <v>0.3</v>
      </c>
      <c r="M3" s="183" t="n">
        <v>0</v>
      </c>
      <c r="N3" s="183" t="n">
        <v>0.15</v>
      </c>
      <c r="O3" s="183" t="n">
        <v>0.1</v>
      </c>
      <c r="P3" s="183" t="n">
        <v>0.1</v>
      </c>
      <c r="Q3" s="183" t="n">
        <v>0.05</v>
      </c>
      <c r="R3" s="183" t="n">
        <v>0.05</v>
      </c>
    </row>
    <row r="4" ht="18.4" customHeight="1" s="59">
      <c r="J4" s="182" t="inlineStr">
        <is>
          <t>B-FIT weights →</t>
        </is>
      </c>
      <c r="K4" s="183" t="n">
        <v>0.1</v>
      </c>
      <c r="L4" s="183" t="n">
        <v>0</v>
      </c>
      <c r="M4" s="183" t="n">
        <v>0.3</v>
      </c>
      <c r="N4" s="183" t="n">
        <v>0.15</v>
      </c>
      <c r="O4" s="183" t="n">
        <v>0.15</v>
      </c>
      <c r="P4" s="183" t="n">
        <v>0.15</v>
      </c>
      <c r="Q4" s="183" t="n">
        <v>0.05</v>
      </c>
      <c r="R4" s="183" t="n">
        <v>0.1</v>
      </c>
    </row>
    <row r="5" ht="45.2" customHeight="1" s="59">
      <c r="A5" s="152" t="inlineStr">
        <is>
          <t>Candidate</t>
        </is>
      </c>
      <c r="B5" s="152" t="inlineStr">
        <is>
          <t>Inspection &amp; est. no.</t>
        </is>
      </c>
      <c r="C5" s="152" t="inlineStr">
        <is>
          <t>Region</t>
        </is>
      </c>
      <c r="D5" s="152" t="inlineStr">
        <is>
          <t>Road mi</t>
        </is>
      </c>
      <c r="E5" s="152" t="inlineStr">
        <is>
          <t>Class / anatomy</t>
        </is>
      </c>
      <c r="F5" s="152" t="inlineStr">
        <is>
          <t>Volume (basis)</t>
        </is>
      </c>
      <c r="G5" s="152" t="inlineStr">
        <is>
          <t>Export path</t>
        </is>
      </c>
      <c r="H5" s="152" t="inlineStr">
        <is>
          <t>A-fit evidence (host OUR techs)</t>
        </is>
      </c>
      <c r="I5" s="152" t="inlineStr">
        <is>
          <t>B-fit evidence (THEIR crew, our training)</t>
        </is>
      </c>
      <c r="J5" s="152" t="inlineStr">
        <is>
          <t>Welfare &amp; enforcement</t>
        </is>
      </c>
      <c r="K5" s="184" t="inlineStr">
        <is>
          <t>PROX</t>
        </is>
      </c>
      <c r="L5" s="184" t="inlineStr">
        <is>
          <t>ACCESS</t>
        </is>
      </c>
      <c r="M5" s="184" t="inlineStr">
        <is>
          <t>CREW</t>
        </is>
      </c>
      <c r="N5" s="184" t="inlineStr">
        <is>
          <t>ANAT</t>
        </is>
      </c>
      <c r="O5" s="184" t="inlineStr">
        <is>
          <t>VOL</t>
        </is>
      </c>
      <c r="P5" s="184" t="inlineStr">
        <is>
          <t>WELF</t>
        </is>
      </c>
      <c r="Q5" s="184" t="inlineStr">
        <is>
          <t>EXPORT</t>
        </is>
      </c>
      <c r="R5" s="184" t="inlineStr">
        <is>
          <t>RELN</t>
        </is>
      </c>
      <c r="S5" s="184" t="inlineStr">
        <is>
          <t>A-FIT</t>
        </is>
      </c>
      <c r="T5" s="184" t="inlineStr">
        <is>
          <t>B-FIT</t>
        </is>
      </c>
      <c r="U5" s="184" t="inlineStr">
        <is>
          <t>Tier</t>
        </is>
      </c>
      <c r="V5" s="152" t="inlineStr">
        <is>
          <t>Why / gates / approach intel</t>
        </is>
      </c>
      <c r="W5" s="152" t="inlineStr">
        <is>
          <t>Beebop rank
(9-28)</t>
        </is>
      </c>
    </row>
    <row r="6" ht="219.4" customHeight="1" s="59">
      <c r="A6" s="153" t="inlineStr">
        <is>
          <t>Larry's Sausage Co.
Fayetteville, NC</t>
        </is>
      </c>
      <c r="B6" s="154" t="inlineStr">
        <is>
          <t>USDA ✓ M8305 (T-A)</t>
        </is>
      </c>
      <c r="C6" s="185" t="inlineStr">
        <is>
          <t>NC-East</t>
        </is>
      </c>
      <c r="D6" s="185" t="inlineStr">
        <is>
          <t>87 (Durham)
65 (Pikeville)</t>
        </is>
      </c>
      <c r="E6" s="154" t="inlineStr">
        <is>
          <t>SOW only — mature anatomy;
gated by the anatomical-spec decision</t>
        </is>
      </c>
      <c r="F6" s="154" t="inlineStr">
        <is>
          <t>19-192/wk (FSIS cat 2);
processing cat 4</t>
        </is>
      </c>
      <c r="G6" s="154" t="inlineStr">
        <is>
          <t>FULL (federal)</t>
        </is>
      </c>
      <c r="H6" s="154" t="inlineStr">
        <is>
          <t>Small family TA plant, single-species line — the same class our crews already work at Parks/CQP; scheduling simple; hosting never tested (never contacted).</t>
        </is>
      </c>
      <c r="I6" s="154" t="inlineStr">
        <is>
          <t>★ STRONG: their own site (fetched 2026-09-03): '90% of our team employed here for over a decade' — deep crew tenure — and 'nimble enough to work with smaller orders and custom requests'. Full-time on-site USDA inspector. Sows killed for MEAT — viscera not their product.</t>
        </is>
      </c>
      <c r="J6" s="154" t="inlineStr">
        <is>
          <t>None found (FY23Q4-FY26Q3 checked). Not a confirmed negative.</t>
        </is>
      </c>
      <c r="K6" s="185" t="n">
        <v>4</v>
      </c>
      <c r="L6" s="185" t="n">
        <v>3</v>
      </c>
      <c r="M6" s="185" t="n">
        <v>4</v>
      </c>
      <c r="N6" s="185" t="n">
        <v>1</v>
      </c>
      <c r="O6" s="185" t="n">
        <v>3</v>
      </c>
      <c r="P6" s="185" t="n">
        <v>5</v>
      </c>
      <c r="Q6" s="185" t="n">
        <v>5</v>
      </c>
      <c r="R6" s="185" t="n">
        <v>5</v>
      </c>
      <c r="S6" s="162">
        <f>ROUND(SUMPRODUCT($K$3:$R$3,K6:R6),1)</f>
        <v/>
      </c>
      <c r="T6" s="162">
        <f>ROUND(SUMPRODUCT($K$4:$R$4,K6:R6),1)</f>
        <v/>
      </c>
      <c r="U6" s="187" t="inlineStr">
        <is>
          <t>2</t>
        </is>
      </c>
      <c r="V6" s="154" t="inlineStr">
        <is>
          <t>9-28 UPDATE: Tier 1 → 2. The client's 140-220 lb live-weight target (ChatGPT brief) puts a sow-only floor outside the spec — ANAT 3 → 1; Beebop ranks it #19 for the same reason. Still the best B-T crew profile in the east; revives instantly if sow anatomy is accepted on the Anatomical Spec tab.
THE best structural organ add in the east: sow-class organs at real volume, 20 min from Martin's, federal. Gate: sow anatomy must pass the spec decision — ask the pelvic/bariatric question INTERNALLY before the call. Office hours Tue 9-3; (910) 483-5148. SITE EVIDENCE 2026-09-03: decade-tenured crew, flexible minimums, distributor-partner posture — the best B-T profile on the list.</t>
        </is>
      </c>
      <c r="W6" s="198" t="n">
        <v>19</v>
      </c>
    </row>
    <row r="7" ht="98.8" customHeight="1" s="59">
      <c r="A7" s="153" t="inlineStr">
        <is>
          <t>McLamb's Abattoir &amp; Meats
Benson, NC</t>
        </is>
      </c>
      <c r="B7" s="154" t="inlineStr">
        <is>
          <t>STATE ✓ P-247 (NC)</t>
        </is>
      </c>
      <c r="C7" s="185" t="inlineStr">
        <is>
          <t>NC-East</t>
        </is>
      </c>
      <c r="D7" s="185" t="inlineStr">
        <is>
          <t>58 (Durham)
37 (Pikeville)</t>
        </is>
      </c>
      <c r="E7" s="154" t="inlineStr">
        <is>
          <t>Multi-species incl. hogs
(state species A,B,C,D,E)</t>
        </is>
      </c>
      <c r="F7" s="154" t="inlineStr">
        <is>
          <t>unknown — state plants
publish no volumes</t>
        </is>
      </c>
      <c r="G7" s="154" t="inlineStr">
        <is>
          <t>FULL (NC state = APHIS-equivalent)</t>
        </is>
      </c>
      <c r="H7" s="154" t="inlineStr">
        <is>
          <t>Custom-oriented family floor right off I-95, closer than any current supplier except Nahunta; hosting untested but the format matches CQP/Parks.</t>
        </is>
      </c>
      <c r="I7" s="154" t="inlineStr">
        <is>
          <t>Multi-species custom crew (calves, cattle, goats, hogs, lambs) — custom trade implies cut-to-spec basics; offal-return practice unverified.</t>
        </is>
      </c>
      <c r="J7" s="154" t="inlineStr">
        <is>
          <t>None found — state plants sit outside FSIS reporting; site-visit finding.</t>
        </is>
      </c>
      <c r="K7" s="185" t="n">
        <v>5</v>
      </c>
      <c r="L7" s="185" t="n">
        <v>3</v>
      </c>
      <c r="M7" s="185" t="n">
        <v>3</v>
      </c>
      <c r="N7" s="185" t="n">
        <v>3</v>
      </c>
      <c r="O7" s="185" t="n">
        <v>2</v>
      </c>
      <c r="P7" s="185" t="n">
        <v>4</v>
      </c>
      <c r="Q7" s="185" t="n">
        <v>5</v>
      </c>
      <c r="R7" s="185" t="n">
        <v>4</v>
      </c>
      <c r="S7" s="162">
        <f>ROUND(SUMPRODUCT($K$3:$R$3,K7:R7),1)</f>
        <v/>
      </c>
      <c r="T7" s="162">
        <f>ROUND(SUMPRODUCT($K$4:$R$4,K7:R7),1)</f>
        <v/>
      </c>
      <c r="U7" s="186" t="inlineStr">
        <is>
          <t>1</t>
        </is>
      </c>
      <c r="V7" s="154" t="inlineStr">
        <is>
          <t>9-28: Beebop's #2; confirm the contracting entity (Lee's Fresh Market shares address/phone). 58 road mi from Durham.
Top unworked NC state plant: the Nahunta playbook 37 miles out. Operator Shane Lee. One call closes the volume unknown. (919) 894-2587.</t>
        </is>
      </c>
      <c r="W7" s="198" t="n">
        <v>2</v>
      </c>
    </row>
    <row r="8" ht="45.2" customHeight="1" s="59">
      <c r="A8" s="153" t="inlineStr">
        <is>
          <t>Gale McLamb Meats
Dunn, NC</t>
        </is>
      </c>
      <c r="B8" s="154" t="inlineStr">
        <is>
          <t>STATE ✓ P-221 (NC)</t>
        </is>
      </c>
      <c r="C8" s="185" t="inlineStr">
        <is>
          <t>NC-East</t>
        </is>
      </c>
      <c r="D8" s="185" t="inlineStr">
        <is>
          <t>60 (Durham)
44 (Pikeville)</t>
        </is>
      </c>
      <c r="E8" s="154" t="inlineStr">
        <is>
          <t>Cattle + hogs
(state species A,B,C)</t>
        </is>
      </c>
      <c r="F8" s="154" t="inlineStr">
        <is>
          <t>unknown — likely small
retail-butcher scale</t>
        </is>
      </c>
      <c r="G8" s="154" t="inlineStr">
        <is>
          <t>FULL (NC state = APHIS-equivalent)</t>
        </is>
      </c>
      <c r="H8" s="154" t="inlineStr">
        <is>
          <t>Family plant since 1980 on the same I-95 corridor; same untested-but-right format.</t>
        </is>
      </c>
      <c r="I8" s="154" t="inlineStr">
        <is>
          <t>Long-running custom processing incl. hunter deer — a crew used to cutting to customer instruction.</t>
        </is>
      </c>
      <c r="J8" s="154" t="inlineStr">
        <is>
          <t>None found — outside FSIS reporting; site-visit finding.</t>
        </is>
      </c>
      <c r="K8" s="185" t="n">
        <v>5</v>
      </c>
      <c r="L8" s="185" t="n">
        <v>3</v>
      </c>
      <c r="M8" s="185" t="n">
        <v>3</v>
      </c>
      <c r="N8" s="185" t="n">
        <v>3</v>
      </c>
      <c r="O8" s="185" t="n">
        <v>2</v>
      </c>
      <c r="P8" s="185" t="n">
        <v>4</v>
      </c>
      <c r="Q8" s="185" t="n">
        <v>5</v>
      </c>
      <c r="R8" s="185" t="n">
        <v>4</v>
      </c>
      <c r="S8" s="162">
        <f>ROUND(SUMPRODUCT($K$3:$R$3,K8:R8),1)</f>
        <v/>
      </c>
      <c r="T8" s="162">
        <f>ROUND(SUMPRODUCT($K$4:$R$4,K8:R8),1)</f>
        <v/>
      </c>
      <c r="U8" s="186" t="inlineStr">
        <is>
          <t>1</t>
        </is>
      </c>
      <c r="V8" s="154" t="inlineStr">
        <is>
          <t>Pair with McLamb's Benson as one I-95 trip. (910) 892-7279.</t>
        </is>
      </c>
      <c r="W8" s="198" t="n">
        <v>5</v>
      </c>
    </row>
    <row r="9" ht="219.4" customHeight="1" s="59">
      <c r="A9" s="153" t="inlineStr">
        <is>
          <t>Piedmont Custom Meats
Gibsonville, NC</t>
        </is>
      </c>
      <c r="B9" s="154" t="inlineStr">
        <is>
          <t>USDA ✓ M7975 (T-A)</t>
        </is>
      </c>
      <c r="C9" s="185" t="inlineStr">
        <is>
          <t>NC-West</t>
        </is>
      </c>
      <c r="D9" s="185" t="inlineStr">
        <is>
          <t>48 (Durham)
116 (Pikeville)</t>
        </is>
      </c>
      <c r="E9" s="154" t="inlineStr">
        <is>
          <t>ALL FOUR hog classes —
only NC plant so flagged</t>
        </is>
      </c>
      <c r="F9" s="154" t="inlineStr">
        <is>
          <t>19-192/wk ALL species
(FSIS cat 2)</t>
        </is>
      </c>
      <c r="G9" s="154" t="inlineStr">
        <is>
          <t>FULL (federal)</t>
        </is>
      </c>
      <c r="H9" s="154" t="inlineStr">
        <is>
          <t>★ Best host structure of any candidate: purpose-built harvest facility, Mon-Fri kill days by appointment (cut schedules organized 5-10 days ahead — plannable), slaughter-only floor, 600+ farm clients — and 116 road mi, INSIDE the radius (borderline). Hog kill $85 + $5.06/head disposal fee (their price sheet, 2026-09-03).</t>
        </is>
      </c>
      <c r="I9" s="154" t="inlineStr">
        <is>
          <t>Large skilled custom operation cutting to spec for 600+ farms; their own $5.06/head disposal fee shows viscera DISCARDED today — organ recovery is pure found revenue.</t>
        </is>
      </c>
      <c r="J9" s="154" t="inlineStr">
        <is>
          <t>POSITIVE: Animal Welfare Approved; Temple Grandin-designed handling; written humane policy. Best EU-facing story of any candidate.</t>
        </is>
      </c>
      <c r="K9" s="185" t="n">
        <v>5</v>
      </c>
      <c r="L9" s="185" t="n">
        <v>5</v>
      </c>
      <c r="M9" s="185" t="n">
        <v>4</v>
      </c>
      <c r="N9" s="185" t="n">
        <v>5</v>
      </c>
      <c r="O9" s="185" t="n">
        <v>3</v>
      </c>
      <c r="P9" s="185" t="n">
        <v>5</v>
      </c>
      <c r="Q9" s="185" t="n">
        <v>5</v>
      </c>
      <c r="R9" s="185" t="n">
        <v>3</v>
      </c>
      <c r="S9" s="162">
        <f>ROUND(SUMPRODUCT($K$3:$R$3,K9:R9),1)</f>
        <v/>
      </c>
      <c r="T9" s="162">
        <f>ROUND(SUMPRODUCT($K$4:$R$4,K9:R9),1)</f>
        <v/>
      </c>
      <c r="U9" s="186" t="inlineStr">
        <is>
          <t>1</t>
        </is>
      </c>
      <c r="V9" s="154" t="inlineStr">
        <is>
          <t>9-28: Beebop's #1 too. New facts — 150 lb live minimum published (fits the target), NC Farm Bureau capacity-expansion grant, and service-processing of customer-owned animals → ask who owns the organs. 48 road mi from Durham.
The strongest all-round candidate outside the current base. Limit: cat-2 ceiling (~192/wk all species). ⚠ PROTOCOL QUESTION FOR THE CALL: their FAQ (2026-09-03) says hogs get an electric stun 'and a second time to stop their hearts' (occasionally a rifle for heavy hogs) — ask whether OUR designated hogs can skip the second/cardiac stun to protect thoracic organs and aortas. Scheduling line (336) 628-4949.</t>
        </is>
      </c>
      <c r="W9" s="198" t="n">
        <v>1</v>
      </c>
    </row>
    <row r="10" ht="58.6" customHeight="1" s="59">
      <c r="A10" s="153" t="inlineStr">
        <is>
          <t>Flowers Slaughter House
Sims, NC</t>
        </is>
      </c>
      <c r="B10" s="154" t="inlineStr">
        <is>
          <t>USDA ✓ M21747</t>
        </is>
      </c>
      <c r="C10" s="185" t="inlineStr">
        <is>
          <t>NC-East</t>
        </is>
      </c>
      <c r="D10" s="185" t="inlineStr">
        <is>
          <t>63 (Durham)
45 (Pikeville)</t>
        </is>
      </c>
      <c r="E10" s="154" t="inlineStr">
        <is>
          <t>Market + BOAR/STAG
(largest male anatomy in region)</t>
        </is>
      </c>
      <c r="F10" s="154" t="inlineStr">
        <is>
          <t>19-192/wk (FSIS cat 2)</t>
        </is>
      </c>
      <c r="G10" s="154" t="inlineStr">
        <is>
          <t>FULL (federal)</t>
        </is>
      </c>
      <c r="H10" s="154" t="inlineStr">
        <is>
          <t>Same rural micro-abattoir format our crew already works 3 miles away at CQP; hours M-F 7-5, Sat 7-10.</t>
        </is>
      </c>
      <c r="I10" s="154" t="inlineStr">
        <is>
          <t>Custom-oriented family floor slaughtering whole hogs for farmers — offal return on request is the norm in this class.</t>
        </is>
      </c>
      <c r="J10" s="154" t="inlineStr">
        <is>
          <t>None found.</t>
        </is>
      </c>
      <c r="K10" s="185" t="n">
        <v>4</v>
      </c>
      <c r="L10" s="185" t="n">
        <v>4</v>
      </c>
      <c r="M10" s="185" t="n">
        <v>3</v>
      </c>
      <c r="N10" s="185" t="n">
        <v>4</v>
      </c>
      <c r="O10" s="185" t="n">
        <v>3</v>
      </c>
      <c r="P10" s="185" t="n">
        <v>4</v>
      </c>
      <c r="Q10" s="185" t="n">
        <v>5</v>
      </c>
      <c r="R10" s="185" t="n">
        <v>4</v>
      </c>
      <c r="S10" s="162">
        <f>ROUND(SUMPRODUCT($K$3:$R$3,K10:R10),1)</f>
        <v/>
      </c>
      <c r="T10" s="162">
        <f>ROUND(SUMPRODUCT($K$4:$R$4,K10:R10),1)</f>
        <v/>
      </c>
      <c r="U10" s="187" t="inlineStr">
        <is>
          <t>2</t>
        </is>
      </c>
      <c r="V10" s="154" t="inlineStr">
        <is>
          <t>Cluster play, not a standalone lane: redundancy for Sims + the region's only boar/stag access. Contacts Alan Sharp / Tim Boswell, (252) 237-2982.</t>
        </is>
      </c>
      <c r="W10" s="199" t="n">
        <v>3</v>
      </c>
    </row>
    <row r="11" ht="58.6" customHeight="1" s="59">
      <c r="A11" s="153" t="inlineStr">
        <is>
          <t>Acre Station Meat Farm
Pinetown, NC</t>
        </is>
      </c>
      <c r="B11" s="154" t="inlineStr">
        <is>
          <t>USDA ✓ M19904 (T-A)</t>
        </is>
      </c>
      <c r="C11" s="185" t="inlineStr">
        <is>
          <t>NC-East</t>
        </is>
      </c>
      <c r="D11" s="185" t="inlineStr">
        <is>
          <t>143 (Durham)
88 (Pikeville)</t>
        </is>
      </c>
      <c r="E11" s="154" t="inlineStr">
        <is>
          <t>Market + SOW</t>
        </is>
      </c>
      <c r="F11" s="154" t="inlineStr">
        <is>
          <t>~150 hogs/wk + cattle
(dated profiles; cat 2 ceiling)</t>
        </is>
      </c>
      <c r="G11" s="154" t="inlineStr">
        <is>
          <t>FULL (federal)</t>
        </is>
      </c>
      <c r="H11" s="154" t="inlineStr">
        <is>
          <t>Own kill floor, slow line, TA structure our crews know; 7,000 sq ft processing — a 1-2 person bench is conceivable but tight.</t>
        </is>
      </c>
      <c r="I11" s="154" t="inlineStr">
        <is>
          <t>Full-service custom plant with PUBLISHED kill fees ($0.19/lb dressed + $0.84/lb) — an established cut-to-spec culture.</t>
        </is>
      </c>
      <c r="J11" s="154" t="inlineStr">
        <is>
          <t>None found (FY23Q4-FY26Q3).</t>
        </is>
      </c>
      <c r="K11" s="185" t="n">
        <v>2</v>
      </c>
      <c r="L11" s="185" t="n">
        <v>3</v>
      </c>
      <c r="M11" s="185" t="n">
        <v>4</v>
      </c>
      <c r="N11" s="185" t="n">
        <v>4</v>
      </c>
      <c r="O11" s="185" t="n">
        <v>2</v>
      </c>
      <c r="P11" s="185" t="n">
        <v>5</v>
      </c>
      <c r="Q11" s="185" t="n">
        <v>5</v>
      </c>
      <c r="R11" s="185" t="n">
        <v>4</v>
      </c>
      <c r="S11" s="162">
        <f>ROUND(SUMPRODUCT($K$3:$R$3,K11:R11),1)</f>
        <v/>
      </c>
      <c r="T11" s="162">
        <f>ROUND(SUMPRODUCT($K$4:$R$4,K11:R11),1)</f>
        <v/>
      </c>
      <c r="U11" s="187" t="inlineStr">
        <is>
          <t>2</t>
        </is>
      </c>
      <c r="V11" s="154" t="inlineStr">
        <is>
          <t>Quality/relationship add at Nahunta-like culture; hogs share the week with cattle/sheep/goats, and it is the farthest eastern option (~2 hr). (252) 927-3700.</t>
        </is>
      </c>
      <c r="W11" s="199" t="inlineStr">
        <is>
          <t>—</t>
        </is>
      </c>
    </row>
    <row r="12" ht="165.8" customHeight="1" s="59">
      <c r="A12" s="153" t="inlineStr">
        <is>
          <t>Bass Farms (Bass Farm Sausage)
Spring Hope, NC</t>
        </is>
      </c>
      <c r="B12" s="154" t="inlineStr">
        <is>
          <t>USDA ✓ M3521 (T-A)
grant 2/17/2026 — newest in NC</t>
        </is>
      </c>
      <c r="C12" s="185" t="inlineStr">
        <is>
          <t>NC-North</t>
        </is>
      </c>
      <c r="D12" s="185" t="inlineStr">
        <is>
          <t>61 (Durham)
40 (Pikeville)</t>
        </is>
      </c>
      <c r="E12" s="154" t="inlineStr">
        <is>
          <t>SOW only — mature anatomy</t>
        </is>
      </c>
      <c r="F12" s="154" t="inlineStr">
        <is>
          <t>19-192/wk (FSIS cat 2 —
UP from cat 1 on 8/17;
the expansion is showing)</t>
        </is>
      </c>
      <c r="G12" s="154" t="inlineStr">
        <is>
          <t>FULL (federal)</t>
        </is>
      </c>
      <c r="H12" s="154" t="inlineStr">
        <is>
          <t>Brand-new floor after a $2.2M/40-job expansion; never hosted outsiders; micro-scale.</t>
        </is>
      </c>
      <c r="I12" s="154" t="inlineStr">
        <is>
          <t>Their crew kills sows for their own sausage — organs/aortas currently WASTE; a growth-mode company likely open to a revenue stream from it.</t>
        </is>
      </c>
      <c r="J12" s="154" t="inlineStr">
        <is>
          <t>None found (new grant).</t>
        </is>
      </c>
      <c r="K12" s="185" t="n">
        <v>4</v>
      </c>
      <c r="L12" s="185" t="n">
        <v>2</v>
      </c>
      <c r="M12" s="185" t="n">
        <v>3</v>
      </c>
      <c r="N12" s="185" t="n">
        <v>1</v>
      </c>
      <c r="O12" s="185" t="n">
        <v>2</v>
      </c>
      <c r="P12" s="185" t="n">
        <v>4</v>
      </c>
      <c r="Q12" s="185" t="n">
        <v>5</v>
      </c>
      <c r="R12" s="185" t="n">
        <v>4</v>
      </c>
      <c r="S12" s="162">
        <f>ROUND(SUMPRODUCT($K$3:$R$3,K12:R12),1)</f>
        <v/>
      </c>
      <c r="T12" s="162">
        <f>ROUND(SUMPRODUCT($K$4:$R$4,K12:R12),1)</f>
        <v/>
      </c>
      <c r="U12" s="188" t="inlineStr">
        <is>
          <t>3</t>
        </is>
      </c>
      <c r="V12" s="154" t="inlineStr">
        <is>
          <t>9-28 UPDATE: Tier 2 → 3. Sow-only against the 140-220 lb target (ANAT 3 → 1). Its FSIS band rise (cat 1 → 2) still marks a growing plant 61 mi from Durham — park, don't drop.
★ UPGRADED AGAIN 2026-09-03: FSIS now shows slaughter volume category 2 (19-192 sows/wk) — up from category 1 three weeks ago; the $2.2M expansion is showing up in USDA's own data. Still a mature-anatomy add-on rather than a lane, but a GROWING one, 20-40 min from Sims. President Kenneth Edwards. (252) 478-4147.</t>
        </is>
      </c>
      <c r="W12" s="199" t="n">
        <v>16</v>
      </c>
    </row>
    <row r="13" ht="85.40000000000001" customHeight="1" s="59">
      <c r="A13" s="153" t="inlineStr">
        <is>
          <t>Williamsburg Packing Co.
Kingstree, SC</t>
        </is>
      </c>
      <c r="B13" s="154" t="inlineStr">
        <is>
          <t>USDA ✓ M4005 + P4005 + V4005</t>
        </is>
      </c>
      <c r="C13" s="185" t="inlineStr">
        <is>
          <t>SC</t>
        </is>
      </c>
      <c r="D13" s="185" t="inlineStr">
        <is>
          <t>213 (Durham)
190 (Pikeville)</t>
        </is>
      </c>
      <c r="E13" s="154" t="inlineStr">
        <is>
          <t>ALL FOUR hog classes
(market + sow + roaster + boar/stag —
fresh FSIS flags 2026-09-03)</t>
        </is>
      </c>
      <c r="F13" s="154" t="inlineStr">
        <is>
          <t>192-1,917/wk (FSIS cat 3) —
ALL-SPECIES aggregate; hog share
is the open question</t>
        </is>
      </c>
      <c r="G13" s="154" t="inlineStr">
        <is>
          <t>FULL (federal; V4005 voluntary grant
— the non-amenable/research mechanism)</t>
        </is>
      </c>
      <c r="H13" s="154" t="inlineStr">
        <is>
          <t>Too far for weekly Model A (190 road mi); nothing known about hosting posture.</t>
        </is>
      </c>
      <c r="I13" s="154" t="inlineStr">
        <is>
          <t>The only NON-INCUMBENT cat-3 floor within ~200 miles, now showing all four swine classes. Voluntary grant V4005 is the research-tissue mechanism. Crew capability unverified.</t>
        </is>
      </c>
      <c r="J13" s="154" t="inlineStr">
        <is>
          <t>No enforcement found; earlier welfare-CERTIFICATION marketing claims were refuted (claims, not violations) — do not lead with welfare in the pitch.</t>
        </is>
      </c>
      <c r="K13" s="185" t="n">
        <v>1</v>
      </c>
      <c r="L13" s="185" t="n">
        <v>2</v>
      </c>
      <c r="M13" s="185" t="n">
        <v>3</v>
      </c>
      <c r="N13" s="185" t="n">
        <v>4</v>
      </c>
      <c r="O13" s="185" t="n">
        <v>4</v>
      </c>
      <c r="P13" s="185" t="n">
        <v>4</v>
      </c>
      <c r="Q13" s="185" t="n">
        <v>5</v>
      </c>
      <c r="R13" s="185" t="n">
        <v>2</v>
      </c>
      <c r="S13" s="162">
        <f>ROUND(SUMPRODUCT($K$3:$R$3,K13:R13),1)</f>
        <v/>
      </c>
      <c r="T13" s="162">
        <f>ROUND(SUMPRODUCT($K$4:$R$4,K13:R13),1)</f>
        <v/>
      </c>
      <c r="U13" s="187" t="inlineStr">
        <is>
          <t>2</t>
        </is>
      </c>
      <c r="V13" s="154" t="inlineStr">
        <is>
          <t>ONE call decides it: actual hogs/week (the cat-3 band is a multi-species aggregate, so the hog number could disappoint). If the hog share is real, this is the only outside-the-base volume play in reach — as Model B-T. (843) 355-6447.</t>
        </is>
      </c>
      <c r="W13" s="199" t="inlineStr">
        <is>
          <t>—</t>
        </is>
      </c>
    </row>
    <row r="14" ht="98.8" customHeight="1" s="59">
      <c r="A14" s="153" t="inlineStr">
        <is>
          <t>Contentnea Farms
Walstonburg, NC</t>
        </is>
      </c>
      <c r="B14" s="154" t="inlineStr">
        <is>
          <t>USDA ✓ M2583 (T-A)
grant 10/29/2025</t>
        </is>
      </c>
      <c r="C14" s="185" t="inlineStr">
        <is>
          <t>NC-East</t>
        </is>
      </c>
      <c r="D14" s="185" t="inlineStr">
        <is>
          <t>90 (Durham)
35 (Pikeville)</t>
        </is>
      </c>
      <c r="E14" s="154" t="inlineStr">
        <is>
          <t>Market + sow + boar/stag</t>
        </is>
      </c>
      <c r="F14" s="154" t="inlineStr">
        <is>
          <t>&lt;19/wk (FSIS cat 1)</t>
        </is>
      </c>
      <c r="G14" s="154" t="inlineStr">
        <is>
          <t>FULL (federal)</t>
        </is>
      </c>
      <c r="H14" s="154" t="inlineStr">
        <is>
          <t>Too small to host a crew productively.</t>
        </is>
      </c>
      <c r="I14" s="154" t="inlineStr">
        <is>
          <t>Custom shop with published small-pig pricing — cut-to-spec culture at homestead scale.</t>
        </is>
      </c>
      <c r="J14" s="154" t="inlineStr">
        <is>
          <t>None found.</t>
        </is>
      </c>
      <c r="K14" s="185" t="n">
        <v>4</v>
      </c>
      <c r="L14" s="185" t="n">
        <v>2</v>
      </c>
      <c r="M14" s="185" t="n">
        <v>3</v>
      </c>
      <c r="N14" s="185" t="n">
        <v>4</v>
      </c>
      <c r="O14" s="185" t="n">
        <v>1</v>
      </c>
      <c r="P14" s="185" t="n">
        <v>4</v>
      </c>
      <c r="Q14" s="185" t="n">
        <v>5</v>
      </c>
      <c r="R14" s="185" t="n">
        <v>3</v>
      </c>
      <c r="S14" s="162">
        <f>ROUND(SUMPRODUCT($K$3:$R$3,K14:R14),1)</f>
        <v/>
      </c>
      <c r="T14" s="162">
        <f>ROUND(SUMPRODUCT($K$4:$R$4,K14:R14),1)</f>
        <v/>
      </c>
      <c r="U14" s="188" t="inlineStr">
        <is>
          <t>3</t>
        </is>
      </c>
      <c r="V14" s="154" t="inlineStr">
        <is>
          <t>9-28: Beebop ranks it #4 (active booking site, TA-2583) — but its FSIS band is cat 1 (&lt;19/wk): a cheap call, pilot-scale at best. Tier unchanged.
Closest plant on the list (35 mi) but &lt;19/wk: overflow/pilot for odd-lot sow or boar needs only. (252) 717-9229.</t>
        </is>
      </c>
      <c r="W14" s="200" t="n">
        <v>4</v>
      </c>
    </row>
    <row r="15" ht="125.6" customHeight="1" s="59">
      <c r="A15" s="153" t="inlineStr">
        <is>
          <t>Select Meats
Kannapolis, NC</t>
        </is>
      </c>
      <c r="B15" s="154" t="inlineStr">
        <is>
          <t>USDA ✓ M10757 (T-A)</t>
        </is>
      </c>
      <c r="C15" s="185" t="inlineStr">
        <is>
          <t>NC-West</t>
        </is>
      </c>
      <c r="D15" s="185" t="inlineStr">
        <is>
          <t>114 (Durham)
190 (Pikeville)</t>
        </is>
      </c>
      <c r="E15" s="154" t="inlineStr">
        <is>
          <t>MARKET only</t>
        </is>
      </c>
      <c r="F15" s="154" t="inlineStr">
        <is>
          <t>19-192/wk all species
(FSIS cat 2)</t>
        </is>
      </c>
      <c r="G15" s="154" t="inlineStr">
        <is>
          <t>FULL (federal)</t>
        </is>
      </c>
      <c r="H15" s="154" t="inlineStr">
        <is>
          <t>Slaughter-only structure (favorable); facility size and hosting posture unknown — near-zero public footprint.</t>
        </is>
      </c>
      <c r="I15" s="154" t="inlineStr">
        <is>
          <t>Cattle+hogs custom plant since 1987 (mgr Gerald Wood); crew capability unverified.</t>
        </is>
      </c>
      <c r="J15" s="154" t="inlineStr">
        <is>
          <t>None found.</t>
        </is>
      </c>
      <c r="K15" s="185" t="n">
        <v>4</v>
      </c>
      <c r="L15" s="185" t="n">
        <v>3</v>
      </c>
      <c r="M15" s="185" t="n">
        <v>2</v>
      </c>
      <c r="N15" s="185" t="n">
        <v>5</v>
      </c>
      <c r="O15" s="185" t="n">
        <v>3</v>
      </c>
      <c r="P15" s="185" t="n">
        <v>4</v>
      </c>
      <c r="Q15" s="185" t="n">
        <v>5</v>
      </c>
      <c r="R15" s="185" t="n">
        <v>2</v>
      </c>
      <c r="S15" s="162">
        <f>ROUND(SUMPRODUCT($K$3:$R$3,K15:R15),1)</f>
        <v/>
      </c>
      <c r="T15" s="162">
        <f>ROUND(SUMPRODUCT($K$4:$R$4,K15:R15),1)</f>
        <v/>
      </c>
      <c r="U15" s="187" t="inlineStr">
        <is>
          <t>2</t>
        </is>
      </c>
      <c r="V15" s="154" t="inlineStr">
        <is>
          <t>9-28 UPDATE: Tier 3 → 2. From the Durham origin it is ~115 road miles — INSIDE the radius (it was ~190 from Pikeville). Market-only, cat 2, one call resolves it; Beebop ranks it #17 with the same boundary caveat.
The western sleeper — one phone call resolves it, but at 190 mi it needs a western crew or Model B-T to matter. (704) 202-9340 / (704) 933-7550.</t>
        </is>
      </c>
      <c r="W15" s="200" t="n">
        <v>17</v>
      </c>
    </row>
    <row r="16" ht="72" customHeight="1" s="59">
      <c r="A16" s="153" t="inlineStr">
        <is>
          <t>Wilkes Abattoir (Apple Brandy)
N. Wilkesboro, NC</t>
        </is>
      </c>
      <c r="B16" s="154" t="inlineStr">
        <is>
          <t>USDA ✓ M19511 (T-A)</t>
        </is>
      </c>
      <c r="C16" s="185" t="inlineStr">
        <is>
          <t>NC-West</t>
        </is>
      </c>
      <c r="D16" s="185" t="inlineStr">
        <is>
          <t>134 (Durham)
209 (Pikeville)</t>
        </is>
      </c>
      <c r="E16" s="154" t="inlineStr">
        <is>
          <t>Market + sow + boar/stag</t>
        </is>
      </c>
      <c r="F16" s="154" t="inlineStr">
        <is>
          <t>est. ~10-95 hogs/wk
(cat 2 × ~50% hog share)</t>
        </is>
      </c>
      <c r="G16" s="154" t="inlineStr">
        <is>
          <t>FULL (federal)</t>
        </is>
      </c>
      <c r="H16" s="154" t="inlineStr">
        <is>
          <t>Dedicated slaughter-only site; owner Seth Church; size adequate for a small embedded crew.</t>
        </is>
      </c>
      <c r="I16" s="154" t="inlineStr">
        <is>
          <t>Farmer-service custom abattoir vertically integrated with the Apple Brandy Beef brand — real cut-to-spec capability.</t>
        </is>
      </c>
      <c r="J16" s="154" t="inlineStr">
        <is>
          <t>Prior owner (Thomas Brothers) had repeat suspensions 2009/15/18; clean under Apple Brandy since 2019 — site history an EU auditor could surface.</t>
        </is>
      </c>
      <c r="K16" s="185" t="n">
        <v>2</v>
      </c>
      <c r="L16" s="185" t="n">
        <v>4</v>
      </c>
      <c r="M16" s="185" t="n">
        <v>4</v>
      </c>
      <c r="N16" s="185" t="n">
        <v>4</v>
      </c>
      <c r="O16" s="185" t="n">
        <v>3</v>
      </c>
      <c r="P16" s="185" t="n">
        <v>3</v>
      </c>
      <c r="Q16" s="185" t="n">
        <v>5</v>
      </c>
      <c r="R16" s="185" t="n">
        <v>3</v>
      </c>
      <c r="S16" s="162">
        <f>ROUND(SUMPRODUCT($K$3:$R$3,K16:R16),1)</f>
        <v/>
      </c>
      <c r="T16" s="162">
        <f>ROUND(SUMPRODUCT($K$4:$R$4,K16:R16),1)</f>
        <v/>
      </c>
      <c r="U16" s="188" t="inlineStr">
        <is>
          <t>3</t>
        </is>
      </c>
      <c r="V16" s="154" t="inlineStr">
        <is>
          <t>Highest confirmed hog share in the west (~half the kill) — but 209 mi. Model B-T only. (336) 667-1346.</t>
        </is>
      </c>
      <c r="W16" s="200" t="inlineStr">
        <is>
          <t>—</t>
        </is>
      </c>
    </row>
    <row r="17" ht="72" customHeight="1" s="59">
      <c r="A17" s="153" t="inlineStr">
        <is>
          <t>Western state trio: Caldwell P-312 ·
Price's P-307 · McLaughlin's P-85</t>
        </is>
      </c>
      <c r="B17" s="154" t="inlineStr">
        <is>
          <t>STATE ✓ (NC)
Maiden / Hickory / Mooresville</t>
        </is>
      </c>
      <c r="C17" s="185" t="inlineStr">
        <is>
          <t>NC-West</t>
        </is>
      </c>
      <c r="D17" s="185" t="inlineStr">
        <is>
          <t>152 (Durham)
201-227 (Pikeville)</t>
        </is>
      </c>
      <c r="E17" s="154" t="inlineStr">
        <is>
          <t>Hog-ONLY (all three) —
class mix unpublished</t>
        </is>
      </c>
      <c r="F17" s="154" t="inlineStr">
        <is>
          <t>unknown — state plants
publish no volumes</t>
        </is>
      </c>
      <c r="G17" s="154" t="inlineStr">
        <is>
          <t>FULL (NC state = APHIS-equivalent)</t>
        </is>
      </c>
      <c r="H17" s="154" t="inlineStr">
        <is>
          <t>The Nahunta structural formula ×3: swine-only state floors. Price's kills Mon/Wed (plannable) and hand-scrapes to preserve skin.</t>
        </is>
      </c>
      <c r="I17" s="154" t="inlineStr">
        <is>
          <t>McLaughlin's is a production plant with its own hog supply (sausage/livermush since 1962) — a real crew; NOTE livers are their raw material, blocks/aortas don't compete.</t>
        </is>
      </c>
      <c r="J17" s="154" t="inlineStr">
        <is>
          <t>None found (state — site-visit finding).</t>
        </is>
      </c>
      <c r="K17" s="185" t="n">
        <v>2</v>
      </c>
      <c r="L17" s="185" t="n">
        <v>3</v>
      </c>
      <c r="M17" s="185" t="n">
        <v>3</v>
      </c>
      <c r="N17" s="185" t="n">
        <v>3</v>
      </c>
      <c r="O17" s="185" t="n">
        <v>2</v>
      </c>
      <c r="P17" s="185" t="n">
        <v>4</v>
      </c>
      <c r="Q17" s="185" t="n">
        <v>5</v>
      </c>
      <c r="R17" s="185" t="n">
        <v>4</v>
      </c>
      <c r="S17" s="162">
        <f>ROUND(SUMPRODUCT($K$3:$R$3,K17:R17),1)</f>
        <v/>
      </c>
      <c r="T17" s="162">
        <f>ROUND(SUMPRODUCT($K$4:$R$4,K17:R17),1)</f>
        <v/>
      </c>
      <c r="U17" s="188" t="inlineStr">
        <is>
          <t>3</t>
        </is>
      </c>
      <c r="V17" s="154" t="inlineStr">
        <is>
          <t>A future 'western mini-Nahunta' — park until a western crew or B-T supervision loop is justified; then visit Caldwell first.</t>
        </is>
      </c>
      <c r="W17" s="200" t="inlineStr">
        <is>
          <t>—</t>
        </is>
      </c>
    </row>
    <row r="18" ht="45.2" customHeight="1" s="59">
      <c r="A18" s="153" t="inlineStr">
        <is>
          <t>Key Packing Co.
Robbins, NC</t>
        </is>
      </c>
      <c r="B18" s="154" t="inlineStr">
        <is>
          <t>STATE ✓ P-48 (NC)</t>
        </is>
      </c>
      <c r="C18" s="185" t="inlineStr">
        <is>
          <t>NC-Central</t>
        </is>
      </c>
      <c r="D18" s="185" t="inlineStr">
        <is>
          <t>70 (Durham)
116 (Pikeville)</t>
        </is>
      </c>
      <c r="E18" s="154" t="inlineStr">
        <is>
          <t>Multi-species incl. hogs
(A,B,C,D,E)</t>
        </is>
      </c>
      <c r="F18" s="154" t="inlineStr">
        <is>
          <t>unknown (small)</t>
        </is>
      </c>
      <c r="G18" s="154" t="inlineStr">
        <is>
          <t>FULL (NC state = APHIS-equivalent)</t>
        </is>
      </c>
      <c r="H18" s="154" t="inlineStr">
        <is>
          <t>Multi-species state plant at the Sandhills edge; format plausible, untested.</t>
        </is>
      </c>
      <c r="I18" s="154" t="inlineStr">
        <is>
          <t>Custom trade; unverified.</t>
        </is>
      </c>
      <c r="J18" s="154" t="inlineStr">
        <is>
          <t>None found (state).</t>
        </is>
      </c>
      <c r="K18" s="185" t="n">
        <v>4</v>
      </c>
      <c r="L18" s="185" t="n">
        <v>3</v>
      </c>
      <c r="M18" s="185" t="n">
        <v>3</v>
      </c>
      <c r="N18" s="185" t="n">
        <v>3</v>
      </c>
      <c r="O18" s="185" t="n">
        <v>2</v>
      </c>
      <c r="P18" s="185" t="n">
        <v>4</v>
      </c>
      <c r="Q18" s="185" t="n">
        <v>5</v>
      </c>
      <c r="R18" s="185" t="n">
        <v>3</v>
      </c>
      <c r="S18" s="162">
        <f>ROUND(SUMPRODUCT($K$3:$R$3,K18:R18),1)</f>
        <v/>
      </c>
      <c r="T18" s="162">
        <f>ROUND(SUMPRODUCT($K$4:$R$4,K18:R18),1)</f>
        <v/>
      </c>
      <c r="U18" s="188" t="inlineStr">
        <is>
          <t>3</t>
        </is>
      </c>
      <c r="V18" s="154" t="inlineStr">
        <is>
          <t>Borderline-radius backup on the same state-inspection path; behind the I-95 pair on every axis. (910) 464-3507.</t>
        </is>
      </c>
      <c r="W18" s="200" t="n">
        <v>6</v>
      </c>
    </row>
    <row r="19" ht="112.2" customHeight="1" s="59">
      <c r="A19" s="153" t="inlineStr">
        <is>
          <t>Hemingway Locker Plant
Hemingway, SC</t>
        </is>
      </c>
      <c r="B19" s="154" t="inlineStr">
        <is>
          <t>USDA ✓ M34181</t>
        </is>
      </c>
      <c r="C19" s="185" t="inlineStr">
        <is>
          <t>SC</t>
        </is>
      </c>
      <c r="D19" s="185" t="inlineStr">
        <is>
          <t>201 (Durham)
180 (Pikeville)</t>
        </is>
      </c>
      <c r="E19" s="154" t="inlineStr">
        <is>
          <t>MARKET hogs</t>
        </is>
      </c>
      <c r="F19" s="154" t="inlineStr">
        <is>
          <t>19-192/wk (FSIS cat 2)</t>
        </is>
      </c>
      <c r="G19" s="154" t="inlineStr">
        <is>
          <t>FULL (federal)</t>
        </is>
      </c>
      <c r="H19" s="154" t="inlineStr">
        <is>
          <t>Small-town locker plant, 180 road mi — outside weekly Model A range.</t>
        </is>
      </c>
      <c r="I19" s="154" t="inlineStr">
        <is>
          <t>Market-hog cat-2 federal floor missed by every earlier pass (surfaced in the fresh 2026-09-03 FSIS pull). Locker-plant format implies custom cut-to-spec culture; unverified.</t>
        </is>
      </c>
      <c r="J19" s="154" t="inlineStr">
        <is>
          <t>One humane-handling action: NOS 7/2/2024 (first stun ineffective), held in abeyance 7/3/2024 after same-day corrective action — stunner replaced and retrained (FSIS letter, retrieved 2026-09-03). Nothing since.</t>
        </is>
      </c>
      <c r="K19" s="185" t="n">
        <v>1</v>
      </c>
      <c r="L19" s="185" t="n">
        <v>2</v>
      </c>
      <c r="M19" s="185" t="n">
        <v>3</v>
      </c>
      <c r="N19" s="185" t="n">
        <v>5</v>
      </c>
      <c r="O19" s="185" t="n">
        <v>3</v>
      </c>
      <c r="P19" s="185" t="n">
        <v>3</v>
      </c>
      <c r="Q19" s="185" t="n">
        <v>5</v>
      </c>
      <c r="R19" s="185" t="n">
        <v>3</v>
      </c>
      <c r="S19" s="162">
        <f>ROUND(SUMPRODUCT($K$3:$R$3,K19:R19),1)</f>
        <v/>
      </c>
      <c r="T19" s="162">
        <f>ROUND(SUMPRODUCT($K$4:$R$4,K19:R19),1)</f>
        <v/>
      </c>
      <c r="U19" s="188" t="inlineStr">
        <is>
          <t>3</t>
        </is>
      </c>
      <c r="V19" s="154" t="inlineStr">
        <is>
          <t>NEW FIND 2026-09-03. A market-hog cat-2 federal plant 30 min from Williamsburg Packing — pair the two on one SC exploration trip if Williamsburg's call goes well. Owner Bobby McDaniel Jr. (843) 558-2751.</t>
        </is>
      </c>
      <c r="W19" s="200" t="inlineStr">
        <is>
          <t>—</t>
        </is>
      </c>
    </row>
    <row r="20" ht="45.2" customHeight="1" s="59">
      <c r="A20" s="153" t="inlineStr">
        <is>
          <t>SCR International
Fairmont, NC</t>
        </is>
      </c>
      <c r="B20" s="154" t="inlineStr">
        <is>
          <t>USDA ✓ M9199 (T-A)</t>
        </is>
      </c>
      <c r="C20" s="185" t="inlineStr">
        <is>
          <t>NC-East</t>
        </is>
      </c>
      <c r="D20" s="185" t="inlineStr">
        <is>
          <t>131 (Durham)
114 (Pikeville)</t>
        </is>
      </c>
      <c r="E20" s="154" t="inlineStr">
        <is>
          <t>Roasters 10-110 lb
(lechon/ethnic trade)</t>
        </is>
      </c>
      <c r="F20" s="154" t="inlineStr">
        <is>
          <t>19-192/wk (FSIS cat 2)</t>
        </is>
      </c>
      <c r="G20" s="154" t="inlineStr">
        <is>
          <t>FULL (federal)</t>
        </is>
      </c>
      <c r="H20" s="154" t="inlineStr">
        <is>
          <t>Very small; ~90 min SW; duplicates Parks' roaster niche.</t>
        </is>
      </c>
      <c r="I20" s="154" t="inlineStr">
        <is>
          <t>Whole-pig roaster house — dresses whole; small-pig anatomy wrong for our blocks.</t>
        </is>
      </c>
      <c r="J20" s="154" t="inlineStr">
        <is>
          <t>None found.</t>
        </is>
      </c>
      <c r="K20" s="185" t="n">
        <v>2</v>
      </c>
      <c r="L20" s="185" t="n">
        <v>2</v>
      </c>
      <c r="M20" s="185" t="n">
        <v>2</v>
      </c>
      <c r="N20" s="185" t="n">
        <v>2</v>
      </c>
      <c r="O20" s="185" t="n">
        <v>3</v>
      </c>
      <c r="P20" s="185" t="n">
        <v>4</v>
      </c>
      <c r="Q20" s="185" t="n">
        <v>5</v>
      </c>
      <c r="R20" s="185" t="n">
        <v>2</v>
      </c>
      <c r="S20" s="162">
        <f>ROUND(SUMPRODUCT($K$3:$R$3,K20:R20),1)</f>
        <v/>
      </c>
      <c r="T20" s="162">
        <f>ROUND(SUMPRODUCT($K$4:$R$4,K20:R20),1)</f>
        <v/>
      </c>
      <c r="U20" s="189" t="inlineStr">
        <is>
          <t>X</t>
        </is>
      </c>
      <c r="V20" s="154" t="inlineStr">
        <is>
          <t>Identified 2026-08-17: a second Parks with no upside and a dead website. Logged so nobody spends a trip on it.</t>
        </is>
      </c>
      <c r="W20" s="201" t="inlineStr">
        <is>
          <t>—</t>
        </is>
      </c>
    </row>
    <row r="21" ht="45.2" customHeight="1" s="59">
      <c r="A21" s="153" t="inlineStr">
        <is>
          <t>Quaqua Creek Farm
Ruffin, NC (Rockingham)</t>
        </is>
      </c>
      <c r="B21" s="154" t="inlineStr">
        <is>
          <t>NC STATE P-375 (NCDA directory 2026-09-18)</t>
        </is>
      </c>
      <c r="C21" s="185" t="inlineStr">
        <is>
          <t>NC-North</t>
        </is>
      </c>
      <c r="D21" s="185" t="inlineStr">
        <is>
          <t>67 (Durham)
n/m (Pikeville)</t>
        </is>
      </c>
      <c r="E21" s="154" t="inlineStr">
        <is>
          <t>Species A-E incl. swine (state code C); hog share unknown</t>
        </is>
      </c>
      <c r="F21" s="154" t="inlineStr">
        <is>
          <t>unknown — state plants publish no band</t>
        </is>
      </c>
      <c r="G21" s="154" t="inlineStr">
        <is>
          <t>NC state = APHIS-accepted for our harvest path</t>
        </is>
      </c>
      <c r="H21" s="154" t="inlineStr">
        <is>
          <t>Small state floor ~1 h from Durham; hosting unknown</t>
        </is>
      </c>
      <c r="I21" s="154" t="inlineStr">
        <is>
          <t>Unknown crew; family plant</t>
        </is>
      </c>
      <c r="J21" s="154" t="inlineStr">
        <is>
          <t>No federal record (state plant — site-visit finding)</t>
        </is>
      </c>
      <c r="K21" s="185" t="n">
        <v>4</v>
      </c>
      <c r="L21" s="185" t="n">
        <v>3</v>
      </c>
      <c r="M21" s="185" t="n">
        <v>3</v>
      </c>
      <c r="N21" s="185" t="n">
        <v>3</v>
      </c>
      <c r="O21" s="185" t="n">
        <v>1</v>
      </c>
      <c r="P21" s="185" t="n">
        <v>4</v>
      </c>
      <c r="Q21" s="185" t="n">
        <v>5</v>
      </c>
      <c r="R21" s="185" t="n">
        <v>3</v>
      </c>
      <c r="S21" s="162">
        <f>ROUND(SUMPRODUCT($K$3:$R$3,K21:R21),1)</f>
        <v/>
      </c>
      <c r="T21" s="162">
        <f>ROUND(SUMPRODUCT($K$4:$R$4,K21:R21),1)</f>
        <v/>
      </c>
      <c r="U21" s="188" t="inlineStr">
        <is>
          <t>3</t>
        </is>
      </c>
      <c r="V21" s="154" t="n"/>
      <c r="W21" s="200" t="n">
        <v>7</v>
      </c>
    </row>
    <row r="22" ht="45.2" customHeight="1" s="59">
      <c r="A22" s="153" t="inlineStr">
        <is>
          <t>Cool Springs Farm and Meat
Yadkinville, NC (Yadkin)</t>
        </is>
      </c>
      <c r="B22" s="154" t="inlineStr">
        <is>
          <t>USDA M1041 (grant 10/28/2024; NCDA TA-1041)</t>
        </is>
      </c>
      <c r="C22" s="185" t="inlineStr">
        <is>
          <t>NC-West</t>
        </is>
      </c>
      <c r="D22" s="185" t="inlineStr">
        <is>
          <t>107 (Durham)
n/m (Pikeville)</t>
        </is>
      </c>
      <c r="E22" s="154" t="inlineStr">
        <is>
          <t>MARKET swine flag (FSIS) + cattle/sheep</t>
        </is>
      </c>
      <c r="F22" s="154" t="inlineStr">
        <is>
          <t>&lt;19/wk (cat 1) — pilot scale</t>
        </is>
      </c>
      <c r="G22" s="154" t="inlineStr">
        <is>
          <t>Federal</t>
        </is>
      </c>
      <c r="H22" s="154" t="inlineStr">
        <is>
          <t>New small floor; also runs custom work — ask which hogs are inspected</t>
        </is>
      </c>
      <c r="I22" s="154" t="inlineStr">
        <is>
          <t>New operator; unknown</t>
        </is>
      </c>
      <c r="J22" s="154" t="inlineStr">
        <is>
          <t>None found (grant &lt;2 yrs)</t>
        </is>
      </c>
      <c r="K22" s="185" t="n">
        <v>4</v>
      </c>
      <c r="L22" s="185" t="n">
        <v>3</v>
      </c>
      <c r="M22" s="185" t="n">
        <v>2</v>
      </c>
      <c r="N22" s="185" t="n">
        <v>4</v>
      </c>
      <c r="O22" s="185" t="n">
        <v>1</v>
      </c>
      <c r="P22" s="185" t="n">
        <v>4</v>
      </c>
      <c r="Q22" s="185" t="n">
        <v>5</v>
      </c>
      <c r="R22" s="185" t="n">
        <v>3</v>
      </c>
      <c r="S22" s="162">
        <f>ROUND(SUMPRODUCT($K$3:$R$3,K22:R22),1)</f>
        <v/>
      </c>
      <c r="T22" s="162">
        <f>ROUND(SUMPRODUCT($K$4:$R$4,K22:R22),1)</f>
        <v/>
      </c>
      <c r="U22" s="188" t="inlineStr">
        <is>
          <t>3</t>
        </is>
      </c>
      <c r="V22" s="154" t="n"/>
      <c r="W22" s="200" t="n">
        <v>8</v>
      </c>
    </row>
    <row r="23" ht="58.6" customHeight="1" s="59">
      <c r="A23" s="153" t="inlineStr">
        <is>
          <t>Mitchell's Butchery (M.L. Mitchell &amp; Son)
Walnut Cove, NC (Stokes)</t>
        </is>
      </c>
      <c r="B23" s="154" t="inlineStr">
        <is>
          <t>USDA M46822 / NCDA TA-46822</t>
        </is>
      </c>
      <c r="C23" s="185" t="inlineStr">
        <is>
          <t>NC-West</t>
        </is>
      </c>
      <c r="D23" s="185" t="inlineStr">
        <is>
          <t>85 (Durham)
160 (Pikeville)</t>
        </is>
      </c>
      <c r="E23" s="154" t="inlineStr">
        <is>
          <t>MARKET + SOW + boar/stag (FSIS)</t>
        </is>
      </c>
      <c r="F23" s="154" t="inlineStr">
        <is>
          <t>&lt;19/wk (cat 1)</t>
        </is>
      </c>
      <c r="G23" s="154" t="inlineStr">
        <is>
          <t>Federal</t>
        </is>
      </c>
      <c r="H23" s="154" t="inlineStr">
        <is>
          <t>Small floor; family business with a live site + Instagram text line</t>
        </is>
      </c>
      <c r="I23" s="154" t="inlineStr">
        <is>
          <t>Unknown; sister plant (Chop Shop, King) closed 7/2026</t>
        </is>
      </c>
      <c r="J23" s="154" t="inlineStr">
        <is>
          <t>FAILED-STUN / conscious-cut record on the roster — WELF 1; a discussion item, not an auto-exclusion</t>
        </is>
      </c>
      <c r="K23" s="185" t="n">
        <v>4</v>
      </c>
      <c r="L23" s="185" t="n">
        <v>3</v>
      </c>
      <c r="M23" s="185" t="n">
        <v>3</v>
      </c>
      <c r="N23" s="185" t="n">
        <v>4</v>
      </c>
      <c r="O23" s="185" t="n">
        <v>1</v>
      </c>
      <c r="P23" s="185" t="n">
        <v>1</v>
      </c>
      <c r="Q23" s="185" t="n">
        <v>5</v>
      </c>
      <c r="R23" s="185" t="n">
        <v>3</v>
      </c>
      <c r="S23" s="162">
        <f>ROUND(SUMPRODUCT($K$3:$R$3,K23:R23),1)</f>
        <v/>
      </c>
      <c r="T23" s="162">
        <f>ROUND(SUMPRODUCT($K$4:$R$4,K23:R23),1)</f>
        <v/>
      </c>
      <c r="U23" s="188" t="inlineStr">
        <is>
          <t>3</t>
        </is>
      </c>
      <c r="V23" s="154" t="n"/>
      <c r="W23" s="200" t="n">
        <v>9</v>
      </c>
    </row>
    <row r="24" ht="112.2" customHeight="1" s="59">
      <c r="A24" s="153" t="inlineStr">
        <is>
          <t>EcoFriendly Foods, LLC
Moneta, VA (Bedford)</t>
        </is>
      </c>
      <c r="B24" s="154" t="inlineStr">
        <is>
          <t>USDA M21938 + P21938 (federal — a VA state grant would not qualify)</t>
        </is>
      </c>
      <c r="C24" s="185" t="inlineStr">
        <is>
          <t>VA-South</t>
        </is>
      </c>
      <c r="D24" s="185" t="inlineStr">
        <is>
          <t>112 ≈ (Durham)
198 (Pikeville)</t>
        </is>
      </c>
      <c r="E24" s="154" t="inlineStr">
        <is>
          <t>MARKET + SOW + ROASTER + boar/stag (all four FSIS classes)</t>
        </is>
      </c>
      <c r="F24" s="154" t="inlineStr">
        <is>
          <t>cat 3 (192-1,917/wk, all species) — the only non-incumbent cat-3 now inside the radius</t>
        </is>
      </c>
      <c r="G24" s="154" t="inlineStr">
        <is>
          <t>Federal</t>
        </is>
      </c>
      <c r="H24" s="154" t="inlineStr">
        <is>
          <t>Unknown hosting; a working multi-class floor ~2 h from Durham</t>
        </is>
      </c>
      <c r="I24" s="154" t="inlineStr">
        <is>
          <t>Unknown crew</t>
        </is>
      </c>
      <c r="J24" s="154" t="inlineStr">
        <is>
          <t>CERTIFIED HUMANE — strongest welfare match in the study; the 'ceased ~2020' report is contradicted by the active grant and a live site (9-03): confirm operating on the call</t>
        </is>
      </c>
      <c r="K24" s="185" t="n">
        <v>4</v>
      </c>
      <c r="L24" s="185" t="n">
        <v>3</v>
      </c>
      <c r="M24" s="185" t="n">
        <v>3</v>
      </c>
      <c r="N24" s="185" t="n">
        <v>4</v>
      </c>
      <c r="O24" s="185" t="n">
        <v>5</v>
      </c>
      <c r="P24" s="185" t="n">
        <v>5</v>
      </c>
      <c r="Q24" s="185" t="n">
        <v>5</v>
      </c>
      <c r="R24" s="185" t="n">
        <v>3</v>
      </c>
      <c r="S24" s="162">
        <f>ROUND(SUMPRODUCT($K$3:$R$3,K24:R24),1)</f>
        <v/>
      </c>
      <c r="T24" s="162">
        <f>ROUND(SUMPRODUCT($K$4:$R$4,K24:R24),1)</f>
        <v/>
      </c>
      <c r="U24" s="187" t="inlineStr">
        <is>
          <t>2</t>
        </is>
      </c>
      <c r="V24" s="154" t="inlineStr">
        <is>
          <t>9-28 NEW ON THE SHORTLIST: the Durham origin brings it to ~112 road miles (city-level estimate — it was 198 from Pikeville). Cat 3 with all four hog classes and Certified Humane branding; Tier 2 with one gate — is it operating today, and is the real departure point Durham? Model B-T fits best at this distance.</t>
        </is>
      </c>
      <c r="W24" s="200" t="inlineStr">
        <is>
          <t>—</t>
        </is>
      </c>
    </row>
  </sheetData>
  <autoFilter ref="A5:V20"/>
  <mergeCells count="2">
    <mergeCell ref="A2:W2"/>
    <mergeCell ref="A1:W1"/>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548235"/>
    <outlinePr summaryBelow="1" summaryRight="1"/>
    <pageSetUpPr fitToPage="1"/>
  </sheetPr>
  <dimension ref="A1:C19"/>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CALL QUESTIONNAIRE — STAGE 1: THE CALL  (three questions; keep it simple)</t>
        </is>
      </c>
      <c r="B1" s="171" t="n"/>
      <c r="C1" s="172" t="n"/>
    </row>
    <row r="2" ht="45.2" customHeight="1" s="59">
      <c r="A2" s="197" t="inlineStr">
        <is>
          <t>Caller: the PURCHASING MANAGER — process step 3, only after both roles have picked 3 and the picks were discussed and agreed. The call does NOT discuss our business model: no Model A / B-T, no hosting talk, no pricing — all of that waits for the visit (VISIT AGENDA tab). Section A decides it; section B only if the conversation flows. Answers go in the yellow cells; the outcome (section C) is what comes back to the go / no-go review — step 4.</t>
        </is>
      </c>
      <c r="B2" s="171" t="n"/>
      <c r="C2" s="172" t="n"/>
    </row>
    <row r="3" ht="19.7" customHeight="1" s="59">
      <c r="A3" s="176" t="inlineStr">
        <is>
          <t>HEADER — fill before dialing</t>
        </is>
      </c>
      <c r="B3" s="171" t="n"/>
      <c r="C3" s="172" t="n"/>
    </row>
    <row r="4" ht="18.4" customHeight="1" s="59">
      <c r="A4" s="193" t="n">
        <v>1</v>
      </c>
      <c r="B4" s="154" t="inlineStr">
        <is>
          <t>Plant / establishment no. / caller / date</t>
        </is>
      </c>
      <c r="C4" s="191" t="n"/>
    </row>
    <row r="5" ht="18.4" customHeight="1" s="59">
      <c r="A5" s="193" t="n">
        <v>2</v>
      </c>
      <c r="B5" s="154" t="inlineStr">
        <is>
          <t>Phone + who answered (name, role)</t>
        </is>
      </c>
      <c r="C5" s="191" t="n"/>
    </row>
    <row r="6" ht="19.7" customHeight="1" s="59">
      <c r="A6" s="176" t="inlineStr">
        <is>
          <t>A · THE THREE QUESTIONS  (these decide it)</t>
        </is>
      </c>
      <c r="B6" s="171" t="n"/>
      <c r="C6" s="172" t="n"/>
    </row>
    <row r="7" ht="31.8" customHeight="1" s="59">
      <c r="A7" s="193" t="n">
        <v>1</v>
      </c>
      <c r="B7" s="154" t="inlineStr">
        <is>
          <t>Are you a slaughterhouse — do you slaughter HOGS on site? (which classes — market weight, sows, roasters? anything in the 140-220 lb live range?)</t>
        </is>
      </c>
      <c r="C7" s="191" t="n"/>
    </row>
    <row r="8" ht="18.4" customHeight="1" s="59">
      <c r="A8" s="193" t="n">
        <v>2</v>
      </c>
      <c r="B8" s="154" t="inlineStr">
        <is>
          <t>How many pigs do you kill in a WEEK? (which days; steady or seasonal?)</t>
        </is>
      </c>
      <c r="C8" s="191" t="n"/>
    </row>
    <row r="9" ht="31.8" customHeight="1" s="59">
      <c r="A9" s="193" t="n">
        <v>3</v>
      </c>
      <c r="B9" s="154" t="inlineStr">
        <is>
          <t>Could you sell us the ORGANS — could we get them? (what happens to the viscera today — rendered, returned to the customer, sold? On service kills, WHO OWNS them — you or the farmer?)</t>
        </is>
      </c>
      <c r="C9" s="191" t="n"/>
    </row>
    <row r="10" ht="19.7" customHeight="1" s="59">
      <c r="A10" s="176" t="inlineStr">
        <is>
          <t>B · ONLY IF THE CONVERSATION FLOWS  (basics — still nothing about our model)</t>
        </is>
      </c>
      <c r="B10" s="171" t="n"/>
      <c r="C10" s="172" t="n"/>
    </row>
    <row r="11" ht="31.8" customHeight="1" s="59">
      <c r="A11" s="193" t="n">
        <v>1</v>
      </c>
      <c r="B11" s="154" t="inlineStr">
        <is>
          <t>USDA federal grant or NC STATE grant? Establishment number? (Outside NC: state programme = domestic-only for us.)</t>
        </is>
      </c>
      <c r="C11" s="191" t="n"/>
    </row>
    <row r="12" ht="18.4" customHeight="1" s="59">
      <c r="A12" s="193" t="n">
        <v>2</v>
      </c>
      <c r="B12" s="154" t="inlineStr">
        <is>
          <t>Could pelvic / abdominal / thoracic blocks and organs come off INTACT at evisceration?</t>
        </is>
      </c>
      <c r="C12" s="191" t="n"/>
    </row>
    <row r="13" ht="18.4" customHeight="1" s="59">
      <c r="A13" s="193" t="n">
        <v>3</v>
      </c>
      <c r="B13" s="154" t="inlineStr">
        <is>
          <t>Typical time-to-chill after the kill, and cooler / hanging space? (our freshness window)</t>
        </is>
      </c>
      <c r="C13" s="191" t="n"/>
    </row>
    <row r="14" ht="18.4" customHeight="1" s="59">
      <c r="A14" s="193" t="n">
        <v>4</v>
      </c>
      <c r="B14" s="154" t="inlineStr">
        <is>
          <t>What stunning method do you use — single stun, or a second cardiac stun?</t>
        </is>
      </c>
      <c r="C14" s="191" t="n"/>
    </row>
    <row r="15" ht="18.4" customHeight="1" s="59">
      <c r="A15" s="193" t="n">
        <v>5</v>
      </c>
      <c r="B15" s="154" t="inlineStr">
        <is>
          <t>Does anyone else already collect tissue or organs on your floor? Who?</t>
        </is>
      </c>
      <c r="C15" s="191" t="n"/>
    </row>
    <row r="16" ht="18.4" customHeight="1" s="59">
      <c r="A16" s="193" t="n">
        <v>6</v>
      </c>
      <c r="B16" s="154" t="inlineStr">
        <is>
          <t>Any recent humane-handling actions, NRs or recalls we should hear from you first?</t>
        </is>
      </c>
      <c r="C16" s="191" t="n"/>
    </row>
    <row r="17" ht="19.7" customHeight="1" s="59">
      <c r="A17" s="176" t="inlineStr">
        <is>
          <t>C · CALL OUTCOME  (this is the deliverable of the call)</t>
        </is>
      </c>
      <c r="B17" s="171" t="n"/>
      <c r="C17" s="172" t="n"/>
    </row>
    <row r="18" ht="31.8" customHeight="1" s="59">
      <c r="A18" s="193" t="n">
        <v>1</v>
      </c>
      <c r="B18" s="154" t="inlineStr">
        <is>
          <t>VISIT — YES / NO, and one line why. (Goes back to the joint review; the go / no-go is decided together — step 4.)</t>
        </is>
      </c>
      <c r="C18" s="191" t="n"/>
    </row>
    <row r="19" ht="31.8" customHeight="1" s="59">
      <c r="A19" s="197" t="inlineStr">
        <is>
          <t>If YES → send the NDA, schedule the visit, and run the VISIT AGENDA tab on site. If NO → record the reason on the supplier's roster row (Fit + Notes columns) so nobody re-calls.</t>
        </is>
      </c>
      <c r="B19" s="171" t="n"/>
      <c r="C19" s="172" t="n"/>
    </row>
  </sheetData>
  <mergeCells count="7">
    <mergeCell ref="A10:C10"/>
    <mergeCell ref="A19:C19"/>
    <mergeCell ref="A1:C1"/>
    <mergeCell ref="A6:C6"/>
    <mergeCell ref="A17:C17"/>
    <mergeCell ref="A3:C3"/>
    <mergeCell ref="A2:C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55A11"/>
    <outlinePr summaryBelow="1" summaryRight="1"/>
    <pageSetUpPr fitToPage="1"/>
  </sheetPr>
  <dimension ref="A1:C30"/>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VISIT AGENDA — STAGE 2: THE VISIT  (the business model is discussed here, never on the phone)</t>
        </is>
      </c>
      <c r="B1" s="171" t="n"/>
      <c r="C1" s="172" t="n"/>
    </row>
    <row r="2" ht="45.2" customHeight="1" s="59">
      <c r="A2" s="197" t="inlineStr">
        <is>
          <t>Attendees: the SUPPLIER ENGINEER + the PURCHASING MANAGER. Prerequisites: the call passed, the joint review said GO, and the NDA IS SIGNED — the harvesting protocol and tissue spec are not shared without it (process step 5). Walk the floor first (section B), then talk through the rest. Answers and observations go in the yellow cells. If qualified → initiate onboarding (section F).</t>
        </is>
      </c>
      <c r="B2" s="171" t="n"/>
      <c r="C2" s="172" t="n"/>
    </row>
    <row r="3" ht="19.7" customHeight="1" s="59">
      <c r="A3" s="176" t="inlineStr">
        <is>
          <t>HEADER</t>
        </is>
      </c>
      <c r="B3" s="171" t="n"/>
      <c r="C3" s="172" t="n"/>
    </row>
    <row r="4" ht="18.4" customHeight="1" s="59">
      <c r="A4" s="193" t="n">
        <v>1</v>
      </c>
      <c r="B4" s="154" t="inlineStr">
        <is>
          <t>Plant / date of visit / who we met (names, roles)</t>
        </is>
      </c>
      <c r="C4" s="191" t="n"/>
    </row>
    <row r="5" ht="19.7" customHeight="1" s="59">
      <c r="A5" s="176" t="inlineStr">
        <is>
          <t>A · THE MODEL — buy from them, or get it ourselves  (the decisive conversation)</t>
        </is>
      </c>
      <c r="B5" s="171" t="n"/>
      <c r="C5" s="172" t="n"/>
    </row>
    <row r="6" ht="31.8" customHeight="1" s="59">
      <c r="A6" s="193" t="n">
        <v>1</v>
      </c>
      <c r="B6" s="154" t="inlineStr">
        <is>
          <t>BUY FROM THEM — MODEL B-T: would YOUR crew harvest to our written spec if we train them and supervise periodically — the way one of our current partners works today? Per-piece fee?</t>
        </is>
      </c>
      <c r="C6" s="191" t="n"/>
    </row>
    <row r="7" ht="31.8" customHeight="1" s="59">
      <c r="A7" s="193" t="n">
        <v>2</v>
      </c>
      <c r="B7" s="154" t="inlineStr">
        <is>
          <t>GET IT OURSELVES — MODEL A: would you HOST our trained harvest techs on your floor on kill days — bench space, cooler access, scheduled around your line? Rent by visit or by piece?</t>
        </is>
      </c>
      <c r="C7" s="191" t="n"/>
    </row>
    <row r="8" ht="18.4" customHeight="1" s="59">
      <c r="A8" s="193" t="n">
        <v>3</v>
      </c>
      <c r="B8" s="154" t="inlineStr">
        <is>
          <t>Either way: space, PPE, biosecurity and scheduling constraints we should plan around?</t>
        </is>
      </c>
      <c r="C8" s="191" t="n"/>
    </row>
    <row r="9" ht="31.8" customHeight="1" s="59">
      <c r="A9" s="193" t="n">
        <v>4</v>
      </c>
      <c r="B9" s="154" t="inlineStr">
        <is>
          <t>ORGAN OWNERSHIP on service kills — customers' animals vs plant-owned hogs: who must consent, and can plant-owned or reserved hogs in our weight range be run for us?</t>
        </is>
      </c>
      <c r="C9" s="191" t="n"/>
    </row>
    <row r="10" ht="19.7" customHeight="1" s="59">
      <c r="A10" s="176" t="inlineStr">
        <is>
          <t>B · THE FLOOR — walk it at working speed</t>
        </is>
      </c>
      <c r="B10" s="171" t="n"/>
      <c r="C10" s="172" t="n"/>
    </row>
    <row r="11" ht="31.8" customHeight="1" s="59">
      <c r="A11" s="193" t="n">
        <v>1</v>
      </c>
      <c r="B11" s="154" t="inlineStr">
        <is>
          <t>The EVISCERATOR — line layout at evisceration: where viscera come off, whether pelvic / abdominal / thoracic blocks and organs could come off INTACT, and where our bench / totes would sit</t>
        </is>
      </c>
      <c r="C11" s="191" t="n"/>
    </row>
    <row r="12" ht="18.4" customHeight="1" s="59">
      <c r="A12" s="193" t="n">
        <v>2</v>
      </c>
      <c r="B12" s="154" t="inlineStr">
        <is>
          <t>SPACE for this operation — bench, cooler access, drainage, power — and room for our FREEZERS</t>
        </is>
      </c>
      <c r="C12" s="191" t="n"/>
    </row>
    <row r="13" ht="31.8" customHeight="1" s="59">
      <c r="A13" s="193" t="n">
        <v>3</v>
      </c>
      <c r="B13" s="154" t="inlineStr">
        <is>
          <t>Stunning method and placement OBSERVED — and could our designated hogs skip a second / cardiac stun? (protects thoracic organs and aortas)</t>
        </is>
      </c>
      <c r="C13" s="191" t="n"/>
    </row>
    <row r="14" ht="18.4" customHeight="1" s="59">
      <c r="A14" s="193" t="n">
        <v>4</v>
      </c>
      <c r="B14" s="154" t="inlineStr">
        <is>
          <t>Chill-room capacity + actual time-to-chill MEASURED, not quoted (our freshness window)</t>
        </is>
      </c>
      <c r="C14" s="191" t="n"/>
    </row>
    <row r="15" ht="18.4" customHeight="1" s="59">
      <c r="A15" s="193" t="n">
        <v>5</v>
      </c>
      <c r="B15" s="154" t="inlineStr">
        <is>
          <t>Welfare culture observed live — a SITE-VISIT finding; records alone do not clear a plant</t>
        </is>
      </c>
      <c r="C15" s="191" t="n"/>
    </row>
    <row r="16" ht="19.7" customHeight="1" s="59">
      <c r="A16" s="176" t="inlineStr">
        <is>
          <t>C · TISSUE, SPEC, PEOPLE &amp; TRAINING</t>
        </is>
      </c>
      <c r="B16" s="171" t="n"/>
      <c r="C16" s="172" t="n"/>
    </row>
    <row r="17" ht="31.8" customHeight="1" s="59">
      <c r="A17" s="193" t="n">
        <v>1</v>
      </c>
      <c r="B17" s="154" t="inlineStr">
        <is>
          <t>Walk the tissue list and spec — which blocks and organs, condition on handover, and what we expect of the personnel handling them</t>
        </is>
      </c>
      <c r="C17" s="191" t="n"/>
    </row>
    <row r="18" ht="31.8" customHeight="1" s="59">
      <c r="A18" s="193" t="n">
        <v>2</v>
      </c>
      <c r="B18" s="154" t="inlineStr">
        <is>
          <t>Meet the crew who would harvest (their crew — Model B-T) or host ours (Model A); gauge tenure and receptiveness</t>
        </is>
      </c>
      <c r="C18" s="191" t="n"/>
    </row>
    <row r="19" ht="18.4" customHeight="1" s="59">
      <c r="A19" s="193" t="n">
        <v>3</v>
      </c>
      <c r="B19" s="154" t="inlineStr">
        <is>
          <t>TRAINING — who we train, how, and the periodic-supervision cadence</t>
        </is>
      </c>
      <c r="C19" s="191" t="n"/>
    </row>
    <row r="20" ht="19.7" customHeight="1" s="59">
      <c r="A20" s="176" t="inlineStr">
        <is>
          <t>D · CULTURE &amp; PEOPLE</t>
        </is>
      </c>
      <c r="B20" s="171" t="n"/>
      <c r="C20" s="172" t="n"/>
    </row>
    <row r="21" ht="18.4" customHeight="1" s="59">
      <c r="A21" s="193" t="n">
        <v>1</v>
      </c>
      <c r="B21" s="154" t="inlineStr">
        <is>
          <t>Who owns and runs the plant day to day? Who would our person coordinate with?</t>
        </is>
      </c>
      <c r="C21" s="191" t="n"/>
    </row>
    <row r="22" ht="18.4" customHeight="1" s="59">
      <c r="A22" s="193" t="n">
        <v>2</v>
      </c>
      <c r="B22" s="154" t="inlineStr">
        <is>
          <t>How long has your kill-floor crew been with you?</t>
        </is>
      </c>
      <c r="C22" s="191" t="n"/>
    </row>
    <row r="23" ht="18.4" customHeight="1" s="59">
      <c r="A23" s="193" t="n">
        <v>3</v>
      </c>
      <c r="B23" s="154" t="inlineStr">
        <is>
          <t>How do you handle humane handling — and how would you want a quality issue raised and resolved?</t>
        </is>
      </c>
      <c r="C23" s="191" t="n"/>
    </row>
    <row r="24" ht="19.7" customHeight="1" s="59">
      <c r="A24" s="176" t="inlineStr">
        <is>
          <t>E · COMMERCIAL — how do we pay you</t>
        </is>
      </c>
      <c r="B24" s="171" t="n"/>
      <c r="C24" s="172" t="n"/>
    </row>
    <row r="25" ht="18.4" customHeight="1" s="59">
      <c r="A25" s="193" t="n">
        <v>1</v>
      </c>
      <c r="B25" s="154" t="inlineStr">
        <is>
          <t>Per-visit access fee or per-piece harvest fee? Payment terms?</t>
        </is>
      </c>
      <c r="C25" s="191" t="n"/>
    </row>
    <row r="26" ht="18.4" customHeight="1" s="59">
      <c r="A26" s="193" t="n">
        <v>2</v>
      </c>
      <c r="B26" s="154" t="inlineStr">
        <is>
          <t>Minimums and lead time we should plan around?</t>
        </is>
      </c>
      <c r="C26" s="191" t="n"/>
    </row>
    <row r="27" ht="18.4" customHeight="1" s="59">
      <c r="A27" s="193" t="n">
        <v>3</v>
      </c>
      <c r="B27" s="154" t="inlineStr">
        <is>
          <t>Best contact for the written follow-up?</t>
        </is>
      </c>
      <c r="C27" s="191" t="n"/>
    </row>
    <row r="28" ht="19.7" customHeight="1" s="59">
      <c r="A28" s="176" t="inlineStr">
        <is>
          <t>F · CLOSE — qualified?</t>
        </is>
      </c>
      <c r="B28" s="171" t="n"/>
      <c r="C28" s="172" t="n"/>
    </row>
    <row r="29" ht="18.4" customHeight="1" s="59">
      <c r="A29" s="193" t="n">
        <v>1</v>
      </c>
      <c r="B29" s="154" t="inlineStr">
        <is>
          <t>Agree the pilot shape: day, head count, tissue list, price, who supervises</t>
        </is>
      </c>
      <c r="C29" s="191" t="n"/>
    </row>
    <row r="30" ht="31.8" customHeight="1" s="59">
      <c r="A30" s="193" t="n">
        <v>2</v>
      </c>
      <c r="B30" s="154" t="inlineStr">
        <is>
          <t>QUALIFIED? → initiate ONBOARDING: contract + freezers (cold-chain commitment). Not qualified → record why on the roster row and park.</t>
        </is>
      </c>
      <c r="C30" s="191" t="n"/>
    </row>
  </sheetData>
  <mergeCells count="9">
    <mergeCell ref="A10:C10"/>
    <mergeCell ref="A28:C28"/>
    <mergeCell ref="A5:C5"/>
    <mergeCell ref="A1:C1"/>
    <mergeCell ref="A16:C16"/>
    <mergeCell ref="A3:C3"/>
    <mergeCell ref="A20:C20"/>
    <mergeCell ref="A24:C24"/>
    <mergeCell ref="A2:C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fitToPage="1"/>
  </sheetPr>
  <dimension ref="A1:D35"/>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ANAT sub-scores on Rated Candidates to match.</t>
        </is>
      </c>
    </row>
    <row r="34" ht="15" customHeight="1" s="59"/>
    <row r="35" ht="31.8" customHeight="1" s="59">
      <c r="A35" s="202" t="inlineStr">
        <is>
          <t>2026-09-28 — The client's brief to ChatGPT (Beebop/README.md) states an approximate live weight of 140-220 lb. Sow-class animals (400+ lb) fall outside that; market / light hogs are the working assumption until this sheet is signed. If sow anatomy is in fact acceptable, say so and the ANAT sub-scores on Rated Candidates revert.</t>
        </is>
      </c>
    </row>
  </sheetData>
  <mergeCells count="12">
    <mergeCell ref="A1:D1"/>
    <mergeCell ref="B28:D28"/>
    <mergeCell ref="A6:D6"/>
    <mergeCell ref="B31:D31"/>
    <mergeCell ref="A35:D35"/>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10.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18.4"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18.4" customHeight="1" s="59">
      <c r="A22" s="74" t="inlineStr">
        <is>
          <t>Total cost per visit</t>
        </is>
      </c>
      <c r="C22" s="125">
        <f>C21+C11+C19*C6</f>
        <v/>
      </c>
      <c r="D22" s="73">
        <f>fixed+transport + harvester labor + inventory * blocks.</f>
        <v/>
      </c>
    </row>
    <row r="23" ht="18.4" customHeight="1" s="59">
      <c r="A23" s="78" t="inlineStr">
        <is>
          <t>★ TOTAL COST PER BLOCK</t>
        </is>
      </c>
      <c r="C23" s="126">
        <f>IF(C6&gt;0,C22/C6,0)</f>
        <v/>
      </c>
      <c r="D23" s="73">
        <f>total cost per visit / blocks. Your self-harvest unit cost.</f>
        <v/>
      </c>
    </row>
    <row r="24" ht="18.4" customHeight="1" s="59">
      <c r="A24" s="74" t="inlineStr">
        <is>
          <t>Memo: harvester labor per block</t>
        </is>
      </c>
      <c r="C24" s="125">
        <f>IF(C6&gt;0,C11/C6,0)</f>
        <v/>
      </c>
      <c r="D24" s="73">
        <f>(min/block / 60) * crew * rate.</f>
        <v/>
      </c>
    </row>
    <row r="25" ht="18.4"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8.4"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1.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2.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34.5" customHeight="1" s="59">
      <c r="A39" s="120" t="inlineStr">
        <is>
          <t>SUPPLIER CHECKLIST — require in writing (the export questions now live with the visit checklist on the Call Questionnaire tab)</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3.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14.xml><?xml version="1.0" encoding="utf-8"?>
<worksheet xmlns="http://schemas.openxmlformats.org/spreadsheetml/2006/main">
  <sheetPr>
    <tabColor rgb="00808080"/>
    <outlinePr summaryBelow="1" summaryRight="1"/>
    <pageSetUpPr fitToPage="1"/>
  </sheetPr>
  <dimension ref="A1:D46"/>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now lives on the Current Base and Rated Candidates tabs.</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85.40000000000001"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per 360 days, which converts to hard weekly ceilings: cat 1 = fewer than 1,000 → under ~19/wk · cat 2 = 1,000-9,999 → ~19-192/wk · cat 3 = 10,000-99,999 → ~192-1,917/wk · cat 4 = 100,000+ → ~1,917/wk and up. A category is a CEILING and a floor, not an estimate — a category-3 plant could be killing 200/wk or 1,900/wk. Use it to falsify a claimed figure, not to replace one. This is what overturned the volume claims for Larry's, Acre Station, Midwest Research Swine, Fayette Packing and Bass Farms.</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A FOIA request for recent noncompliance records (raised in the 2026-08 meeting) is what closes that gap. The separate Humane Handling Quarterly Reports are district-level roll-ups and cannot confirm or clear an individual plant at all.</t>
        </is>
      </c>
    </row>
    <row r="9" ht="58.6"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31.8"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'APHIS &amp; EU Export'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row r="35" ht="45.2" customHeight="1" s="59">
      <c r="A35" s="138" t="inlineStr">
        <is>
          <t>What this file is</t>
        </is>
      </c>
      <c r="B35" s="68" t="inlineStr">
        <is>
          <t>(Supplier Outreach Plan method rows, merged 2026-09-03)</t>
        </is>
      </c>
      <c r="C35" s="46" t="inlineStr">
        <is>
          <t>High</t>
        </is>
      </c>
      <c r="D35" s="68" t="inlineStr">
        <is>
          <t>The outreach-planning companion to Tissue_Supplier_Study.xlsx. That file holds the full research record (128-row roster, comparison tab, APHIS/EU rules, TCO calculator); this one holds the reconciled ledger, the A/B ratings and the working plan.</t>
        </is>
      </c>
    </row>
    <row r="36" ht="45.2" customHeight="1" s="59">
      <c r="A36" s="138" t="inlineStr">
        <is>
          <t>Reconciliation (2026-09-03)</t>
        </is>
      </c>
      <c r="B36" s="68" t="inlineStr">
        <is>
          <t>(Supplier Outreach Plan method rows, merged 2026-09-03)</t>
        </is>
      </c>
      <c r="C36" s="46" t="inlineStr">
        <is>
          <t>High</t>
        </is>
      </c>
      <c r="D36" s="68" t="inlineStr">
        <is>
          <t>Every supplier row across all passes was merged into the Master Ledger: 103 entries — 5 current, candidates, watch, out, closed, duplicates merged. Newest verified fact wins on conflict; client ground truth outranks research inference.</t>
        </is>
      </c>
    </row>
    <row r="37" ht="45.2" customHeight="1" s="59">
      <c r="A37" s="138" t="inlineStr">
        <is>
          <t>Ground-truth corrections (2026-09-03)</t>
        </is>
      </c>
      <c r="B37" s="68" t="inlineStr">
        <is>
          <t>(Supplier Outreach Plan method rows, merged 2026-09-03)</t>
        </is>
      </c>
      <c r="C37" s="46" t="inlineStr">
        <is>
          <t>High</t>
        </is>
      </c>
      <c r="D37" s="68" t="inlineStr">
        <is>
          <t>Two client corrections applied everywhere: (1) VILLARI's tissue gate is HARD — the 2026-08-17 'negotiable wedge' reading is superseded; leaf fat only, no organ planning through Villari. (2) PARKS harvests with THEIR OWN people under OUR training — the working Model B-T template.</t>
        </is>
      </c>
    </row>
    <row r="38" ht="58.6" customHeight="1" s="59">
      <c r="A38" s="138" t="inlineStr">
        <is>
          <t>Primary data</t>
        </is>
      </c>
      <c r="B38" s="68" t="inlineStr">
        <is>
          <t>(Supplier Outreach Plan method rows, merged 2026-09-03)</t>
        </is>
      </c>
      <c r="C38" s="46" t="inlineStr">
        <is>
          <t>High</t>
        </is>
      </c>
      <c r="D38" s="68" t="inlineStr">
        <is>
          <t>FSIS MPI Active + Inactive Directories and Establishment Demographic Data; NCDA&amp;CS State/TA/Custom directories (2026-08-10 edition verified 2026-08-17; re-pulled for the 2026-09-03 delta); FSIS QER tables and NOIE/NOS letters; county deeds; NC Commerce / NCAMPI announcements; SCDA-Clemson and VDACS for the corridor sweeps; plant sites, price sheets and local press.</t>
        </is>
      </c>
    </row>
    <row r="39" ht="58.6" customHeight="1" s="59">
      <c r="A39" s="138" t="inlineStr">
        <is>
          <t>Verification discipline</t>
        </is>
      </c>
      <c r="B39" s="68" t="inlineStr">
        <is>
          <t>(Supplier Outreach Plan method rows, merged 2026-09-03)</t>
        </is>
      </c>
      <c r="C39" s="46" t="inlineStr">
        <is>
          <t>High</t>
        </is>
      </c>
      <c r="D39" s="68" t="inlineStr">
        <is>
          <t>FSIS volume categories are ceilings (cat 1 &lt;19/wk · 2 19-192 · 3 192-1,917 · 4 ≥1,917, ALL species). 'None found' on enforcement is a narrow negative, never a clean bill — state-inspected plants sit outside FSIS reporting entirely, so their welfare is a SITE-VISIT finding. Distances are OSRM road miles from the Pikeville anchor.</t>
        </is>
      </c>
    </row>
    <row r="40" ht="152.4" customHeight="1" s="59">
      <c r="A40" s="138" t="inlineStr">
        <is>
          <t>Scan of 2026-09-03</t>
        </is>
      </c>
      <c r="B40" s="68" t="inlineStr">
        <is>
          <t>(Supplier Outreach Plan method rows, merged 2026-09-03)</t>
        </is>
      </c>
      <c r="C40" s="46" t="inlineStr">
        <is>
          <t>High</t>
        </is>
      </c>
      <c r="D40" s="68" t="inlineStr">
        <is>
          <t>Run directly against re-pulled primary data (FSIS MPI Active+Inactive + Demographic datasets; NCDA&amp;CS State/TA/Custom directories; FSIS Q3 FY2026 Quarterly Enforcement Report — newly published; the M34181 enforcement letter; candidate websites/price sheets). Findings: NC census unchanged (24 federal swine plants); BASS FARMS volume category rose 1→2 (expansion visible in USDA data); Q3 FY2026 QER has ZERO entries for any plant in the base or shortlist — the whole base is clean through 30 Jun 2026, closing the Villari Apr-Jun blind spot; Caudle Meat still holds no inspection grant (watch); Sessoms Packing appears in NO directory (state, TA, custom, or FSIS) — treat as not an inspected operation unless a call proves otherwise; SC corridor adds Hemingway Locker M34181 (market, cat 2, one resolved 2024 humane action) and confirms Williamsburg Packing M4005 at cat 3 with all four swine classes; southern VA is a confirmed cat-1 desert (nothing above ~19/wk south of EcoFriendly). Census claims verified directly against the datasets themselves.</t>
        </is>
      </c>
    </row>
    <row r="41" ht="31.8" customHeight="1" s="59">
      <c r="A41" s="138" t="inlineStr">
        <is>
          <t>Scoring provenance</t>
        </is>
      </c>
      <c r="B41" s="68" t="inlineStr">
        <is>
          <t>(Supplier Outreach Plan method rows, merged 2026-09-03)</t>
        </is>
      </c>
      <c r="C41" s="46" t="inlineStr">
        <is>
          <t>High</t>
        </is>
      </c>
      <c r="D41" s="68" t="inlineStr">
        <is>
          <t>Sub-scores are analyst judgments over the cited evidence, not measurements — each row's evidence columns say why. The weight rows are editable (yellow); scores recompute in Excel.</t>
        </is>
      </c>
    </row>
    <row r="42" ht="72" customHeight="1" s="59">
      <c r="A42" s="138" t="inlineStr">
        <is>
          <t>Retired tabs (2026-09-03 consolidation)</t>
        </is>
      </c>
      <c r="B42" s="68" t="inlineStr">
        <is>
          <t>This workbook + git history</t>
        </is>
      </c>
      <c r="C42" s="46" t="inlineStr">
        <is>
          <t>High</t>
        </is>
      </c>
      <c r="D42" s="68" t="inlineStr">
        <is>
          <t>Three tabs were retired when the study and the outreach plan were compiled into this one file: 'NC Comparison 2026-08-17' (superseded by Current Base + Rated Candidates), 'Call Question Sheet' (superseded by the Call Questionnaire tab), and 'Deep Study (Verified)' (a point-in-time record whose live facts are all in the roster; the narrative survives in Deep_Study_Synthesis.pdf and every prior version is in git).</t>
        </is>
      </c>
    </row>
    <row r="43" ht="112.2" customHeight="1" s="59">
      <c r="A43" s="138" t="inlineStr">
        <is>
          <t>Retired tabs (2026-09-04 revision)</t>
        </is>
      </c>
      <c r="B43" s="68" t="inlineStr">
        <is>
          <t>This workbook + git history</t>
        </is>
      </c>
      <c r="C43" s="46" t="inlineStr">
        <is>
          <t>High</t>
        </is>
      </c>
      <c r="D43" s="68" t="inlineStr">
        <is>
          <t>'Plan of Action' and 'Action Items' were retired on the supplier engineer's instruction. The live process is the five steps on the Instructions tab (each role picks 3 → meet &amp; agree → the Purchasing Manager calls → joint go/no-go on the visit → NDA, visit, onboard); the call script + log live on 'Call Questionnaire' and the visit runs off the new 'Visit Agenda' tab (the model, culture and commercial sections moved there — they are visit topics, not call topics). The retired content (ranked contact plan, meeting sequence, RFQ/P e-mail templates) is preserved in git; the RFQ e-mail approach was dropped — outreach is by phone. People are referred to by role only: Supplier Engineer / Purchasing Manager.</t>
        </is>
      </c>
    </row>
    <row r="44" ht="125.6" customHeight="1" s="59">
      <c r="A44" s="138" t="inlineStr">
        <is>
          <t>Beebop snapshot (ChatGPT, 2026-09-28)</t>
        </is>
      </c>
      <c r="B44" s="68" t="inlineStr">
        <is>
          <t>Beebop/ folder in this repo (call plan, contacts.json, social evidence, provenance)</t>
        </is>
      </c>
      <c r="C44" s="46" t="inlineStr">
        <is>
          <t>Medium</t>
        </is>
      </c>
      <c r="D44" s="68" t="inlineStr">
        <is>
          <t>Collaborator data, not instruction — its README says so and this workbook treats it that way. ADOPTED after cross-check: the referral lane (Firsthand Foods, Cheshire Pork, Carolina Packers, NC Choices, NCDA MPID); Piedmont's 150 lb minimum and expansion grant; the organ-ownership question (service-processed animals belong to the farmer); exact-address Durham distances for its 30 sites; the official NCDA directory dated 2026-09-18. CORRECTED here: it used no FSIS volume bands (Piedmont/Flowers are cat 2, Cool Springs/Schrock's/Contentnea cat 1 — the bands are on every row); Neese (#20) went FSIS-inactive 2026-07-02; four of its 30 are custom-exempt and fail G1; Mitchell's (#9) carries a failed-stun record it did not see; Nahunta's '500+/wk' is historical. Its 2,000-5,000/wk preference is unmeetable among new in-radius plants.</t>
        </is>
      </c>
    </row>
    <row r="45" ht="165.8" customHeight="1" s="59">
      <c r="A45" s="138" t="inlineStr">
        <is>
          <t>NCDA&amp;CS plant directory — 2026-09-18</t>
        </is>
      </c>
      <c r="B45" s="68" t="inlineStr">
        <is>
          <t>Beebop/sources/NC_Plant_Directory_2026-09-18.pdf (official run date Friday, September 18, 2026)</t>
        </is>
      </c>
      <c r="C45" s="46" t="inlineStr">
        <is>
          <t>High</t>
        </is>
      </c>
      <c r="D45" s="68" t="inlineStr">
        <is>
          <t>Combined state (P-), Talmadge-Aiken (TA-) and custom listing with the species legend: Calves-A, Cattle-B, SWINE-C, Sheep-D, Goats-E, Ratite-F, Bison-G, Cattalo-H. 47 swine-slaughter entries: 27 inspected (P-/TA-) and 20 custom-exempt. ALL 27 inspected plants were already on this roster — the August census is confirmed complete. Quaqua Creek P-375 (Ruffin) confirmed as a slaughter + processing plant with swine. Custom-exempt swine plants NOT listed individually on the roster (all fail G1): AAA Abattoir (Alamance); Clarkton Processing Company (Bladen); Coletown, LLC (Davidson); Imperial Meats, LLC (Catawba); Jerry's Meat Processing (Davie); Melvin Hill Meats, LLC (Polk); Miller Meat Processing, LLC (Northampton); Pinnacle Meats (Rutherford); Prospect Slaughter Pen (Robeson); Smitty's Meats Inc (Iredell); Stevens Meat Packing (Surry); Twisted Willow Farm (Pasquotank); White Store Processing (Anson); Wildlife Processors, LLC (Richmond). Supersedes the 2026-08-10 pull (the 09-03 re-download of the NCDA files had returned HTML shells, not PDFs — this file is now the primary state directory on disk).</t>
        </is>
      </c>
    </row>
    <row r="46" ht="58.6" customHeight="1" s="59">
      <c r="A46" s="138" t="inlineStr">
        <is>
          <t>Distances — Durham origin (2026-09-28)</t>
        </is>
      </c>
      <c r="B46" s="68" t="inlineStr">
        <is>
          <t>OSRM driving routes from 35.996069, −78.899684 (101 City Hall Plaza, Durham — the client-stated placeholder origin)</t>
        </is>
      </c>
      <c r="C46" s="46" t="inlineStr">
        <is>
          <t>Medium</t>
        </is>
      </c>
      <c r="D46" s="68" t="inlineStr">
        <is>
          <t>Exact street addresses (US Census geocoder) for Beebop's 30 sites; city-level Nominatim geocoding (±5 mi, marked '≈') for the rest of the Carolinas/VA/TN roster. Pikeville figures retained in parentheses. The real crew departure point is still to be confirmed — if it is not Durham, the column recomputes.</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Oscar Penny</dc:creator>
  <dc:title>Porcine Tissue — Second-Source Supplier Study</dc:title>
  <dcterms:created xsi:type="dcterms:W3CDTF">2026-08-04T16:33:22Z</dcterms:created>
  <dcterms:modified xsi:type="dcterms:W3CDTF">2026-09-28T16:29:02Z</dcterms:modified>
  <cp:lastModifiedBy>Oscar Penny</cp:lastModifiedBy>
</cp:coreProperties>
</file>