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21">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color rgb="007A5C00"/>
      <sz val="10"/>
    </font>
    <font>
      <name val="Arial"/>
      <b val="1"/>
      <color rgb="000000FF"/>
      <sz val="10"/>
    </font>
    <font>
      <name val="Arial"/>
      <b val="1"/>
      <color rgb="00006100"/>
      <sz val="10"/>
    </font>
    <font>
      <name val="Arial"/>
      <b val="1"/>
      <color rgb="009C6500"/>
      <sz val="10"/>
    </font>
    <font>
      <name val="Arial"/>
      <b val="1"/>
      <color rgb="009C0006"/>
      <sz val="10"/>
    </font>
    <font>
      <name val="Arial"/>
      <b val="1"/>
      <color rgb="00375623"/>
      <sz val="10"/>
    </font>
    <font>
      <name val="Arial"/>
      <b val="1"/>
      <color rgb="007F6000"/>
      <sz val="10"/>
    </font>
    <font>
      <name val="Arial"/>
      <b val="1"/>
      <color rgb="00833C0C"/>
      <sz val="10"/>
    </font>
    <font>
      <name val="Arial"/>
      <b val="1"/>
      <color rgb="005B657A"/>
      <sz val="10"/>
    </font>
    <font>
      <name val="Arial"/>
      <color rgb="009C0006"/>
      <sz val="10"/>
    </font>
    <font>
      <name val="Arial"/>
      <color rgb="0044506A"/>
      <sz val="9"/>
    </font>
    <font>
      <name val="Arial"/>
      <color rgb="00222222"/>
      <sz val="9"/>
    </font>
  </fonts>
  <fills count="16">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FFF9E3"/>
      </patternFill>
    </fill>
    <fill>
      <patternFill patternType="solid">
        <fgColor rgb="00C6EFCE"/>
      </patternFill>
    </fill>
    <fill>
      <patternFill patternType="solid">
        <fgColor rgb="00FFC7CE"/>
      </patternFill>
    </fill>
    <fill>
      <patternFill patternType="solid">
        <fgColor rgb="00E2EFDA"/>
      </patternFill>
    </fill>
    <fill>
      <patternFill patternType="solid">
        <fgColor rgb="00FFE699"/>
      </patternFill>
    </fill>
    <fill>
      <patternFill patternType="solid">
        <fgColor rgb="00FCE4D6"/>
      </patternFill>
    </fill>
    <fill>
      <patternFill patternType="solid">
        <fgColor rgb="00FCE4E4"/>
      </patternFill>
    </fill>
    <fill>
      <patternFill patternType="solid">
        <fgColor rgb="000000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4" fillId="5" borderId="0" applyAlignment="1" pivotButton="0" quotePrefix="0" xfId="0">
      <alignment horizontal="left" vertical="center"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0" fontId="7" fillId="5" borderId="0" applyAlignment="1" pivotButton="0" quotePrefix="0" xfId="0">
      <alignment horizontal="left" vertical="center" wrapText="1"/>
    </xf>
    <xf numFmtId="0" fontId="3" fillId="15" borderId="0" applyAlignment="1" pivotButton="0" quotePrefix="0" xfId="0">
      <alignment horizontal="left" vertical="center"/>
    </xf>
    <xf numFmtId="0" fontId="4" fillId="0" borderId="0" applyAlignment="1" pivotButton="0" quotePrefix="0" xfId="0">
      <alignment horizontal="left" vertical="center" wrapText="1"/>
    </xf>
    <xf numFmtId="3" fontId="10" fillId="8" borderId="1" applyAlignment="1" pivotButton="0" quotePrefix="0" xfId="0">
      <alignment horizontal="right" vertical="center"/>
    </xf>
    <xf numFmtId="0" fontId="7" fillId="0" borderId="0" applyAlignment="1" pivotButton="0" quotePrefix="0" xfId="0">
      <alignment horizontal="left" vertical="center" wrapText="1"/>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9" borderId="0" applyAlignment="1" pivotButton="0" quotePrefix="0" xfId="0">
      <alignment horizontal="left" vertical="center" wrapText="1"/>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19" fillId="0" borderId="0" applyAlignment="1" pivotButton="0" quotePrefix="0" xfId="0">
      <alignment horizontal="left" vertical="top" wrapText="1"/>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9"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2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72" customHeight="1">
      <c r="A7" s="4" t="inlineStr">
        <is>
          <t>Weekly kill volume — OPEN</t>
        </is>
      </c>
      <c r="B7" s="5"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48" customHeight="1">
      <c r="A2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26" s="64" t="n"/>
    </row>
    <row r="27" ht="48" customHeight="1">
      <c r="A2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27" s="64" t="n"/>
    </row>
    <row r="28" ht="48" customHeight="1">
      <c r="A2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28" s="64" t="n"/>
    </row>
    <row r="29" ht="60" customHeight="1">
      <c r="A2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29" s="64" t="n"/>
    </row>
    <row r="30" ht="60" customHeight="1">
      <c r="A3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30" s="64" t="n"/>
    </row>
    <row r="31" ht="84" customHeight="1">
      <c r="A3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1" s="64" t="n"/>
    </row>
    <row r="32" ht="72" customHeight="1">
      <c r="A3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2" s="64" t="n"/>
    </row>
    <row r="33" ht="48" customHeight="1">
      <c r="A3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33" s="64" t="n"/>
    </row>
    <row r="34" ht="72" customHeight="1">
      <c r="A34" s="5"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34" s="64" t="n"/>
    </row>
    <row r="35" ht="48" customHeight="1">
      <c r="A35" s="5"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35" s="64" t="n"/>
    </row>
    <row r="36" ht="84" customHeight="1">
      <c r="A36"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36" s="64" t="n"/>
    </row>
    <row r="37" ht="48" customHeight="1">
      <c r="A37"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37" s="64" t="n"/>
    </row>
    <row r="38" ht="48" customHeight="1">
      <c r="A38"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38" s="64" t="n"/>
    </row>
    <row r="39" ht="48" customHeight="1">
      <c r="A39"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39" s="64" t="n"/>
    </row>
  </sheetData>
  <mergeCells count="24">
    <mergeCell ref="A30:B30"/>
    <mergeCell ref="A36:B36"/>
    <mergeCell ref="A1:B1"/>
    <mergeCell ref="A6:B6"/>
    <mergeCell ref="A16:B16"/>
    <mergeCell ref="A25:B25"/>
    <mergeCell ref="A37:B37"/>
    <mergeCell ref="A27:B27"/>
    <mergeCell ref="A12:B12"/>
    <mergeCell ref="A26:B26"/>
    <mergeCell ref="A2:B2"/>
    <mergeCell ref="A33:B33"/>
    <mergeCell ref="A5:B5"/>
    <mergeCell ref="A32:B32"/>
    <mergeCell ref="A23:B23"/>
    <mergeCell ref="A22:B22"/>
    <mergeCell ref="A35:B35"/>
    <mergeCell ref="A4:B4"/>
    <mergeCell ref="A38:B38"/>
    <mergeCell ref="A29:B29"/>
    <mergeCell ref="A28:B28"/>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 / action</t>
        </is>
      </c>
      <c r="B5" s="6" t="inlineStr">
        <is>
          <t>Purpose — outcome</t>
        </is>
      </c>
      <c r="C5" s="6" t="inlineStr">
        <is>
          <t>Who</t>
        </is>
      </c>
      <c r="D5" s="6" t="inlineStr">
        <is>
          <t>When</t>
        </is>
      </c>
      <c r="E5" s="6" t="inlineStr">
        <is>
          <t>Owner</t>
        </is>
      </c>
      <c r="F5" s="6" t="inlineStr">
        <is>
          <t>Status</t>
        </is>
      </c>
    </row>
    <row r="6" ht="56" customHeight="1">
      <c r="A6" s="7" t="inlineStr">
        <is>
          <t>0a. WRITE THE ANATOMICAL SPEC  (do this FIRST)</t>
        </is>
      </c>
      <c r="B6" s="5" t="inlineStr">
        <is>
          <t>Live weight range, parity (sow vs market hog), age/sex, per block type. A ONE-DAY internal exercise that decides whether ~half the candidate pool stays on the list. No further research can answer it. Use the 'Anatomical Spec' tab.</t>
        </is>
      </c>
      <c r="C6" s="5" t="inlineStr">
        <is>
          <t>Technical / Harvest lead + clinical stakeholder</t>
        </is>
      </c>
      <c r="D6" s="5" t="inlineStr">
        <is>
          <t>Before any outreach</t>
        </is>
      </c>
      <c r="E6" s="8" t="inlineStr"/>
      <c r="F6" s="8" t="inlineStr">
        <is>
          <t>Not started</t>
        </is>
      </c>
    </row>
    <row r="7" ht="56" customHeight="1">
      <c r="A7" s="7" t="inlineStr">
        <is>
          <t>0b. EMAIL APHIS VS on the ABP / Cat 3 pathway</t>
        </is>
      </c>
      <c r="B7" s="5" t="inlineStr">
        <is>
          <t>One email resolves the question governing the whole plant selection: vs.export.product.facilities@usda.gov — (a) what establishment-level listing is required for Category 3 porcine tissue for research/surgical training under Reg. 1069/2009, and (b) is federal (or Talmadge-Aiken) slaughter inspection a HARD prerequisite? Answer to (b) decides if Nahunta can ever be in the EU chain.</t>
        </is>
      </c>
      <c r="C7" s="5" t="inlineStr">
        <is>
          <t>Regulatory / QA</t>
        </is>
      </c>
      <c r="D7" s="5" t="inlineStr">
        <is>
          <t>This week</t>
        </is>
      </c>
      <c r="E7" s="8" t="inlineStr"/>
      <c r="F7" s="8" t="inlineStr">
        <is>
          <t>Not started</t>
        </is>
      </c>
    </row>
    <row r="8" ht="56" customHeight="1">
      <c r="A8" s="7" t="inlineStr">
        <is>
          <t>0c. INTERVIEW A MUCOSA / CASING COLLECTOR</t>
        </is>
      </c>
      <c r="B8" s="5"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5" t="inlineStr">
        <is>
          <t>Harvest lead + Procurement</t>
        </is>
      </c>
      <c r="D8" s="5" t="inlineStr">
        <is>
          <t>This week</t>
        </is>
      </c>
      <c r="E8" s="8" t="inlineStr"/>
      <c r="F8" s="8" t="inlineStr">
        <is>
          <t>Not started</t>
        </is>
      </c>
    </row>
    <row r="9" ht="56" customHeight="1">
      <c r="A9" s="7" t="inlineStr">
        <is>
          <t>1. Strategy &amp; requirements alignment  (COMPANY stakeholders — NOT slaughterhouses)</t>
        </is>
      </c>
      <c r="B9" s="5"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5" t="inlineStr">
        <is>
          <t>Leadership, Ops, QA, Procurement, Harvest / Technical lead</t>
        </is>
      </c>
      <c r="D9" s="5" t="inlineStr">
        <is>
          <t>ASAP — most proximate</t>
        </is>
      </c>
      <c r="E9" s="8" t="inlineStr"/>
      <c r="F9" s="8" t="inlineStr">
        <is>
          <t>Not started</t>
        </is>
      </c>
    </row>
    <row r="10" ht="56" customHeight="1">
      <c r="A10" s="7" t="inlineStr">
        <is>
          <t>2. Outreach kickoff</t>
        </is>
      </c>
      <c r="B10" s="5" t="inlineStr">
        <is>
          <t>Assign who contacts which plant; finalize the RFQ/P and NDA; set a return-by date. Call the three Talmadge-Aiken NC plants (Martin's, Larry's, Bass Farms) INSIDE ONE WEEK and let actual weekly kill numbers pick the winner.</t>
        </is>
      </c>
      <c r="C10" s="5" t="inlineStr">
        <is>
          <t>Procurement + Harvest lead</t>
        </is>
      </c>
      <c r="D10" s="5" t="inlineStr">
        <is>
          <t>Right after Mtg 1</t>
        </is>
      </c>
      <c r="E10" s="8" t="inlineStr"/>
      <c r="F10" s="8" t="inlineStr">
        <is>
          <t>Not started</t>
        </is>
      </c>
    </row>
    <row r="11" ht="56" customHeight="1">
      <c r="A11" s="7" t="inlineStr">
        <is>
          <t>3. Shortlist review &amp; scoring</t>
        </is>
      </c>
      <c r="B11" s="5" t="inlineStr">
        <is>
          <t>Compare returned weekly kill numbers / quotes; score against the agreed weighting; pick the Lane-2 winner. Budget ONE adversarial verification pass on whichever plant wins — Larry's and Bass Farms have never been verified.</t>
        </is>
      </c>
      <c r="C11" s="5" t="inlineStr">
        <is>
          <t>Core team</t>
        </is>
      </c>
      <c r="D11" s="5" t="inlineStr">
        <is>
          <t>As RFQ/Ps return</t>
        </is>
      </c>
      <c r="E11" s="8" t="inlineStr"/>
      <c r="F11" s="8" t="inlineStr">
        <is>
          <t>Not started</t>
        </is>
      </c>
    </row>
    <row r="12" ht="56" customHeight="1">
      <c r="A12" s="7" t="inlineStr">
        <is>
          <t>4. FSIS FOIA on shortlist establishments</t>
        </is>
      </c>
      <c r="B12" s="5" t="inlineStr">
        <is>
          <t>FSIS was unreachable in every research session. File for humane-handling NRs / NOIEs / NOSs on M19904, TA-6720, TA-8305, TA-3521, TA-20129, M21747, M4005, M9065, M7455, M8314. Budget 2-6 weeks — start it in parallel with outreach.</t>
        </is>
      </c>
      <c r="C12" s="5" t="inlineStr">
        <is>
          <t>QA / Regulatory</t>
        </is>
      </c>
      <c r="D12" s="5" t="inlineStr">
        <is>
          <t>Start now (long lead)</t>
        </is>
      </c>
      <c r="E12" s="8" t="inlineStr"/>
      <c r="F12" s="8" t="inlineStr">
        <is>
          <t>Not started</t>
        </is>
      </c>
    </row>
    <row r="13" ht="56" customHeight="1">
      <c r="A13" s="7" t="inlineStr">
        <is>
          <t>5. Site visits / audits  (top 2-3)</t>
        </is>
      </c>
      <c r="B13" s="5" t="inlineStr">
        <is>
          <t>Verify facility, welfare and harvest access on-site. Welfare must be treated as a SITE-VISIT finding, not a records finding — especially for Nahunta, which as a state-inspected plant sits outside FSIS humane-handling reporting entirely.</t>
        </is>
      </c>
      <c r="C13" s="5" t="inlineStr">
        <is>
          <t>Technical + QA</t>
        </is>
      </c>
      <c r="D13" s="5" t="inlineStr">
        <is>
          <t>After scoring</t>
        </is>
      </c>
      <c r="E13" s="8" t="inlineStr"/>
      <c r="F13" s="8" t="inlineStr">
        <is>
          <t>Not started</t>
        </is>
      </c>
    </row>
    <row r="15" ht="20" customHeight="1">
      <c r="A15" s="3" t="inlineStr">
        <is>
          <t>PRIORITY SLAUGHTERHOUSES — reach these first</t>
        </is>
      </c>
    </row>
    <row r="16" ht="18" customHeight="1">
      <c r="A16" s="6" t="inlineStr">
        <is>
          <t>Supplier (verified contact order)</t>
        </is>
      </c>
      <c r="B16" s="6" t="inlineStr">
        <is>
          <t>Why reach first</t>
        </is>
      </c>
      <c r="C16" s="6" t="inlineStr">
        <is>
          <t>Contact</t>
        </is>
      </c>
      <c r="D16" s="6" t="inlineStr">
        <is>
          <t>RFQ/P to use</t>
        </is>
      </c>
      <c r="E16" s="6" t="inlineStr">
        <is>
          <t>Owner</t>
        </is>
      </c>
      <c r="F16" s="6" t="inlineStr">
        <is>
          <t>Status</t>
        </is>
      </c>
    </row>
    <row r="17" ht="54" customHeight="1">
      <c r="A17" s="7" t="inlineStr">
        <is>
          <t>1. Nahunta Slaughter House (P-80A)
Pikeville, NC</t>
        </is>
      </c>
      <c r="B17" s="5" t="inlineStr">
        <is>
          <t>LANE 1 — DOMESTIC ANCHOR. Only candidate with a PUBLISHED research-specimen pathway, and fresh spleens/hearts/livers as retail SKUs (viscera leave the kill floor intact). Culture benchmark. NOTE: state-inspected = NC sales only, so domestic lane only.</t>
        </is>
      </c>
      <c r="C17" s="5" t="inlineStr">
        <is>
          <t>(919) 242-4735
nahuntapork.com/specimen-permits1</t>
        </is>
      </c>
      <c r="D17" s="5" t="inlineStr">
        <is>
          <t>Short site/call RFQ/P</t>
        </is>
      </c>
      <c r="E17" s="8" t="inlineStr"/>
      <c r="F17" s="8" t="inlineStr">
        <is>
          <t>Not started</t>
        </is>
      </c>
    </row>
    <row r="18" ht="54" customHeight="1">
      <c r="A18" s="7" t="inlineStr">
        <is>
          <t>2. Martin's Pork Products (TA-6720)
Falcon, NC</t>
        </is>
      </c>
      <c r="B18" s="5" t="inlineStr">
        <is>
          <t>LANE 2 — the incumbent, now plausibly IN BAND (200-1,500/wk after the 6,500 figure was refuted). Hog-only, federally inspected, export-structurally eligible. Cheap call.</t>
        </is>
      </c>
      <c r="C18" s="5" t="inlineStr">
        <is>
          <t>(910) 980-1501
beth@martinspork.com</t>
        </is>
      </c>
      <c r="D18" s="5" t="inlineStr">
        <is>
          <t>Formatted email RFQ/P</t>
        </is>
      </c>
      <c r="E18" s="8" t="inlineStr"/>
      <c r="F18" s="8" t="inlineStr">
        <is>
          <t>Not started</t>
        </is>
      </c>
    </row>
    <row r="19" ht="54" customHeight="1">
      <c r="A19" s="7" t="inlineStr">
        <is>
          <t>3. Larry's Sausage Company (TA-8305)
Fayetteville, NC</t>
        </is>
      </c>
      <c r="B19" s="5" t="inlineStr">
        <is>
          <t>LANE 2 — closest cultural analogue to Nahunta BUT with export-eligible federal TA inspection. Swine-only, family-owned since 1952, three generations. NEVER adversarially verified — treat with care.</t>
        </is>
      </c>
      <c r="C19" s="5" t="inlineStr">
        <is>
          <t>Fayetteville, NC — get number from NCDA&amp;CS TA directory</t>
        </is>
      </c>
      <c r="D19" s="5" t="inlineStr">
        <is>
          <t>Short site/call RFQ/P</t>
        </is>
      </c>
      <c r="E19" s="8" t="inlineStr"/>
      <c r="F19" s="8" t="inlineStr">
        <is>
          <t>Not started</t>
        </is>
      </c>
    </row>
    <row r="20" ht="54" customHeight="1">
      <c r="A20" s="7" t="inlineStr">
        <is>
          <t>4. Bass Farms, Inc. (TA-3521)
Spring Hope, NC</t>
        </is>
      </c>
      <c r="B20" s="5" t="inlineStr">
        <is>
          <t>LANE 2 — 'Slaughter only, species C (swine)': a hog kill floor with NO processing attached is the PUREST Model A structure in the state. NEVER adversarially verified.</t>
        </is>
      </c>
      <c r="C20" s="5" t="inlineStr">
        <is>
          <t>Spring Hope, NC — get number from NCDA&amp;CS TA directory</t>
        </is>
      </c>
      <c r="D20" s="5" t="inlineStr">
        <is>
          <t>Short site/call RFQ/P</t>
        </is>
      </c>
      <c r="E20" s="8" t="inlineStr"/>
      <c r="F20" s="8" t="inlineStr">
        <is>
          <t>Not started</t>
        </is>
      </c>
    </row>
    <row r="21" ht="54" customHeight="1">
      <c r="A21" s="7" t="inlineStr">
        <is>
          <t>5. Gunnoe Sausage Company
Goode, VA</t>
        </is>
      </c>
      <c r="B21" s="5" t="inlineStr">
        <is>
          <t>Virginia's ONLY genuinely in-band plant (~450-590 hogs/wk) — and it was never researched in the first pass. Dedicated sow slaughterhouse since 1965.</t>
        </is>
      </c>
      <c r="C21" s="5" t="inlineStr">
        <is>
          <t>(540) 586-1091
3989 Cifax Rd, Goode VA 24556</t>
        </is>
      </c>
      <c r="D21" s="5" t="inlineStr">
        <is>
          <t>Short site/call RFQ/P</t>
        </is>
      </c>
      <c r="E21" s="8" t="inlineStr"/>
      <c r="F21" s="8" t="inlineStr">
        <is>
          <t>Not started</t>
        </is>
      </c>
    </row>
    <row r="22" ht="54" customHeight="1">
      <c r="A22" s="7" t="inlineStr">
        <is>
          <t>6. Smithfield BioScience
Tar Heel, NC (M18079)</t>
        </is>
      </c>
      <c r="B22" s="5" t="inlineStr">
        <is>
          <t>LANE 3 — the ONLY verified organ programme in the study (aortas, valves, pericardium, peritoneum, mucosa, pancreas, pituitary, tendons) + existing EU pharmaceutical trade. Approach as BOTH supply option AND competitive intelligence.</t>
        </is>
      </c>
      <c r="C22" s="5" t="inlineStr">
        <is>
          <t>smithfieldbioscience.com</t>
        </is>
      </c>
      <c r="D22" s="5" t="inlineStr">
        <is>
          <t>Short site RFQ/P</t>
        </is>
      </c>
      <c r="E22" s="8" t="inlineStr"/>
      <c r="F22" s="8" t="inlineStr">
        <is>
          <t>Not started</t>
        </is>
      </c>
    </row>
    <row r="23" ht="54" customHeight="1">
      <c r="A23" s="7" t="inlineStr">
        <is>
          <t>7. Kansas City Sausage / Coastal Protein
Godwin, NC</t>
        </is>
      </c>
      <c r="B23" s="5" t="inlineStr">
        <is>
          <t>~3,500-5,000 sows/wk — marginally over ceiling, but SOW anatomy is closer to adult human scale. Confirmed operating via live EPA permits. (This is the plant whose identity was confused with Martin's.)</t>
        </is>
      </c>
      <c r="C23" s="5" t="inlineStr">
        <is>
          <t>1600 Martin Road, Godwin NC</t>
        </is>
      </c>
      <c r="D23" s="5" t="inlineStr">
        <is>
          <t>Short site/call RFQ/P</t>
        </is>
      </c>
      <c r="E23" s="8" t="inlineStr"/>
      <c r="F23" s="8" t="inlineStr">
        <is>
          <t>Not started</t>
        </is>
      </c>
    </row>
    <row r="24" ht="54" customHeight="1">
      <c r="A24" s="7" t="inlineStr">
        <is>
          <t>8. Wampler's Farm Sausage (M9065)
Lenoir City, TN</t>
        </is>
      </c>
      <c r="B24" s="5" t="inlineStr">
        <is>
          <t>Real federal grant, real kill floor, ~1,500-1,620/wk. Family-owned since 1937 — but production hiring routes through 3 staffing agencies at $12-14/hr, against your tenure criterion.</t>
        </is>
      </c>
      <c r="C24" s="5" t="inlineStr">
        <is>
          <t>(865) 986-2056  (plant line, NOT 1-800-SAUSAGE)</t>
        </is>
      </c>
      <c r="D24" s="5" t="inlineStr">
        <is>
          <t>Formatted email RFQ/P</t>
        </is>
      </c>
      <c r="E24" s="8" t="inlineStr"/>
      <c r="F24" s="8" t="inlineStr">
        <is>
          <t>Not started</t>
        </is>
      </c>
    </row>
    <row r="25" ht="54" customHeight="1">
      <c r="A25" s="7" t="inlineStr">
        <is>
          <t>9. Custom Quality Packers (TA-20129)
Sims, NC</t>
        </is>
      </c>
      <c r="B25" s="5" t="inlineStr">
        <is>
          <t>One of only ~7 swine-only establishments in NC, federally inspected. Anchors a WILSON COUNTY CLUSTER play with Bass Farms and George Flowers — aggregation only works if plants share one crew.</t>
        </is>
      </c>
      <c r="C25" s="5" t="inlineStr">
        <is>
          <t>(252) 235-3558</t>
        </is>
      </c>
      <c r="D25" s="5" t="inlineStr">
        <is>
          <t>Short site/call RFQ/P</t>
        </is>
      </c>
      <c r="E25" s="8" t="inlineStr"/>
      <c r="F25" s="8" t="inlineStr">
        <is>
          <t>Not started</t>
        </is>
      </c>
    </row>
    <row r="26" ht="54" customHeight="1">
      <c r="A26" s="7" t="inlineStr">
        <is>
          <t>10. Williamsburg Packing (M4005)
Kingstree, SC</t>
        </is>
      </c>
      <c r="B26" s="5" t="inlineStr">
        <is>
          <t>ONE speculative call only. Its voluntary grant V4005 is the mechanism used for non-amenable species — directly relevant to research tissue. Welfare certifications REFUTED, so do not lead with those.</t>
        </is>
      </c>
      <c r="C26" s="5" t="inlineStr">
        <is>
          <t>(843) 355-6447</t>
        </is>
      </c>
      <c r="D26" s="5" t="inlineStr">
        <is>
          <t>Short site/call RFQ/P</t>
        </is>
      </c>
      <c r="E26" s="8" t="inlineStr"/>
      <c r="F26" s="8" t="inlineStr">
        <is>
          <t>Not started</t>
        </is>
      </c>
    </row>
    <row r="27" ht="36" customHeight="1">
      <c r="A27" s="9"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c r="A28" s="9"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20" customHeight="1">
      <c r="A30" s="3" t="inlineStr">
        <is>
          <t>RFQ/P — EMAIL TEMPLATE  (copy-paste for email contacts; fill the [brackets])</t>
        </is>
      </c>
    </row>
    <row r="31" ht="18" customHeight="1">
      <c r="A31" s="10" t="inlineStr">
        <is>
          <t>Subject:  Request for Quote / Proposal — Recurring Porcine Tissue Harvesting Partnership</t>
        </is>
      </c>
      <c r="B31" s="65" t="n"/>
      <c r="C31" s="65" t="n"/>
      <c r="D31" s="65" t="n"/>
      <c r="E31" s="65" t="n"/>
      <c r="F31" s="64" t="n"/>
    </row>
    <row r="32" ht="15" customHeight="1">
      <c r="A32" s="11" t="inlineStr">
        <is>
          <t>Hello [Name],</t>
        </is>
      </c>
    </row>
    <row r="33" ht="36" customHeight="1">
      <c r="A33"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c r="A34" s="11" t="inlineStr">
        <is>
          <t>We can structure the arrangement either way and would welcome your input:</t>
        </is>
      </c>
    </row>
    <row r="35" ht="15" customHeight="1">
      <c r="A35" s="11" t="inlineStr">
        <is>
          <t xml:space="preserve">   • Model A — our trained technicians harvest on-site; we rent line/cooler access (by visit or by piece).</t>
        </is>
      </c>
    </row>
    <row r="36" ht="15" customHeight="1">
      <c r="A36" s="11" t="inlineStr">
        <is>
          <t xml:space="preserve">   • Model B — your team harvests to our written protocol; we send trainers/inspectors to qualify and audit.</t>
        </is>
      </c>
    </row>
    <row r="37" ht="15" customHeight="1">
      <c r="A37" s="11" t="inlineStr">
        <is>
          <t>Could you please share:</t>
        </is>
      </c>
    </row>
    <row r="38" ht="15" customHeight="1">
      <c r="A38" s="11" t="inlineStr">
        <is>
          <t xml:space="preserve">   1. Approximate hogs slaughtered per week, and whether you can add head for us.</t>
        </is>
      </c>
    </row>
    <row r="39" ht="24" customHeight="1">
      <c r="A39" s="11" t="inlineStr">
        <is>
          <t xml:space="preserve">   2. USDA/FSIS inspection status (establishment #) and any APHIS export listing (we may export finished models to the EU).</t>
        </is>
      </c>
    </row>
    <row r="40" ht="24" customHeight="1">
      <c r="A40" s="11" t="inlineStr">
        <is>
          <t xml:space="preserve">   3. Which organs/tissues you currently harvest vs. send to rendering, and whether we can collect pelvic/abdominal/thoracic blocks at the kill.</t>
        </is>
      </c>
    </row>
    <row r="41" ht="15" customHeight="1">
      <c r="A41" s="11" t="inlineStr">
        <is>
          <t xml:space="preserve">   4. Pricing — Model A: per-visit access/rental or per-piece; Model B: per-piece harvest fee.</t>
        </is>
      </c>
    </row>
    <row r="42" ht="15" customHeight="1">
      <c r="A42" s="11" t="inlineStr">
        <is>
          <t xml:space="preserve">   5. Cooler/hanging space and typical time-to-chill after slaughter (freshness window).</t>
        </is>
      </c>
    </row>
    <row r="43" ht="15" customHeight="1">
      <c r="A43" s="11" t="inlineStr">
        <is>
          <t xml:space="preserve">   6. Your humane-handling program, and any recent USDA humane-handling actions.</t>
        </is>
      </c>
    </row>
    <row r="44" ht="15" customHeight="1">
      <c r="A44" s="11" t="inlineStr">
        <is>
          <t xml:space="preserve">   7. Lead time, minimum commitment, scheduling, and whether an NDA is needed before we share our protocol.</t>
        </is>
      </c>
    </row>
    <row r="45" ht="15" customHeight="1">
      <c r="A45" s="11" t="inlineStr">
        <is>
          <t>We are glad to sign an NDA and to set up a call or a site visit. Thank you — we look forward to your proposal.</t>
        </is>
      </c>
    </row>
    <row r="46" ht="15" customHeight="1">
      <c r="A46" s="11" t="inlineStr">
        <is>
          <t>Best regards,</t>
        </is>
      </c>
    </row>
    <row r="47" ht="15" customHeight="1">
      <c r="A47" s="11" t="inlineStr">
        <is>
          <t>[Your name] · [Title] · [Company] · [Phone] · [Email]</t>
        </is>
      </c>
    </row>
    <row r="49" ht="20" customHeight="1">
      <c r="A49" s="3" t="inlineStr">
        <is>
          <t>RFQ/P — SHORT SITE / CALL VERSION  (for phone or website inquiry forms)</t>
        </is>
      </c>
    </row>
    <row r="50" ht="16" customHeight="1">
      <c r="A50" s="11" t="inlineStr">
        <is>
          <t>•  Who we are: biomedical porcine-tissue harvester setting up a recurring program.</t>
        </is>
      </c>
    </row>
    <row r="51" ht="16" customHeight="1">
      <c r="A51" s="11" t="inlineStr">
        <is>
          <t>•  Hogs per week? Can you add head for us? Steady year-round?</t>
        </is>
      </c>
    </row>
    <row r="52" ht="16" customHeight="1">
      <c r="A52" s="11" t="inlineStr">
        <is>
          <t>•  USDA/FSIS establishment #? APHIS export listing (we may export to the EU)?</t>
        </is>
      </c>
    </row>
    <row r="53" ht="16" customHeight="1">
      <c r="A53" s="11" t="inlineStr">
        <is>
          <t>•  Which organs are saved vs. rendered? Can we collect pelvic / abdominal / thoracic blocks at the kill?</t>
        </is>
      </c>
    </row>
    <row r="54" ht="16" customHeight="1">
      <c r="A54" s="11" t="inlineStr">
        <is>
          <t>•  Would you HOST our harvesters (Model A — rent by visit or by piece) OR harvest to our spec (Model B)?</t>
        </is>
      </c>
    </row>
    <row r="55" ht="16" customHeight="1">
      <c r="A55" s="11" t="inlineStr">
        <is>
          <t>•  Ballpark pricing (per-visit rental or per-piece)?</t>
        </is>
      </c>
    </row>
    <row r="56" ht="16" customHeight="1">
      <c r="A56" s="11" t="inlineStr">
        <is>
          <t>•  Cooler space + time-to-chill after slaughter (freshness window)?</t>
        </is>
      </c>
    </row>
    <row r="57" ht="16" customHeight="1">
      <c r="A57" s="11" t="inlineStr">
        <is>
          <t>•  Lead time, minimum commitment, NDA needed?</t>
        </is>
      </c>
    </row>
    <row r="58" ht="16" customHeight="1">
      <c r="A58" s="11" t="inlineStr">
        <is>
          <t>•  Best contact name + email to send a written RFQ/P.</t>
        </is>
      </c>
    </row>
    <row r="59" ht="20" customHeight="1">
      <c r="A59" s="12"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0:F50"/>
    <mergeCell ref="A56:F56"/>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46" customWidth="1" min="1" max="1"/>
    <col width="34" customWidth="1" min="2" max="2"/>
    <col width="34" customWidth="1" min="3" max="3"/>
    <col width="34" customWidth="1" min="4" max="4"/>
  </cols>
  <sheetData>
    <row r="1" ht="26" customHeight="1">
      <c r="A1" s="1" t="inlineStr">
        <is>
          <t>Anatomical Spec — fill this in BEFORE the first supplier call</t>
        </is>
      </c>
    </row>
    <row r="2" ht="30" customHeight="1">
      <c r="A2" s="2" t="inlineStr">
        <is>
          <t>Action #1 from the verified deep study. A one-day internal exercise that decides which plants stay on the list. Blue-on-yellow = you fill in.</t>
        </is>
      </c>
    </row>
    <row r="4" ht="96" customHeight="1">
      <c r="A4" s="13"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5" t="n"/>
      <c r="C4" s="65" t="n"/>
      <c r="D4" s="64" t="n"/>
    </row>
    <row r="6" ht="20" customHeight="1">
      <c r="A6" s="3" t="inlineStr">
        <is>
          <t>PER-BLOCK SPECIFICATION</t>
        </is>
      </c>
    </row>
    <row r="7" ht="24" customHeight="1">
      <c r="A7" s="6" t="inlineStr">
        <is>
          <t>Parameter</t>
        </is>
      </c>
      <c r="B7" s="6" t="inlineStr">
        <is>
          <t>PELVIC block</t>
        </is>
      </c>
      <c r="C7" s="6" t="inlineStr">
        <is>
          <t>BARIATRIC / abdominal block</t>
        </is>
      </c>
      <c r="D7" s="6" t="inlineStr">
        <is>
          <t>THORACIC block</t>
        </is>
      </c>
    </row>
    <row r="8" ht="26" customHeight="1">
      <c r="A8" s="14" t="inlineStr">
        <is>
          <t>Organs / structures REQUIRED in the block</t>
        </is>
      </c>
      <c r="B8" s="15" t="inlineStr"/>
      <c r="C8" s="15" t="inlineStr"/>
      <c r="D8" s="15" t="inlineStr"/>
    </row>
    <row r="9" ht="26" customHeight="1">
      <c r="A9" s="16" t="inlineStr">
        <is>
          <t>Organs / structures NICE-TO-HAVE</t>
        </is>
      </c>
      <c r="B9" s="15" t="inlineStr"/>
      <c r="C9" s="15" t="inlineStr"/>
      <c r="D9" s="15" t="inlineStr"/>
    </row>
    <row r="10" ht="26" customHeight="1">
      <c r="A10" s="14" t="inlineStr">
        <is>
          <t>Structures that must be left ATTACHED (vessels, ligaments, mesentery)</t>
        </is>
      </c>
      <c r="B10" s="15" t="inlineStr"/>
      <c r="C10" s="15" t="inlineStr"/>
      <c r="D10" s="15" t="inlineStr"/>
    </row>
    <row r="11" ht="26" customHeight="1">
      <c r="A11" s="16" t="inlineStr">
        <is>
          <t>Minimum acceptable specimen size / dimensions</t>
        </is>
      </c>
      <c r="B11" s="15" t="inlineStr"/>
      <c r="C11" s="15" t="inlineStr"/>
      <c r="D11" s="15" t="inlineStr"/>
    </row>
    <row r="12" ht="26" customHeight="1">
      <c r="A12" s="14" t="inlineStr">
        <is>
          <t>Target live weight range of the animal (lb)</t>
        </is>
      </c>
      <c r="B12" s="15" t="inlineStr"/>
      <c r="C12" s="15" t="inlineStr"/>
      <c r="D12" s="15" t="inlineStr"/>
    </row>
    <row r="13" ht="26" customHeight="1">
      <c r="A13" s="16" t="inlineStr">
        <is>
          <t>Absolute min / max live weight (lb)</t>
        </is>
      </c>
      <c r="B13" s="15" t="inlineStr"/>
      <c r="C13" s="15" t="inlineStr"/>
      <c r="D13" s="15" t="inlineStr"/>
    </row>
    <row r="14" ht="26" customHeight="1">
      <c r="A14" s="14" t="inlineStr">
        <is>
          <t>SOW (parous) acceptable?   Yes / No / Only for…</t>
        </is>
      </c>
      <c r="B14" s="15" t="inlineStr"/>
      <c r="C14" s="15" t="inlineStr"/>
      <c r="D14" s="15" t="inlineStr"/>
    </row>
    <row r="15" ht="26" customHeight="1">
      <c r="A15" s="16" t="inlineStr">
        <is>
          <t>If sow acceptable: max parity (number of litters)</t>
        </is>
      </c>
      <c r="B15" s="15" t="inlineStr"/>
      <c r="C15" s="15" t="inlineStr"/>
      <c r="D15" s="15" t="inlineStr"/>
    </row>
    <row r="16" ht="26" customHeight="1">
      <c r="A16" s="14" t="inlineStr">
        <is>
          <t>Market hog acceptable?  Target age (months)</t>
        </is>
      </c>
      <c r="B16" s="15" t="inlineStr"/>
      <c r="C16" s="15" t="inlineStr"/>
      <c r="D16" s="15" t="inlineStr"/>
    </row>
    <row r="17" ht="26" customHeight="1">
      <c r="A17" s="16" t="inlineStr">
        <is>
          <t>Sex required (barrow / gilt / sow / either)</t>
        </is>
      </c>
      <c r="B17" s="15" t="inlineStr"/>
      <c r="C17" s="15" t="inlineStr"/>
      <c r="D17" s="15" t="inlineStr"/>
    </row>
    <row r="18" ht="26" customHeight="1">
      <c r="A18" s="14" t="inlineStr">
        <is>
          <t>Max WARM ISCHEMIA time — kill to preservation (minutes)</t>
        </is>
      </c>
      <c r="B18" s="15" t="inlineStr"/>
      <c r="C18" s="15" t="inlineStr"/>
      <c r="D18" s="15" t="inlineStr"/>
    </row>
    <row r="19" ht="26" customHeight="1">
      <c r="A19" s="16" t="inlineStr">
        <is>
          <t>Preservation method at the plant (chill / saline / PBS / perfusion / freeze)</t>
        </is>
      </c>
      <c r="B19" s="15" t="inlineStr"/>
      <c r="C19" s="15" t="inlineStr"/>
      <c r="D19" s="15" t="inlineStr"/>
    </row>
    <row r="20" ht="26" customHeight="1">
      <c r="A20" s="14" t="inlineStr">
        <is>
          <t>Units needed per WEEK</t>
        </is>
      </c>
      <c r="B20" s="15" t="inlineStr"/>
      <c r="C20" s="15" t="inlineStr"/>
      <c r="D20" s="15" t="inlineStr"/>
    </row>
    <row r="21" ht="26" customHeight="1">
      <c r="A21" s="16" t="inlineStr">
        <is>
          <t>Units needed per MONTH (steady-state)</t>
        </is>
      </c>
      <c r="B21" s="15" t="inlineStr"/>
      <c r="C21" s="15" t="inlineStr"/>
      <c r="D21" s="15" t="inlineStr"/>
    </row>
    <row r="22" ht="26" customHeight="1">
      <c r="A22" s="14" t="inlineStr">
        <is>
          <t>Acceptable defect rate / rejection criteria</t>
        </is>
      </c>
      <c r="B22" s="15" t="inlineStr"/>
      <c r="C22" s="15" t="inlineStr"/>
      <c r="D22" s="15" t="inlineStr"/>
    </row>
    <row r="23" ht="26" customHeight="1">
      <c r="A23" s="16" t="inlineStr">
        <is>
          <t>Disqualifiers (pathology, abscess, trim damage, condemnation)</t>
        </is>
      </c>
      <c r="B23" s="15" t="inlineStr"/>
      <c r="C23" s="15" t="inlineStr"/>
      <c r="D23" s="15" t="inlineStr"/>
    </row>
    <row r="24" ht="26" customHeight="1">
      <c r="A24" s="14" t="inlineStr">
        <is>
          <t>Domestic use only, or EU-bound?  (drives the inspection requirement)</t>
        </is>
      </c>
      <c r="B24" s="15" t="inlineStr"/>
      <c r="C24" s="15" t="inlineStr"/>
      <c r="D24" s="15" t="inlineStr"/>
    </row>
    <row r="26" ht="20" customHeight="1">
      <c r="A26" s="3" t="inlineStr">
        <is>
          <t>THE DECISIONS THIS UNLOCKS</t>
        </is>
      </c>
    </row>
    <row r="27" ht="34" customHeight="1">
      <c r="A27" s="17" t="inlineStr">
        <is>
          <t>DECISION 1 — Sow vs market hog</t>
        </is>
      </c>
      <c r="B27" s="5" t="inlineStr">
        <is>
          <t>Circle one:   MARKET HOG ONLY   /   SOW ACCEPTABLE   /   SOW PREFERRED (urogyn)   /   DEPENDS BY BLOCK (specify above)</t>
        </is>
      </c>
      <c r="C27" s="65" t="n"/>
      <c r="D27" s="64" t="n"/>
    </row>
    <row r="28" ht="48" customHeight="1">
      <c r="A28" s="17" t="inlineStr">
        <is>
          <t>If MARKET HOG ONLY →</t>
        </is>
      </c>
      <c r="B28" s="5"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5" t="n"/>
      <c r="D28" s="64" t="n"/>
    </row>
    <row r="29" ht="36" customHeight="1">
      <c r="A29" s="17" t="inlineStr">
        <is>
          <t>If SOW ACCEPTABLE →</t>
        </is>
      </c>
      <c r="B29" s="5" t="inlineStr">
        <is>
          <t>The pool roughly doubles and several in-band plants come back: Gunnoe (~450-590/wk), Kansas City Sausage (~3,500-5,000/wk), plus the TN sow plants. Sow anatomy is also closer to ADULT HUMAN SCALE than a 250 lb market hog, which may be a product advantage.</t>
        </is>
      </c>
      <c r="C29" s="65" t="n"/>
      <c r="D29" s="64" t="n"/>
    </row>
    <row r="30" ht="36" customHeight="1">
      <c r="A30" s="17" t="inlineStr">
        <is>
          <t>DECISION 2 — EU exposure</t>
        </is>
      </c>
      <c r="B30" s="5" t="inlineStr">
        <is>
          <t>Which blocks (if any) are destined for EUROPE?  EU-bound product cannot come from Nahunta (state-inspected, NC sales only) and requires a federally-inspected plant plus APHIS/TRACES listing. Domestic-only product has no such constraint.</t>
        </is>
      </c>
      <c r="C30" s="65" t="n"/>
      <c r="D30" s="64" t="n"/>
    </row>
    <row r="31" ht="36" customHeight="1">
      <c r="A31" s="17" t="inlineStr">
        <is>
          <t>DECISION 3 — Ischemia tolerance</t>
        </is>
      </c>
      <c r="B31" s="5" t="inlineStr">
        <is>
          <t>If max warm ischemia is TIGHT (minutes), Model A on-site harvesting is effectively mandatory and buy-direct is out. If it is loose (hours), buy-direct and Model B both stay viable — which materially widens the supplier pool.</t>
        </is>
      </c>
      <c r="C31" s="65" t="n"/>
      <c r="D31" s="64" t="n"/>
    </row>
    <row r="33" ht="22" customHeight="1">
      <c r="A33" s="18"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9" t="inlineStr">
        <is>
          <t>STRONG FIT</t>
        </is>
      </c>
      <c r="B4" s="20" t="inlineStr">
        <is>
          <t>Volume in band, hogs, USDA-inspected, welfare signal present, plausible for Model A or B. Prioritize outreach.</t>
        </is>
      </c>
    </row>
    <row r="5" ht="26" customHeight="1">
      <c r="A5" s="21" t="inlineStr">
        <is>
          <t>POSSIBLE</t>
        </is>
      </c>
      <c r="B5" s="20" t="inlineStr">
        <is>
          <t>Meets most criteria; one or more items unverified (usually volume or cert). Worth a call.</t>
        </is>
      </c>
    </row>
    <row r="6" ht="26" customHeight="1">
      <c r="A6" s="21" t="inlineStr">
        <is>
          <t>CAUTION</t>
        </is>
      </c>
      <c r="B6" s="20" t="inlineStr">
        <is>
          <t>A material mismatch (volume edge, cert gap, or culture concern) — call, but temper expectations.</t>
        </is>
      </c>
    </row>
    <row r="7" ht="26" customHeight="1">
      <c r="A7" s="22" t="inlineStr">
        <is>
          <t>OUT / FLAG</t>
        </is>
      </c>
      <c r="B7" s="20" t="inlineStr">
        <is>
          <t>Fails a hard criterion (wrong species, no hog slaughter, far outside volume band, or a certification gap that matters).</t>
        </is>
      </c>
    </row>
    <row r="8" ht="26" customHeight="1">
      <c r="A8" s="23" t="inlineStr">
        <is>
          <t>REFERENCE</t>
        </is>
      </c>
      <c r="B8" s="20" t="inlineStr">
        <is>
          <t>Existing/known supplier included as a benchmark (Nahunta, Martin's).</t>
        </is>
      </c>
    </row>
    <row r="10" ht="20" customHeight="1">
      <c r="A10" s="3" t="inlineStr">
        <is>
          <t>VOLUME TIERS  (capacity is OPEN — tier classifies, it does not exclude)</t>
        </is>
      </c>
    </row>
    <row r="11" ht="48" customHeight="1">
      <c r="A11" s="24" t="inlineStr">
        <is>
          <t>SMALL — 0-300 hogs/week</t>
        </is>
      </c>
      <c r="B11" s="20"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36" customHeight="1">
      <c r="A12" s="25" t="inlineStr">
        <is>
          <t>MEDIUM — 350-2,500 hogs/week</t>
        </is>
      </c>
      <c r="B12" s="20"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c r="A13" s="26" t="inlineStr">
        <is>
          <t>MEDIUM-HIGH — 2,500-5,000 hogs/week</t>
        </is>
      </c>
      <c r="B13" s="20"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c r="A14" s="27" t="inlineStr">
        <is>
          <t>HIGH — over 5,000 hogs/week</t>
        </is>
      </c>
      <c r="B14" s="20"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c r="A15" s="28" t="inlineStr">
        <is>
          <t>unknown (confirm)</t>
        </is>
      </c>
      <c r="B15" s="20" t="inlineStr">
        <is>
          <t>Weekly hog throughput is not published for most small and custom plants. Set the tier on the qualifying call — ask 'how many hogs did you kill LAST WEEK?', not capacity, and not head across all species.</t>
        </is>
      </c>
    </row>
    <row r="16" ht="36" customHeight="1">
      <c r="A16" s="28" t="inlineStr">
        <is>
          <t>NOTE — boundaries</t>
        </is>
      </c>
      <c r="B16" s="20" t="inlineStr">
        <is>
          <t>301-349/wk sits between Small and Medium, and 2,500/wk is the Medium / Medium-High hinge. Anything landing on a boundary is judged on its other merits (welfare, certification, organ capability, model fit) rather than forced into a band.</t>
        </is>
      </c>
    </row>
    <row r="18" ht="20" customHeight="1">
      <c r="A18" s="3" t="inlineStr">
        <is>
          <t>CERTIFICATION COLUMN CODES</t>
        </is>
      </c>
    </row>
    <row r="19" ht="24" customHeight="1">
      <c r="A19" s="14" t="inlineStr">
        <is>
          <t>USDA ✓</t>
        </is>
      </c>
      <c r="B19" s="20" t="inlineStr">
        <is>
          <t>Federally inspected (FSIS) slaughter — grant of inspection.</t>
        </is>
      </c>
    </row>
    <row r="20" ht="24" customHeight="1">
      <c r="A20" s="14" t="inlineStr">
        <is>
          <t>State ✓</t>
        </is>
      </c>
      <c r="B20" s="20" t="inlineStr">
        <is>
          <t>State meat-inspection program (equal-to FSIS for intrastate sale).</t>
        </is>
      </c>
    </row>
    <row r="21" ht="24" customHeight="1">
      <c r="A21" s="14" t="inlineStr">
        <is>
          <t>Custom-exempt</t>
        </is>
      </c>
      <c r="B21" s="20" t="inlineStr">
        <is>
          <t>Custom/exempt plant — NOT continuously inspected; product not for general commerce. FLAG for our use.</t>
        </is>
      </c>
    </row>
    <row r="22" ht="24" customHeight="1">
      <c r="A22" s="14" t="inlineStr">
        <is>
          <t>APHIS ✓ / n/a</t>
        </is>
      </c>
      <c r="B22" s="20" t="inlineStr">
        <is>
          <t>APHIS certification relates to animal-health/export programs; note where relevant. 'n/a' = not the applicable regime for this plant.</t>
        </is>
      </c>
    </row>
    <row r="23" ht="24" customHeight="1">
      <c r="A23" s="14" t="inlineStr">
        <is>
          <t>unknown</t>
        </is>
      </c>
      <c r="B23" s="20" t="inlineStr">
        <is>
          <t>Not published / not confirmed — MUST verify by phone.</t>
        </is>
      </c>
    </row>
    <row r="25" ht="20" customHeight="1">
      <c r="A25" s="3" t="inlineStr">
        <is>
          <t>HOW 'FIT' IS JUDGED  (weighting, not a hard formula)</t>
        </is>
      </c>
    </row>
    <row r="26" ht="24" customHeight="1">
      <c r="A26" s="14" t="inlineStr">
        <is>
          <t>Hog slaughter present</t>
        </is>
      </c>
      <c r="B26" s="20" t="inlineStr">
        <is>
          <t>Hard gate — no hogs, out of scope.</t>
        </is>
      </c>
    </row>
    <row r="27" ht="24" customHeight="1">
      <c r="A27" s="14" t="inlineStr">
        <is>
          <t>Weekly volume</t>
        </is>
      </c>
      <c r="B27" s="20" t="inlineStr">
        <is>
          <t>NOT a gate — capacity is open. Recorded as a TIER (Small / Medium / High) that shapes the operating model and whether aggregation is needed.</t>
        </is>
      </c>
    </row>
    <row r="28" ht="24" customHeight="1">
      <c r="A28" s="14" t="inlineStr">
        <is>
          <t>USDA / APHIS status</t>
        </is>
      </c>
      <c r="B28" s="20" t="inlineStr">
        <is>
          <t>Preferred; a gap is flagged, not always fatal (depends on our use + Model).</t>
        </is>
      </c>
    </row>
    <row r="29" ht="24" customHeight="1">
      <c r="A29" s="14" t="inlineStr">
        <is>
          <t>Welfare &amp; culture</t>
        </is>
      </c>
      <c r="B29" s="20" t="inlineStr">
        <is>
          <t>Strong tie-breaker — the Nahunta differentiator.</t>
        </is>
      </c>
    </row>
    <row r="30" ht="24" customHeight="1">
      <c r="A30" s="14" t="inlineStr">
        <is>
          <t>Model A or B feasible</t>
        </is>
      </c>
      <c r="B30" s="20" t="inlineStr">
        <is>
          <t>At least one operating model must be plausible.</t>
        </is>
      </c>
    </row>
    <row r="31" ht="24" customHeight="1">
      <c r="A31" s="14" t="inlineStr">
        <is>
          <t>Organ/tissue capability</t>
        </is>
      </c>
      <c r="B31" s="20" t="inlineStr">
        <is>
          <t>Bonus; especially valuable for pelvic/bariatric/thoracic blocks.</t>
        </is>
      </c>
    </row>
  </sheetData>
  <mergeCells count="5">
    <mergeCell ref="A25:B25"/>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8"/>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15" customWidth="1" min="5" max="5"/>
    <col width="7" customWidth="1" min="6" max="6"/>
    <col width="11" customWidth="1" min="7" max="7"/>
    <col width="34" customWidth="1" min="8" max="8"/>
    <col width="30" customWidth="1" min="9" max="9"/>
    <col width="22" customWidth="1" min="10" max="10"/>
    <col width="20" customWidth="1" min="11" max="11"/>
    <col width="16" customWidth="1" min="12" max="12"/>
    <col width="16" customWidth="1" min="13" max="13"/>
    <col width="22" customWidth="1" min="14" max="14"/>
    <col width="14" customWidth="1" min="15" max="15"/>
    <col width="8" customWidth="1" min="16" max="16"/>
    <col width="40" customWidth="1" min="17" max="17"/>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Volume tier</t>
        </is>
      </c>
      <c r="F4" s="6" t="inlineStr">
        <is>
          <t>Hogs?</t>
        </is>
      </c>
      <c r="G4" s="6" t="inlineStr">
        <is>
          <t>USDA insp.</t>
        </is>
      </c>
      <c r="H4" s="6" t="inlineStr">
        <is>
          <t>USDA / FSIS enforcement</t>
        </is>
      </c>
      <c r="I4" s="6" t="inlineStr">
        <is>
          <t>APHIS export status</t>
        </is>
      </c>
      <c r="J4" s="6" t="inlineStr">
        <is>
          <t>Welfare &amp; culture</t>
        </is>
      </c>
      <c r="K4" s="6" t="inlineStr">
        <is>
          <t>Organ / tissue harvest</t>
        </is>
      </c>
      <c r="L4" s="6" t="inlineStr">
        <is>
          <t>Model A
(we harvest on-site)</t>
        </is>
      </c>
      <c r="M4" s="6" t="inlineStr">
        <is>
          <t>Model B
(they harvest)</t>
        </is>
      </c>
      <c r="N4" s="6" t="inlineStr">
        <is>
          <t>Contact</t>
        </is>
      </c>
      <c r="O4" s="6" t="inlineStr">
        <is>
          <t>Fit</t>
        </is>
      </c>
      <c r="P4" s="6" t="inlineStr">
        <is>
          <t>Conf.</t>
        </is>
      </c>
      <c r="Q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29" t="inlineStr">
        <is>
          <t>MEDIUM
(350-2,500/wk)</t>
        </is>
      </c>
      <c r="F6" s="5" t="inlineStr">
        <is>
          <t>Yes</t>
        </is>
      </c>
      <c r="G6" s="5" t="inlineStr">
        <is>
          <t>STATE only
(NOT USDA)</t>
        </is>
      </c>
      <c r="H6" s="5" t="inlineStr">
        <is>
          <t>None found in public FSIS / recall / AWI sources</t>
        </is>
      </c>
      <c r="I6" s="5" t="inlineStr">
        <is>
          <t>Not on public export lists — verify w/ APHIS VS (state-inspected)</t>
        </is>
      </c>
      <c r="J6" s="5" t="inlineStr">
        <is>
          <t>Strong — 3rd-gen Pierce family, decades of staff tenure; the culture benchmark</t>
        </is>
      </c>
      <c r="K6" s="5" t="inlineStr">
        <is>
          <t>Incumbent — most organ needs already covered here</t>
        </is>
      </c>
      <c r="L6" s="5" t="inlineStr">
        <is>
          <t>Yes (already custom-slaughters 3rd-party animals)</t>
        </is>
      </c>
      <c r="M6" s="5" t="inlineStr">
        <is>
          <t>Yes</t>
        </is>
      </c>
      <c r="N6" s="5" t="inlineStr">
        <is>
          <t>(919) 242-4735
nahuntapork.com</t>
        </is>
      </c>
      <c r="O6" s="30" t="inlineStr">
        <is>
          <t>REFERENCE</t>
        </is>
      </c>
      <c r="P6" s="5" t="inlineStr">
        <is>
          <t>High / est.</t>
        </is>
      </c>
      <c r="Q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29" t="inlineStr">
        <is>
          <t>MEDIUM
(350-2,500/wk)</t>
        </is>
      </c>
      <c r="F7" s="5" t="inlineStr">
        <is>
          <t>Yes</t>
        </is>
      </c>
      <c r="G7" s="5" t="inlineStr">
        <is>
          <t>USDA ✓
(T-A, TA-6720)</t>
        </is>
      </c>
      <c r="H7" s="5" t="inlineStr">
        <is>
          <t>None found in public FSIS / recall / AWI sources</t>
        </is>
      </c>
      <c r="I7" s="5" t="inlineStr">
        <is>
          <t>FSIS-listed (TA-6720); NOT on public export lists — verify w/ APHIS VS</t>
        </is>
      </c>
      <c r="J7" s="5" t="inlineStr">
        <is>
          <t>Incumbent — 'ok' experience; quality issues harder to resolve (weaker culture/responsiveness than Nahunta); ~75 staff</t>
        </is>
      </c>
      <c r="K7" s="5" t="inlineStr">
        <is>
          <t>Pork slaughter + processing + wholesale</t>
        </is>
      </c>
      <c r="L7" s="5" t="inlineStr">
        <is>
          <t>Possible</t>
        </is>
      </c>
      <c r="M7" s="5" t="inlineStr">
        <is>
          <t>Yes (incumbent)</t>
        </is>
      </c>
      <c r="N7" s="5" t="inlineStr">
        <is>
          <t>(910) 980-1501
beth@martinspork.com · martinspork.com</t>
        </is>
      </c>
      <c r="O7" s="30" t="inlineStr">
        <is>
          <t>REFERENCE</t>
        </is>
      </c>
      <c r="P7" s="5" t="inlineStr">
        <is>
          <t>High</t>
        </is>
      </c>
      <c r="Q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31" t="inlineStr">
        <is>
          <t>SMALL
(0-300/wk)</t>
        </is>
      </c>
      <c r="F9" s="5" t="inlineStr">
        <is>
          <t>Yes</t>
        </is>
      </c>
      <c r="G9" s="5" t="inlineStr">
        <is>
          <t>USDA ✓</t>
        </is>
      </c>
      <c r="H9" s="5" t="inlineStr">
        <is>
          <t>None found (markets AWA / Grandin-designed humane facility)</t>
        </is>
      </c>
      <c r="I9" s="5" t="inlineStr">
        <is>
          <t>FSIS Est. M7975A; not on public export lists — verify</t>
        </is>
      </c>
      <c r="J9" s="5" t="inlineStr">
        <is>
          <t>Strong — AWA-approved, written humane-handling policy, Temple-Grandin-influenced design</t>
        </is>
      </c>
      <c r="K9" s="5" t="inlineStr">
        <is>
          <t>Runs a SEPARATE dedicated harvesting facility (distinct from processing)</t>
        </is>
      </c>
      <c r="L9" s="5" t="inlineStr">
        <is>
          <t>Yes — separate harvest site suits on-site access</t>
        </is>
      </c>
      <c r="M9" s="5" t="inlineStr">
        <is>
          <t>Yes — contract harvest plausible</t>
        </is>
      </c>
      <c r="N9" s="5" t="inlineStr">
        <is>
          <t>(336) 628-4949
piedmontcustommeats.com</t>
        </is>
      </c>
      <c r="O9" s="29" t="inlineStr">
        <is>
          <t>STRONG FIT</t>
        </is>
      </c>
      <c r="P9" s="5" t="inlineStr">
        <is>
          <t>High (struct.)</t>
        </is>
      </c>
      <c r="Q9" s="5"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 customHeight="1">
      <c r="A10" s="7" t="inlineStr">
        <is>
          <t>Acre Station Meat Farm</t>
        </is>
      </c>
      <c r="B10" s="5" t="inlineStr">
        <is>
          <t>Pinetown, NC</t>
        </is>
      </c>
      <c r="C10" s="5" t="inlineStr">
        <is>
          <t>USDA-equivalent (Talmadge-Aiken)</t>
        </is>
      </c>
      <c r="D10" s="5" t="inlineStr">
        <is>
          <t>~400 (80 hogs/day cap)</t>
        </is>
      </c>
      <c r="E10" s="31" t="inlineStr">
        <is>
          <t>SMALL
(0-300/wk)</t>
        </is>
      </c>
      <c r="F10" s="5" t="inlineStr">
        <is>
          <t>Yes</t>
        </is>
      </c>
      <c r="G10" s="5" t="inlineStr">
        <is>
          <t>USDA ✓
(T-A prog.)</t>
        </is>
      </c>
      <c r="H10" s="5" t="inlineStr">
        <is>
          <t>None found (Est. M19904)</t>
        </is>
      </c>
      <c r="I10" s="5" t="inlineStr">
        <is>
          <t>Not on public export lists — verify w/ APHIS VS</t>
        </is>
      </c>
      <c r="J10" s="5" t="inlineStr">
        <is>
          <t>AWA (Animal Welfare Approved) certified; family farm</t>
        </is>
      </c>
      <c r="K10" s="5" t="inlineStr">
        <is>
          <t>Plausible — custom multi-species</t>
        </is>
      </c>
      <c r="L10" s="5" t="inlineStr">
        <is>
          <t>Plausible</t>
        </is>
      </c>
      <c r="M10" s="5" t="inlineStr">
        <is>
          <t>Plausible</t>
        </is>
      </c>
      <c r="N10" s="5" t="inlineStr">
        <is>
          <t>(252) 927-3700
acrestationmeatfarm.com</t>
        </is>
      </c>
      <c r="O10" s="32" t="inlineStr">
        <is>
          <t>POSSIBLE</t>
        </is>
      </c>
      <c r="P10" s="5" t="inlineStr">
        <is>
          <t>Med</t>
        </is>
      </c>
      <c r="Q10" s="5" t="inlineStr">
        <is>
          <t>SMALL tier — deep study found ~150/wk ACTUAL (the ~400/wk figure was a nameplate '80 hogs OR 7 cattle'/day x5). Still a welfare-forward TA plant. UNRESOLVED: two directories label it CUSTOM EXEMPT, which would kill saleability/exportability — confirm first.</t>
        </is>
      </c>
    </row>
    <row r="11" ht="58" customHeight="1">
      <c r="A11" s="7" t="inlineStr">
        <is>
          <t>Custom Quality Packers, LLC</t>
        </is>
      </c>
      <c r="B11" s="5" t="inlineStr">
        <is>
          <t>Sims, NC</t>
        </is>
      </c>
      <c r="C11" s="5" t="inlineStr">
        <is>
          <t>Slaughter (USDA/NCDA unclear)</t>
        </is>
      </c>
      <c r="D11" s="5" t="inlineStr">
        <is>
          <t>unknown</t>
        </is>
      </c>
      <c r="E11" s="33" t="inlineStr">
        <is>
          <t>unknown
(confirm)</t>
        </is>
      </c>
      <c r="F11" s="5" t="inlineStr">
        <is>
          <t>Yes (HOGS ONLY)</t>
        </is>
      </c>
      <c r="G11" s="5" t="inlineStr">
        <is>
          <t>unknown</t>
        </is>
      </c>
      <c r="H11" s="5" t="inlineStr">
        <is>
          <t>None found (Est. M20129)</t>
        </is>
      </c>
      <c r="I11" s="5" t="inlineStr">
        <is>
          <t>Not on public export lists — verify</t>
        </is>
      </c>
      <c r="J11" s="5" t="inlineStr">
        <is>
          <t>unknown</t>
        </is>
      </c>
      <c r="K11" s="5" t="inlineStr">
        <is>
          <t>Plausible; skin-and-scald offered</t>
        </is>
      </c>
      <c r="L11" s="5" t="inlineStr">
        <is>
          <t>Plausible</t>
        </is>
      </c>
      <c r="M11" s="5" t="inlineStr">
        <is>
          <t>Plausible</t>
        </is>
      </c>
      <c r="N11" s="5" t="inlineStr">
        <is>
          <t>(252) 235-3558</t>
        </is>
      </c>
      <c r="O11" s="32" t="inlineStr">
        <is>
          <t>POSSIBLE</t>
        </is>
      </c>
      <c r="P11" s="5" t="inlineStr">
        <is>
          <t>Med</t>
        </is>
      </c>
      <c r="Q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33" t="inlineStr">
        <is>
          <t>unknown
(confirm)</t>
        </is>
      </c>
      <c r="F12" s="5" t="inlineStr">
        <is>
          <t>Yes (hogs+goats)</t>
        </is>
      </c>
      <c r="G12" s="5" t="inlineStr">
        <is>
          <t>unknown</t>
        </is>
      </c>
      <c r="H12" s="5" t="inlineStr">
        <is>
          <t>None found (Est. M21747)</t>
        </is>
      </c>
      <c r="I12" s="5" t="inlineStr">
        <is>
          <t>Not on public export lists — verify</t>
        </is>
      </c>
      <c r="J12" s="5" t="inlineStr">
        <is>
          <t>unknown</t>
        </is>
      </c>
      <c r="K12" s="5" t="inlineStr">
        <is>
          <t>Plausible; skin-and-scald</t>
        </is>
      </c>
      <c r="L12" s="5" t="inlineStr">
        <is>
          <t>Plausible</t>
        </is>
      </c>
      <c r="M12" s="5" t="inlineStr">
        <is>
          <t>Plausible</t>
        </is>
      </c>
      <c r="N12" s="5" t="inlineStr">
        <is>
          <t>(252) 237-2982</t>
        </is>
      </c>
      <c r="O12" s="32" t="inlineStr">
        <is>
          <t>POSSIBLE</t>
        </is>
      </c>
      <c r="P12" s="5" t="inlineStr">
        <is>
          <t>Med</t>
        </is>
      </c>
      <c r="Q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31" t="inlineStr">
        <is>
          <t>SMALL
(0-300/wk)</t>
        </is>
      </c>
      <c r="F13" s="5" t="inlineStr">
        <is>
          <t>Yes</t>
        </is>
      </c>
      <c r="G13" s="5" t="inlineStr">
        <is>
          <t>USDA ✓</t>
        </is>
      </c>
      <c r="H13" s="34" t="inlineStr">
        <is>
          <t>⚠ Humane-handling NOS ~Aug 2020 (Est. M21848); PETA-documented pig shot 3× (2024). Recurring.</t>
        </is>
      </c>
      <c r="I13" s="5" t="inlineStr">
        <is>
          <t>Not on public export lists — verify</t>
        </is>
      </c>
      <c r="J13" s="5" t="inlineStr">
        <is>
          <t>AWA + Certified Organic — strong welfare signals</t>
        </is>
      </c>
      <c r="K13" s="5" t="inlineStr">
        <is>
          <t>Plausible</t>
        </is>
      </c>
      <c r="L13" s="5" t="inlineStr">
        <is>
          <t>Plausible</t>
        </is>
      </c>
      <c r="M13" s="5" t="inlineStr">
        <is>
          <t>Plausible</t>
        </is>
      </c>
      <c r="N13" s="5" t="inlineStr">
        <is>
          <t>(828) 634-2034
maysmeats.net</t>
        </is>
      </c>
      <c r="O13" s="32" t="inlineStr">
        <is>
          <t>CAUTION</t>
        </is>
      </c>
      <c r="P13" s="5" t="inlineStr">
        <is>
          <t>Med</t>
        </is>
      </c>
      <c r="Q13" s="5" t="inlineStr">
        <is>
          <t>SMALL tier. USDA (in/out NC). Strong welfare CERTS but see enforcement column — humane-handling NOS ~2020 + PETA 2024 report is at odds with the AWA/Organic branding. Welfare, not volume, is what holds this at CAUTION.</t>
        </is>
      </c>
    </row>
    <row r="14" ht="58" customHeight="1">
      <c r="A14" s="7" t="inlineStr">
        <is>
          <t>M.L. Mitchell &amp; Son</t>
        </is>
      </c>
      <c r="B14" s="5" t="inlineStr">
        <is>
          <t>Walnut Cove, NC</t>
        </is>
      </c>
      <c r="C14" s="5" t="inlineStr">
        <is>
          <t>USDA-inspected</t>
        </is>
      </c>
      <c r="D14" s="5" t="inlineStr">
        <is>
          <t>unknown</t>
        </is>
      </c>
      <c r="E14" s="33" t="inlineStr">
        <is>
          <t>unknown
(confirm)</t>
        </is>
      </c>
      <c r="F14" s="5" t="inlineStr">
        <is>
          <t>Yes</t>
        </is>
      </c>
      <c r="G14" s="5" t="inlineStr">
        <is>
          <t>USDA ✓</t>
        </is>
      </c>
      <c r="H14" s="34" t="inlineStr">
        <is>
          <t>⚠ Slaughter suspension Aug 2021 — egregious (failed goat stun, conscious throat-cut). PETA→DA.</t>
        </is>
      </c>
      <c r="I14" s="5" t="inlineStr">
        <is>
          <t>Not on public export lists — verify</t>
        </is>
      </c>
      <c r="J14" s="5" t="inlineStr">
        <is>
          <t>Family business (culture signal)</t>
        </is>
      </c>
      <c r="K14" s="5" t="inlineStr">
        <is>
          <t>Plausible</t>
        </is>
      </c>
      <c r="L14" s="5" t="inlineStr">
        <is>
          <t>Plausible</t>
        </is>
      </c>
      <c r="M14" s="5" t="inlineStr">
        <is>
          <t>Plausible</t>
        </is>
      </c>
      <c r="N14" s="5" t="inlineStr">
        <is>
          <t>(336) 591-7420</t>
        </is>
      </c>
      <c r="O14" s="32" t="inlineStr">
        <is>
          <t>CAUTION</t>
        </is>
      </c>
      <c r="P14" s="5" t="inlineStr">
        <is>
          <t>Med</t>
        </is>
      </c>
      <c r="Q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31" t="inlineStr">
        <is>
          <t>SMALL
(0-300/wk)</t>
        </is>
      </c>
      <c r="F15" s="5" t="inlineStr">
        <is>
          <t>Yes</t>
        </is>
      </c>
      <c r="G15" s="5" t="inlineStr">
        <is>
          <t>STATE only
(NOT USDA)</t>
        </is>
      </c>
      <c r="H15" s="5" t="inlineStr">
        <is>
          <t>None found (state-inspected; federal FSIS enforcement n/a)</t>
        </is>
      </c>
      <c r="I15" s="5" t="inlineStr">
        <is>
          <t>State-inspected; not on public export lists — verify</t>
        </is>
      </c>
      <c r="J15" s="5" t="inlineStr">
        <is>
          <t>Family-owned (Key family); custom slaughter for independent farmers</t>
        </is>
      </c>
      <c r="K15" s="5" t="inlineStr">
        <is>
          <t>Plausible</t>
        </is>
      </c>
      <c r="L15" s="5" t="inlineStr">
        <is>
          <t>Plausible</t>
        </is>
      </c>
      <c r="M15" s="5" t="inlineStr">
        <is>
          <t>Plausible</t>
        </is>
      </c>
      <c r="N15" s="5" t="inlineStr">
        <is>
          <t>(910) 464-3507
keypackingcompany.com</t>
        </is>
      </c>
      <c r="O15" s="32" t="inlineStr">
        <is>
          <t>POSSIBLE</t>
        </is>
      </c>
      <c r="P15" s="5" t="inlineStr">
        <is>
          <t>Med</t>
        </is>
      </c>
      <c r="Q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33" t="inlineStr">
        <is>
          <t>unknown
(confirm)</t>
        </is>
      </c>
      <c r="F16" s="5" t="inlineStr">
        <is>
          <t>Yes</t>
        </is>
      </c>
      <c r="G16" s="5" t="inlineStr">
        <is>
          <t>probable USDA
(unconfirmed)</t>
        </is>
      </c>
      <c r="H16" s="5" t="inlineStr">
        <is>
          <t>None found in public sources</t>
        </is>
      </c>
      <c r="I16" s="5" t="inlineStr">
        <is>
          <t>Not on public export lists — verify</t>
        </is>
      </c>
      <c r="J16" s="5" t="inlineStr">
        <is>
          <t>unknown</t>
        </is>
      </c>
      <c r="K16" s="5" t="inlineStr">
        <is>
          <t>Plausible; whole-hog (country ham)</t>
        </is>
      </c>
      <c r="L16" s="5" t="inlineStr">
        <is>
          <t>Plausible</t>
        </is>
      </c>
      <c r="M16" s="5" t="inlineStr">
        <is>
          <t>Plausible</t>
        </is>
      </c>
      <c r="N16" s="5" t="inlineStr">
        <is>
          <t>(252) 332-2978</t>
        </is>
      </c>
      <c r="O16" s="32" t="inlineStr">
        <is>
          <t>POSSIBLE</t>
        </is>
      </c>
      <c r="P16" s="5" t="inlineStr">
        <is>
          <t>Low-Med</t>
        </is>
      </c>
      <c r="Q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33" t="inlineStr">
        <is>
          <t>unknown
(confirm)</t>
        </is>
      </c>
      <c r="F17" s="5" t="inlineStr">
        <is>
          <t>Yes</t>
        </is>
      </c>
      <c r="G17" s="5" t="inlineStr">
        <is>
          <t>unknown</t>
        </is>
      </c>
      <c r="H17" s="34" t="inlineStr">
        <is>
          <t>⚠ REPEAT humane-handling suspensions 2009, 2015, 2018 (AWI list; Est. 19511M)</t>
        </is>
      </c>
      <c r="I17" s="5" t="inlineStr">
        <is>
          <t>Not on public export lists — verify</t>
        </is>
      </c>
      <c r="J17" s="5" t="inlineStr">
        <is>
          <t>unknown</t>
        </is>
      </c>
      <c r="K17" s="5" t="inlineStr">
        <is>
          <t>Plausible</t>
        </is>
      </c>
      <c r="L17" s="5" t="inlineStr">
        <is>
          <t>Plausible</t>
        </is>
      </c>
      <c r="M17" s="5" t="inlineStr">
        <is>
          <t>Plausible</t>
        </is>
      </c>
      <c r="N17" s="5" t="inlineStr">
        <is>
          <t>(336) 667-1346</t>
        </is>
      </c>
      <c r="O17" s="32" t="inlineStr">
        <is>
          <t>CAUTION</t>
        </is>
      </c>
      <c r="P17" s="5" t="inlineStr">
        <is>
          <t>Low-Med</t>
        </is>
      </c>
      <c r="Q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33" t="inlineStr">
        <is>
          <t>unknown
(confirm)</t>
        </is>
      </c>
      <c r="F18" s="5" t="inlineStr">
        <is>
          <t>Yes</t>
        </is>
      </c>
      <c r="G18" s="5" t="inlineStr">
        <is>
          <t>unknown</t>
        </is>
      </c>
      <c r="H18" s="5" t="inlineStr">
        <is>
          <t>None found in public sources</t>
        </is>
      </c>
      <c r="I18" s="5" t="inlineStr">
        <is>
          <t>Not on public export lists — verify</t>
        </is>
      </c>
      <c r="J18" s="5" t="inlineStr">
        <is>
          <t>unknown</t>
        </is>
      </c>
      <c r="K18" s="5" t="inlineStr">
        <is>
          <t>Plausible; skin-and-scald</t>
        </is>
      </c>
      <c r="L18" s="5" t="inlineStr">
        <is>
          <t>Plausible</t>
        </is>
      </c>
      <c r="M18" s="5" t="inlineStr">
        <is>
          <t>Plausible</t>
        </is>
      </c>
      <c r="N18" s="5" t="inlineStr">
        <is>
          <t>(704) 786-8616</t>
        </is>
      </c>
      <c r="O18" s="32" t="inlineStr">
        <is>
          <t>POSSIBLE</t>
        </is>
      </c>
      <c r="P18" s="5" t="inlineStr">
        <is>
          <t>Low-Med</t>
        </is>
      </c>
      <c r="Q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33" t="inlineStr">
        <is>
          <t>unknown
(confirm)</t>
        </is>
      </c>
      <c r="F19" s="5" t="inlineStr">
        <is>
          <t>Yes</t>
        </is>
      </c>
      <c r="G19" s="5" t="inlineStr">
        <is>
          <t>unknown</t>
        </is>
      </c>
      <c r="H19" s="34" t="inlineStr">
        <is>
          <t>⚠ FSIS suspension ~Dec 2025 (Est. M46085; cause unspecified in public snippets)</t>
        </is>
      </c>
      <c r="I19" s="5" t="inlineStr">
        <is>
          <t>Not on public export lists — verify</t>
        </is>
      </c>
      <c r="J19" s="5" t="inlineStr">
        <is>
          <t>AWA (welfare signal)</t>
        </is>
      </c>
      <c r="K19" s="5" t="inlineStr">
        <is>
          <t>Plausible</t>
        </is>
      </c>
      <c r="L19" s="5" t="inlineStr">
        <is>
          <t>Plausible</t>
        </is>
      </c>
      <c r="M19" s="5" t="inlineStr">
        <is>
          <t>Plausible</t>
        </is>
      </c>
      <c r="N19" s="5" t="inlineStr">
        <is>
          <t>(336) 949-9696</t>
        </is>
      </c>
      <c r="O19" s="32" t="inlineStr">
        <is>
          <t>CAUTION</t>
        </is>
      </c>
      <c r="P19" s="5" t="inlineStr">
        <is>
          <t>Low-Med</t>
        </is>
      </c>
      <c r="Q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33" t="inlineStr">
        <is>
          <t>unknown
(confirm)</t>
        </is>
      </c>
      <c r="F20" s="5" t="inlineStr">
        <is>
          <t>Yes</t>
        </is>
      </c>
      <c r="G20" s="5" t="inlineStr">
        <is>
          <t>unknown</t>
        </is>
      </c>
      <c r="H20" s="5" t="inlineStr">
        <is>
          <t>None found (the M7457A docs are a different WV plant)</t>
        </is>
      </c>
      <c r="I20" s="5" t="inlineStr">
        <is>
          <t>Not on public export lists — verify</t>
        </is>
      </c>
      <c r="J20" s="5" t="inlineStr">
        <is>
          <t>AWA (welfare signal)</t>
        </is>
      </c>
      <c r="K20" s="5" t="inlineStr">
        <is>
          <t>Plausible</t>
        </is>
      </c>
      <c r="L20" s="5" t="inlineStr">
        <is>
          <t>Plausible</t>
        </is>
      </c>
      <c r="M20" s="5" t="inlineStr">
        <is>
          <t>Plausible</t>
        </is>
      </c>
      <c r="N20" s="5" t="inlineStr">
        <is>
          <t>(828) 245-5544</t>
        </is>
      </c>
      <c r="O20" s="32" t="inlineStr">
        <is>
          <t>POSSIBLE</t>
        </is>
      </c>
      <c r="P20" s="5" t="inlineStr">
        <is>
          <t>Low-Med</t>
        </is>
      </c>
      <c r="Q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33" t="inlineStr">
        <is>
          <t>unknown
(confirm)</t>
        </is>
      </c>
      <c r="F21" s="5" t="inlineStr">
        <is>
          <t>Yes</t>
        </is>
      </c>
      <c r="G21" s="5" t="inlineStr">
        <is>
          <t>Custom-exempt
(NOT for resale)</t>
        </is>
      </c>
      <c r="H21" s="5" t="inlineStr">
        <is>
          <t>None found in public sources</t>
        </is>
      </c>
      <c r="I21" s="5" t="inlineStr">
        <is>
          <t>Custom-exempt; not export-eligible as-is — verify</t>
        </is>
      </c>
      <c r="J21" s="5" t="inlineStr">
        <is>
          <t>AWA (welfare signal)</t>
        </is>
      </c>
      <c r="K21" s="5" t="inlineStr">
        <is>
          <t>Limited (exempt status)</t>
        </is>
      </c>
      <c r="L21" s="5" t="inlineStr">
        <is>
          <t>Limited</t>
        </is>
      </c>
      <c r="M21" s="5" t="inlineStr">
        <is>
          <t>Limited</t>
        </is>
      </c>
      <c r="N21" s="5" t="inlineStr">
        <is>
          <t>(252) 448-4047
riversidemeatsnc.com</t>
        </is>
      </c>
      <c r="O21" s="32" t="inlineStr">
        <is>
          <t>CAUTION</t>
        </is>
      </c>
      <c r="P21" s="5" t="inlineStr">
        <is>
          <t>Med</t>
        </is>
      </c>
      <c r="Q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35" t="inlineStr">
        <is>
          <t>HIGH
(&gt;5,000/wk)</t>
        </is>
      </c>
      <c r="F23" s="5" t="inlineStr">
        <is>
          <t>Yes</t>
        </is>
      </c>
      <c r="G23" s="5" t="inlineStr">
        <is>
          <t>USDA ✓</t>
        </is>
      </c>
      <c r="H23" s="5" t="inlineStr">
        <is>
          <t>2011 recall (undeclared dairy allergen); 2021-22 sanitation/welfare NRs (not a suspension). Est. M18079.</t>
        </is>
      </c>
      <c r="I23" s="5" t="inlineStr">
        <is>
          <t>FSIS export-certified (edible, general; documented exports). EU/APHIS-byproduct status unverified</t>
        </is>
      </c>
      <c r="J23" s="5" t="inlineStr">
        <is>
          <t>Industrial line-speed (~5,500 staff)</t>
        </is>
      </c>
      <c r="K23" s="5" t="inlineStr">
        <is>
          <t>No dedicated on-site rental noted</t>
        </is>
      </c>
      <c r="L23" s="5" t="inlineStr">
        <is>
          <t>No</t>
        </is>
      </c>
      <c r="M23" s="5" t="inlineStr">
        <is>
          <t>No</t>
        </is>
      </c>
      <c r="N23" s="5" t="inlineStr">
        <is>
          <t>—</t>
        </is>
      </c>
      <c r="O23" s="32" t="inlineStr">
        <is>
          <t>CAUTION</t>
        </is>
      </c>
      <c r="P23" s="5" t="inlineStr">
        <is>
          <t>High</t>
        </is>
      </c>
      <c r="Q23" s="5"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 customHeight="1">
      <c r="A24" s="7" t="inlineStr">
        <is>
          <t>Smithfield / KC Sausage (sow plant)</t>
        </is>
      </c>
      <c r="B24" s="5" t="inlineStr">
        <is>
          <t>Godwin, NC</t>
        </is>
      </c>
      <c r="C24" s="5" t="inlineStr">
        <is>
          <t>Industrial sow slaughter</t>
        </is>
      </c>
      <c r="D24" s="5" t="inlineStr">
        <is>
          <t>~1,000 sows/DAY (~5-6k/wk)</t>
        </is>
      </c>
      <c r="E24" s="36" t="inlineStr">
        <is>
          <t>MEDIUM-HIGH
(2,500-5,000/wk)</t>
        </is>
      </c>
      <c r="F24" s="5" t="inlineStr">
        <is>
          <t>Yes (sows)</t>
        </is>
      </c>
      <c r="G24" s="5" t="inlineStr">
        <is>
          <t>USDA ✓</t>
        </is>
      </c>
      <c r="H24" s="5" t="inlineStr">
        <is>
          <t>None found for the Godwin plant specifically</t>
        </is>
      </c>
      <c r="I24" s="5" t="inlineStr">
        <is>
          <t>FSIS-inspected; export not confirmed</t>
        </is>
      </c>
      <c r="J24" s="5" t="inlineStr">
        <is>
          <t>Industrial / corporate-owned</t>
        </is>
      </c>
      <c r="K24" s="5" t="inlineStr">
        <is>
          <t>Sow/organ-relevant but industrial scale</t>
        </is>
      </c>
      <c r="L24" s="5" t="inlineStr">
        <is>
          <t>Unlikely</t>
        </is>
      </c>
      <c r="M24" s="5" t="inlineStr">
        <is>
          <t>Unlikely</t>
        </is>
      </c>
      <c r="N24" s="5" t="inlineStr">
        <is>
          <t>—</t>
        </is>
      </c>
      <c r="O24" s="32" t="inlineStr">
        <is>
          <t>CAUTION</t>
        </is>
      </c>
      <c r="P24" s="5" t="inlineStr">
        <is>
          <t>High</t>
        </is>
      </c>
      <c r="Q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33" t="inlineStr">
        <is>
          <t>unknown
(confirm)</t>
        </is>
      </c>
      <c r="F26" s="5" t="inlineStr">
        <is>
          <t>Yes</t>
        </is>
      </c>
      <c r="G26" s="5" t="inlineStr">
        <is>
          <t>USDA ✓</t>
        </is>
      </c>
      <c r="H26" s="5" t="inlineStr">
        <is>
          <t>None found in public sources</t>
        </is>
      </c>
      <c r="I26" s="5" t="inlineStr">
        <is>
          <t>Not on public export lists — verify w/ APHIS VS</t>
        </is>
      </c>
      <c r="J26" s="5" t="inlineStr">
        <is>
          <t>Multi-generation family since ~1947 — strong culture signal</t>
        </is>
      </c>
      <c r="K26" s="5" t="inlineStr">
        <is>
          <t>Not noted</t>
        </is>
      </c>
      <c r="L26" s="5" t="inlineStr">
        <is>
          <t>Possible (space unverified)</t>
        </is>
      </c>
      <c r="M26" s="5" t="inlineStr">
        <is>
          <t>Good — established slaughter + custom</t>
        </is>
      </c>
      <c r="N26" s="5" t="inlineStr">
        <is>
          <t>803-356-3216
caughmans.com</t>
        </is>
      </c>
      <c r="O26" s="32" t="inlineStr">
        <is>
          <t>POSSIBLE</t>
        </is>
      </c>
      <c r="P26" s="5" t="inlineStr">
        <is>
          <t>Med</t>
        </is>
      </c>
      <c r="Q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33" t="inlineStr">
        <is>
          <t>unknown
(confirm)</t>
        </is>
      </c>
      <c r="F27" s="5" t="inlineStr">
        <is>
          <t>Yes (on-site slaughter unconfirmed)</t>
        </is>
      </c>
      <c r="G27" s="5" t="inlineStr">
        <is>
          <t>USDA ✓</t>
        </is>
      </c>
      <c r="H27" s="5" t="inlineStr">
        <is>
          <t>None found in public sources</t>
        </is>
      </c>
      <c r="I27" s="5" t="inlineStr">
        <is>
          <t>Not on public export lists — verify</t>
        </is>
      </c>
      <c r="J27" s="5" t="inlineStr">
        <is>
          <t>'Careful handling'; recent capacity investment (trade press)</t>
        </is>
      </c>
      <c r="K27" s="5" t="inlineStr">
        <is>
          <t>Not noted</t>
        </is>
      </c>
      <c r="L27" s="5" t="inlineStr">
        <is>
          <t>Ask</t>
        </is>
      </c>
      <c r="M27" s="5" t="inlineStr">
        <is>
          <t>Likely B</t>
        </is>
      </c>
      <c r="N27" s="5" t="inlineStr">
        <is>
          <t>864-410-7068
knockoutbutchery.com</t>
        </is>
      </c>
      <c r="O27" s="32" t="inlineStr">
        <is>
          <t>POSSIBLE</t>
        </is>
      </c>
      <c r="P27" s="5" t="inlineStr">
        <is>
          <t>Med</t>
        </is>
      </c>
      <c r="Q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31" t="inlineStr">
        <is>
          <t>SMALL
(0-300/wk)</t>
        </is>
      </c>
      <c r="F28" s="5" t="inlineStr">
        <is>
          <t>Yes (on-site slaughter unconfirmed)</t>
        </is>
      </c>
      <c r="G28" s="5" t="inlineStr">
        <is>
          <t>USDA ✓</t>
        </is>
      </c>
      <c r="H28" s="5" t="inlineStr">
        <is>
          <t>None found (Est. M46060)</t>
        </is>
      </c>
      <c r="I28" s="5" t="inlineStr">
        <is>
          <t>Not on public export lists — verify</t>
        </is>
      </c>
      <c r="J28" s="5" t="inlineStr">
        <is>
          <t>Not addressed</t>
        </is>
      </c>
      <c r="K28" s="5" t="inlineStr">
        <is>
          <t>Not noted</t>
        </is>
      </c>
      <c r="L28" s="5" t="inlineStr">
        <is>
          <t>Ask</t>
        </is>
      </c>
      <c r="M28" s="5" t="inlineStr">
        <is>
          <t>B if slaughter on-site</t>
        </is>
      </c>
      <c r="N28" s="5" t="inlineStr">
        <is>
          <t>864-374-3571</t>
        </is>
      </c>
      <c r="O28" s="32" t="inlineStr">
        <is>
          <t>POSSIBLE</t>
        </is>
      </c>
      <c r="P28" s="5" t="inlineStr">
        <is>
          <t>Low-Med</t>
        </is>
      </c>
      <c r="Q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31" t="inlineStr">
        <is>
          <t>SMALL
(0-300/wk)</t>
        </is>
      </c>
      <c r="F29" s="5" t="inlineStr">
        <is>
          <t>Yes</t>
        </is>
      </c>
      <c r="G29" s="5" t="inlineStr">
        <is>
          <t>likely custom-
exempt (flag)</t>
        </is>
      </c>
      <c r="H29" s="5" t="inlineStr">
        <is>
          <t>None found (business also appears closed)</t>
        </is>
      </c>
      <c r="I29" s="5" t="inlineStr">
        <is>
          <t>Not on public export lists — verify</t>
        </is>
      </c>
      <c r="J29" s="5" t="inlineStr">
        <is>
          <t>Family (McDonald, since 2001)</t>
        </is>
      </c>
      <c r="K29" s="5" t="inlineStr">
        <is>
          <t>Not noted</t>
        </is>
      </c>
      <c r="L29" s="5" t="inlineStr">
        <is>
          <t>If own kills</t>
        </is>
      </c>
      <c r="M29" s="5" t="inlineStr">
        <is>
          <t>B if USDA confirmed</t>
        </is>
      </c>
      <c r="N29" s="5" t="inlineStr">
        <is>
          <t>803-707-1040</t>
        </is>
      </c>
      <c r="O29" s="32" t="inlineStr">
        <is>
          <t>CAUTION</t>
        </is>
      </c>
      <c r="P29" s="5" t="inlineStr">
        <is>
          <t>Low-Med</t>
        </is>
      </c>
      <c r="Q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33" t="inlineStr">
        <is>
          <t>unknown
(confirm)</t>
        </is>
      </c>
      <c r="F30" s="5" t="inlineStr">
        <is>
          <t>Yes</t>
        </is>
      </c>
      <c r="G30" s="5" t="inlineStr">
        <is>
          <t>USDA ✓ but
SUSPENDED 2022</t>
        </is>
      </c>
      <c r="H30" s="34" t="inlineStr">
        <is>
          <t>⚠ Humane-handling NOS Feb &amp; Mar 2022 (Est. M47715); PETA sought criminal probe. Also the slaughter suspension.</t>
        </is>
      </c>
      <c r="I30" s="5" t="inlineStr">
        <is>
          <t>Not on public export lists — verify (slaughter susp. 2022)</t>
        </is>
      </c>
      <c r="J30" s="5" t="inlineStr">
        <is>
          <t>unknown</t>
        </is>
      </c>
      <c r="K30" s="5" t="inlineStr">
        <is>
          <t>Not noted</t>
        </is>
      </c>
      <c r="L30" s="5" t="inlineStr">
        <is>
          <t>Unknown</t>
        </is>
      </c>
      <c r="M30" s="5" t="inlineStr">
        <is>
          <t>Unknown</t>
        </is>
      </c>
      <c r="N30" s="5" t="inlineStr">
        <is>
          <t>—</t>
        </is>
      </c>
      <c r="O30" s="37" t="inlineStr">
        <is>
          <t>OUT / FLAG</t>
        </is>
      </c>
      <c r="P30" s="5" t="inlineStr">
        <is>
          <t>Med</t>
        </is>
      </c>
      <c r="Q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33" t="inlineStr">
        <is>
          <t>unknown
(confirm)</t>
        </is>
      </c>
      <c r="F32" s="5" t="inlineStr">
        <is>
          <t>Yes</t>
        </is>
      </c>
      <c r="G32" s="5" t="inlineStr">
        <is>
          <t>USDA ✓</t>
        </is>
      </c>
      <c r="H32" s="34" t="inlineStr">
        <is>
          <t>⚠ Humane-handling NOS Apr 2023 (Est. M6555 — 4 stun attempts on a cow); held in abeyance.</t>
        </is>
      </c>
      <c r="I32" s="5" t="inlineStr">
        <is>
          <t>Not on public export lists — verify w/ APHIS VS</t>
        </is>
      </c>
      <c r="J32" s="5" t="inlineStr">
        <is>
          <t>Family since 1952 (3 generations, Keith) — strong culture</t>
        </is>
      </c>
      <c r="K32" s="5" t="inlineStr">
        <is>
          <t>Not noted</t>
        </is>
      </c>
      <c r="L32" s="5" t="inlineStr">
        <is>
          <t>Possible</t>
        </is>
      </c>
      <c r="M32" s="5" t="inlineStr">
        <is>
          <t>Good B</t>
        </is>
      </c>
      <c r="N32" s="5" t="inlineStr">
        <is>
          <t>901-867-3826
fayettepackingco.com</t>
        </is>
      </c>
      <c r="O32" s="32" t="inlineStr">
        <is>
          <t>POSSIBLE</t>
        </is>
      </c>
      <c r="P32" s="5" t="inlineStr">
        <is>
          <t>Med</t>
        </is>
      </c>
      <c r="Q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33" t="inlineStr">
        <is>
          <t>unknown
(confirm)</t>
        </is>
      </c>
      <c r="F33" s="5" t="inlineStr">
        <is>
          <t>Yes</t>
        </is>
      </c>
      <c r="G33" s="5" t="inlineStr">
        <is>
          <t>USDA ✓</t>
        </is>
      </c>
      <c r="H33" s="5" t="inlineStr">
        <is>
          <t>None found (a logged FOIA request is not an enforcement action)</t>
        </is>
      </c>
      <c r="I33" s="5" t="inlineStr">
        <is>
          <t>Not on public export lists — verify</t>
        </is>
      </c>
      <c r="J33" s="5" t="inlineStr">
        <is>
          <t>Growing processor</t>
        </is>
      </c>
      <c r="K33" s="5" t="inlineStr">
        <is>
          <t>Not noted</t>
        </is>
      </c>
      <c r="L33" s="5" t="inlineStr">
        <is>
          <t>Possible</t>
        </is>
      </c>
      <c r="M33" s="5" t="inlineStr">
        <is>
          <t>Good B</t>
        </is>
      </c>
      <c r="N33" s="5" t="inlineStr">
        <is>
          <t>931-330-6328</t>
        </is>
      </c>
      <c r="O33" s="32" t="inlineStr">
        <is>
          <t>POSSIBLE</t>
        </is>
      </c>
      <c r="P33" s="5" t="inlineStr">
        <is>
          <t>Med</t>
        </is>
      </c>
      <c r="Q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31" t="inlineStr">
        <is>
          <t>SMALL
(0-300/wk)</t>
        </is>
      </c>
      <c r="F34" s="5" t="inlineStr">
        <is>
          <t>Yes</t>
        </is>
      </c>
      <c r="G34" s="5" t="inlineStr">
        <is>
          <t>USDA ✓</t>
        </is>
      </c>
      <c r="H34" s="5" t="inlineStr">
        <is>
          <t>None found (very small; FSIS grant 2021)</t>
        </is>
      </c>
      <c r="I34" s="5" t="inlineStr">
        <is>
          <t>Not on public export lists — verify</t>
        </is>
      </c>
      <c r="J34" s="5" t="inlineStr">
        <is>
          <t>Family (Cherry / Bear Creek Farm) — strong culture</t>
        </is>
      </c>
      <c r="K34" s="5" t="inlineStr">
        <is>
          <t>Not noted</t>
        </is>
      </c>
      <c r="L34" s="5" t="inlineStr">
        <is>
          <t>Low-vol</t>
        </is>
      </c>
      <c r="M34" s="5" t="inlineStr">
        <is>
          <t>Good B (high-touch)</t>
        </is>
      </c>
      <c r="N34" s="5" t="inlineStr">
        <is>
          <t>931-364-7924
cherrymeat.com</t>
        </is>
      </c>
      <c r="O34" s="32" t="inlineStr">
        <is>
          <t>POSSIBLE</t>
        </is>
      </c>
      <c r="P34" s="5" t="inlineStr">
        <is>
          <t>High</t>
        </is>
      </c>
      <c r="Q34" s="5" t="inlineStr">
        <is>
          <t>SMALL tier — verified ~80 hogs/MONTH (~18/wk). With capacity now open this is a legitimate high-touch, family-culture option for pilot or specialty work; it simply cannot carry volume alone.</t>
        </is>
      </c>
    </row>
    <row r="35" ht="58" customHeight="1">
      <c r="A35" s="7" t="inlineStr">
        <is>
          <t>Other TN USDA hog shops (roll-up)</t>
        </is>
      </c>
      <c r="B35" s="5" t="inlineStr">
        <is>
          <t>various, TN</t>
        </is>
      </c>
      <c r="C35" s="5" t="inlineStr">
        <is>
          <t>USDA small custom slaughter</t>
        </is>
      </c>
      <c r="D35" s="5" t="inlineStr">
        <is>
          <t>unknown (tens–low 100s/wk est.)</t>
        </is>
      </c>
      <c r="E35" s="31" t="inlineStr">
        <is>
          <t>SMALL
(0-300/wk)</t>
        </is>
      </c>
      <c r="F35" s="5" t="inlineStr">
        <is>
          <t>Yes</t>
        </is>
      </c>
      <c r="G35" s="5" t="inlineStr">
        <is>
          <t>USDA ✓</t>
        </is>
      </c>
      <c r="H35" s="34" t="inlineStr">
        <is>
          <t>⚠ Harris Country Meats (Greeneville, M20686): humane NOS 2024. Volunteer/412 (Lexington, M6561): humane NOS Nov 2024. Others: none found.</t>
        </is>
      </c>
      <c r="I35" s="5" t="inlineStr">
        <is>
          <t>Not on public export lists — verify each w/ APHIS VS</t>
        </is>
      </c>
      <c r="J35" s="5" t="inlineStr">
        <is>
          <t>Small family shops</t>
        </is>
      </c>
      <c r="K35" s="5" t="inlineStr">
        <is>
          <t>Not noted</t>
        </is>
      </c>
      <c r="L35" s="5" t="inlineStr">
        <is>
          <t>Possible</t>
        </is>
      </c>
      <c r="M35" s="5" t="inlineStr">
        <is>
          <t>B</t>
        </is>
      </c>
      <c r="N35" s="5" t="inlineStr">
        <is>
          <t>see notes →</t>
        </is>
      </c>
      <c r="O35" s="32" t="inlineStr">
        <is>
          <t>POSSIBLE</t>
        </is>
      </c>
      <c r="P35" s="5" t="inlineStr">
        <is>
          <t>Low-Med</t>
        </is>
      </c>
      <c r="Q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31" t="inlineStr">
        <is>
          <t>SMALL
(0-300/wk)</t>
        </is>
      </c>
      <c r="F37" s="5" t="inlineStr">
        <is>
          <t>Yes</t>
        </is>
      </c>
      <c r="G37" s="5" t="inlineStr">
        <is>
          <t>USDA ✓</t>
        </is>
      </c>
      <c r="H37" s="5" t="inlineStr">
        <is>
          <t>None found in FSIS/recall/AWI — BUT reportedly CEASED operations / bankruptcy ~2020. Verify still operating!</t>
        </is>
      </c>
      <c r="I37" s="5" t="inlineStr">
        <is>
          <t>Not on public export lists — verify (and confirm still operating)</t>
        </is>
      </c>
      <c r="J37" s="5" t="inlineStr">
        <is>
          <t>CERTIFIED HUMANE — strongest welfare match in the study</t>
        </is>
      </c>
      <c r="K37" s="5" t="inlineStr">
        <is>
          <t>Custom multi-species harvest for outside producers</t>
        </is>
      </c>
      <c r="L37" s="5" t="inlineStr">
        <is>
          <t>Worth asking (A)</t>
        </is>
      </c>
      <c r="M37" s="5" t="inlineStr">
        <is>
          <t>Excellent B (already does custom harvest)</t>
        </is>
      </c>
      <c r="N37" s="5" t="inlineStr">
        <is>
          <t>540-525-0352
ecofriendly.com</t>
        </is>
      </c>
      <c r="O37" s="32" t="inlineStr">
        <is>
          <t>CAUTION</t>
        </is>
      </c>
      <c r="P37" s="5" t="inlineStr">
        <is>
          <t>Med</t>
        </is>
      </c>
      <c r="Q37" s="5"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 customHeight="1">
      <c r="A38" s="7" t="inlineStr">
        <is>
          <t>T&amp;E Meats (True &amp; Essential)</t>
        </is>
      </c>
      <c r="B38" s="5" t="inlineStr">
        <is>
          <t>Harrisonburg, VA</t>
        </is>
      </c>
      <c r="C38" s="5" t="inlineStr">
        <is>
          <t>USDA + AWA slaughter + processing</t>
        </is>
      </c>
      <c r="D38" s="5" t="inlineStr">
        <is>
          <t>unknown (small)</t>
        </is>
      </c>
      <c r="E38" s="31" t="inlineStr">
        <is>
          <t>SMALL
(0-300/wk)</t>
        </is>
      </c>
      <c r="F38" s="5" t="inlineStr">
        <is>
          <t>Yes (hogs Thu &amp; Fri)</t>
        </is>
      </c>
      <c r="G38" s="5" t="inlineStr">
        <is>
          <t>USDA ✓</t>
        </is>
      </c>
      <c r="H38" s="5" t="inlineStr">
        <is>
          <t>None found in public sources</t>
        </is>
      </c>
      <c r="I38" s="5" t="inlineStr">
        <is>
          <t>Not on public export lists — verify w/ APHIS VS</t>
        </is>
      </c>
      <c r="J38" s="5" t="inlineStr">
        <is>
          <t>AWA humane; mission-driven independent (Salatin/Cloud); site since 1930s — very strong</t>
        </is>
      </c>
      <c r="K38" s="5" t="inlineStr">
        <is>
          <t>Not noted</t>
        </is>
      </c>
      <c r="L38" s="5" t="inlineStr">
        <is>
          <t>Worth asking (A)</t>
        </is>
      </c>
      <c r="M38" s="5" t="inlineStr">
        <is>
          <t>Excellent B</t>
        </is>
      </c>
      <c r="N38" s="5" t="inlineStr">
        <is>
          <t>540-434-4415
temeats.com</t>
        </is>
      </c>
      <c r="O38" s="29" t="inlineStr">
        <is>
          <t>STRONG FIT</t>
        </is>
      </c>
      <c r="P38" s="5" t="inlineStr">
        <is>
          <t>High</t>
        </is>
      </c>
      <c r="Q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33" t="inlineStr">
        <is>
          <t>unknown
(confirm)</t>
        </is>
      </c>
      <c r="F39" s="5" t="inlineStr">
        <is>
          <t>Yes</t>
        </is>
      </c>
      <c r="G39" s="5" t="inlineStr">
        <is>
          <t>USDA ✓</t>
        </is>
      </c>
      <c r="H39" s="5" t="inlineStr">
        <is>
          <t>None found (do NOT confuse with 'Blue Ridge Beef' pet-food recalls)</t>
        </is>
      </c>
      <c r="I39" s="5" t="inlineStr">
        <is>
          <t>Not on public export lists — verify</t>
        </is>
      </c>
      <c r="J39" s="5" t="inlineStr">
        <is>
          <t>AWA-approved (humane) since 2006</t>
        </is>
      </c>
      <c r="K39" s="5" t="inlineStr">
        <is>
          <t>Not noted</t>
        </is>
      </c>
      <c r="L39" s="5" t="inlineStr">
        <is>
          <t>Mobile-slaughter option</t>
        </is>
      </c>
      <c r="M39" s="5" t="inlineStr">
        <is>
          <t>Strong B</t>
        </is>
      </c>
      <c r="N39" s="5" t="inlineStr">
        <is>
          <t>540-636-6050
blueridgemeats.com</t>
        </is>
      </c>
      <c r="O39" s="29" t="inlineStr">
        <is>
          <t>STRONG FIT</t>
        </is>
      </c>
      <c r="P39" s="5" t="inlineStr">
        <is>
          <t>High</t>
        </is>
      </c>
      <c r="Q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33" t="inlineStr">
        <is>
          <t>unknown
(confirm)</t>
        </is>
      </c>
      <c r="F40" s="5" t="inlineStr">
        <is>
          <t>Yes</t>
        </is>
      </c>
      <c r="G40" s="5" t="inlineStr">
        <is>
          <t>USDA ✓ (FSIS
slaughter listed)</t>
        </is>
      </c>
      <c r="H40" s="34" t="inlineStr">
        <is>
          <t>⚠ REPEAT humane-handling suspensions 2021 &amp; Dec 2024 (+ a 2018 violation). Est. M33940.</t>
        </is>
      </c>
      <c r="I40" s="5" t="inlineStr">
        <is>
          <t>FSIS Est. M33940; not on public export lists — verify</t>
        </is>
      </c>
      <c r="J40" s="5" t="inlineStr">
        <is>
          <t>Not noted</t>
        </is>
      </c>
      <c r="K40" s="5" t="inlineStr">
        <is>
          <t>Not noted</t>
        </is>
      </c>
      <c r="L40" s="5" t="inlineStr">
        <is>
          <t>Worth asking (A)</t>
        </is>
      </c>
      <c r="M40" s="5" t="inlineStr">
        <is>
          <t>Strong B</t>
        </is>
      </c>
      <c r="N40" s="5" t="inlineStr">
        <is>
          <t>540-439-7227
finestbutcher.com</t>
        </is>
      </c>
      <c r="O40" s="32" t="inlineStr">
        <is>
          <t>CAUTION</t>
        </is>
      </c>
      <c r="P40" s="5" t="inlineStr">
        <is>
          <t>Med-High</t>
        </is>
      </c>
      <c r="Q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33" t="inlineStr">
        <is>
          <t>unknown
(confirm)</t>
        </is>
      </c>
      <c r="F41" s="5" t="inlineStr">
        <is>
          <t>Yes (confirm per-facility)</t>
        </is>
      </c>
      <c r="G41" s="5" t="inlineStr">
        <is>
          <t>USDA ✓</t>
        </is>
      </c>
      <c r="H41" s="34" t="inlineStr">
        <is>
          <t>⚠ Donald's Meat Processing (Lexington, M39968): repeat humane suspension 2023 → 3-yr consent decision. Others: none found.</t>
        </is>
      </c>
      <c r="I41" s="5" t="inlineStr">
        <is>
          <t>Not on public export lists — verify each</t>
        </is>
      </c>
      <c r="J41" s="5" t="inlineStr">
        <is>
          <t>Varies</t>
        </is>
      </c>
      <c r="K41" s="5" t="inlineStr">
        <is>
          <t>Not noted</t>
        </is>
      </c>
      <c r="L41" s="5" t="inlineStr">
        <is>
          <t>Possible</t>
        </is>
      </c>
      <c r="M41" s="5" t="inlineStr">
        <is>
          <t>B</t>
        </is>
      </c>
      <c r="N41" s="5" t="inlineStr">
        <is>
          <t>see notes →</t>
        </is>
      </c>
      <c r="O41" s="32" t="inlineStr">
        <is>
          <t>POSSIBLE</t>
        </is>
      </c>
      <c r="P41" s="5" t="inlineStr">
        <is>
          <t>Low-Med</t>
        </is>
      </c>
      <c r="Q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31" t="inlineStr">
        <is>
          <t>SMALL
(0-300/wk)</t>
        </is>
      </c>
      <c r="F42" s="5" t="inlineStr">
        <is>
          <t>Yes</t>
        </is>
      </c>
      <c r="G42" s="5" t="inlineStr">
        <is>
          <t>STATE only
(NOT USDA)</t>
        </is>
      </c>
      <c r="H42" s="5" t="inlineStr">
        <is>
          <t>Not in FSIS federal enforcement data (state-inspected) — check VDACS state records</t>
        </is>
      </c>
      <c r="I42" s="5" t="inlineStr">
        <is>
          <t>State-inspected (not FSIS) — export path unlikely; verify</t>
        </is>
      </c>
      <c r="J42" s="5" t="inlineStr">
        <is>
          <t>Varies</t>
        </is>
      </c>
      <c r="K42" s="5" t="inlineStr">
        <is>
          <t>Not noted</t>
        </is>
      </c>
      <c r="L42" s="5" t="inlineStr">
        <is>
          <t>Possible</t>
        </is>
      </c>
      <c r="M42" s="5" t="inlineStr">
        <is>
          <t>B</t>
        </is>
      </c>
      <c r="N42" s="5" t="inlineStr">
        <is>
          <t>see notes →</t>
        </is>
      </c>
      <c r="O42" s="32" t="inlineStr">
        <is>
          <t>CAUTION</t>
        </is>
      </c>
      <c r="P42" s="5" t="inlineStr">
        <is>
          <t>Low</t>
        </is>
      </c>
      <c r="Q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29" t="inlineStr">
        <is>
          <t>MEDIUM
(350-2,500/wk)</t>
        </is>
      </c>
      <c r="F44" s="5" t="inlineStr">
        <is>
          <t>Yes</t>
        </is>
      </c>
      <c r="G44" s="5" t="inlineStr">
        <is>
          <t>meat insp.
unconfirmed</t>
        </is>
      </c>
      <c r="H44" s="5" t="inlineStr">
        <is>
          <t>None found (small research facility; rarely in enforcement data)</t>
        </is>
      </c>
      <c r="I44" s="5" t="inlineStr">
        <is>
          <t>Holds APHIS Class B/R (AWA licenses); research-tissue export via APHIS VS/TRACES by-products channel NOT confirmed — verify (correct channel)</t>
        </is>
      </c>
      <c r="J44" s="5" t="inlineStr">
        <is>
          <t>Strong — closed herd, stringent QC; family (Theis, since 1978), ~20 staff</t>
        </is>
      </c>
      <c r="K44" s="5" t="inlineStr">
        <is>
          <t>YES — CORE BUSINESS: whole organs (decellularization), veins/arteries for implantation, mesh tissue, bio-samples; xeno/vaccine/stem-cell research</t>
        </is>
      </c>
      <c r="L44" s="5" t="inlineStr">
        <is>
          <t>Plausible (has harvest facility)</t>
        </is>
      </c>
      <c r="M44" s="5" t="inlineStr">
        <is>
          <t>Best fit — harvest to spec</t>
        </is>
      </c>
      <c r="N44" s="5" t="inlineStr">
        <is>
          <t>midwestresearchswine.com
(phone via site)</t>
        </is>
      </c>
      <c r="O44" s="29" t="inlineStr">
        <is>
          <t>STRONG FIT</t>
        </is>
      </c>
      <c r="P44" s="5" t="inlineStr">
        <is>
          <t>High</t>
        </is>
      </c>
      <c r="Q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35" t="inlineStr">
        <is>
          <t>HIGH
(&gt;5,000/wk)</t>
        </is>
      </c>
      <c r="F45" s="5" t="inlineStr">
        <is>
          <t>Yes</t>
        </is>
      </c>
      <c r="G45" s="5" t="inlineStr">
        <is>
          <t>USDA ✓ (Est. 717)
export-cert</t>
        </is>
      </c>
      <c r="H45" s="34" t="inlineStr">
        <is>
          <t>⚠ REPEAT humane-handling: NOIE 2021 &amp; 2023; suspension 09/2024 (egregious). ASPCA line-speed concerns. Est. M717.</t>
        </is>
      </c>
      <c r="I45" s="5" t="inlineStr">
        <is>
          <t>FSIS export-certified (edible, Est. M717). Research-tissue via APHIS VS/TRACES unverified</t>
        </is>
      </c>
      <c r="J45" s="5" t="inlineStr">
        <is>
          <t>Industrial scale, but a structured biologics unit</t>
        </is>
      </c>
      <c r="K45" s="5" t="inlineStr">
        <is>
          <t>YES — full program: PELVIC (bladder, ovary); ABDOMINAL (kidney, liver, pancreas, sm. intestine, mucosa, peritoneum, pepsin lining); THORACIC (heart, valves, lung, aorta, pericardium, trachea); glands/skin/eyes</t>
        </is>
      </c>
      <c r="L45" s="5" t="inlineStr">
        <is>
          <t>Negotiate (industrial site)</t>
        </is>
      </c>
      <c r="M45" s="5" t="inlineStr">
        <is>
          <t>Strong — harvests in-house to customer spec</t>
        </is>
      </c>
      <c r="N45" s="5" t="inlineStr">
        <is>
          <t>smithfieldbioscience.com</t>
        </is>
      </c>
      <c r="O45" s="29" t="inlineStr">
        <is>
          <t>STRONG FIT
(organ exc.)</t>
        </is>
      </c>
      <c r="P45" s="5" t="inlineStr">
        <is>
          <t>High</t>
        </is>
      </c>
      <c r="Q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29" t="inlineStr">
        <is>
          <t>MEDIUM
(350-2,500/wk)</t>
        </is>
      </c>
      <c r="F47" s="5" t="inlineStr">
        <is>
          <t>Yes</t>
        </is>
      </c>
      <c r="G47" s="5" t="inlineStr">
        <is>
          <t>USDA ✓</t>
        </is>
      </c>
      <c r="H47" s="5" t="inlineStr">
        <is>
          <t>Recall 2010 (Listeria, cooked ham, Class I). No humane-handling action found.</t>
        </is>
      </c>
      <c r="I47" s="5" t="inlineStr">
        <is>
          <t>FSIS export-certified (edible, general; Est. M21207). EU-specific unverified</t>
        </is>
      </c>
      <c r="J47" s="5" t="inlineStr">
        <is>
          <t>Strong — explicit humane-slaughter positioning; family since 1968, ~140 staff; organic/grass-fed ties</t>
        </is>
      </c>
      <c r="K47" s="5" t="inlineStr">
        <is>
          <t>None known</t>
        </is>
      </c>
      <c r="L47" s="5" t="inlineStr">
        <is>
          <t>Good Model A host (fee-for-service, small-producer friendly)</t>
        </is>
      </c>
      <c r="M47" s="5" t="inlineStr">
        <is>
          <t>Plausible</t>
        </is>
      </c>
      <c r="N47" s="5" t="inlineStr">
        <is>
          <t>(507) 263-3618
lorentzmeats.com</t>
        </is>
      </c>
      <c r="O47" s="32" t="inlineStr">
        <is>
          <t>POSSIBLE</t>
        </is>
      </c>
      <c r="P47" s="5" t="inlineStr">
        <is>
          <t>Med</t>
        </is>
      </c>
      <c r="Q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33" t="inlineStr">
        <is>
          <t>unknown
(confirm)</t>
        </is>
      </c>
      <c r="F48" s="5" t="inlineStr">
        <is>
          <t>Yes</t>
        </is>
      </c>
      <c r="G48" s="5" t="inlineStr">
        <is>
          <t>USDA ✓
export-cert (Japan)</t>
        </is>
      </c>
      <c r="H48" s="5" t="inlineStr">
        <is>
          <t>None found in public sources</t>
        </is>
      </c>
      <c r="I48" s="5" t="inlineStr">
        <is>
          <t>FSIS export-certified (edible; exports to Japan — Japan ≠ EU). EU/APHIS unverified</t>
        </is>
      </c>
      <c r="J48" s="5" t="inlineStr">
        <is>
          <t>Berkshire / USDA-organic; export QC discipline</t>
        </is>
      </c>
      <c r="K48" s="5" t="inlineStr">
        <is>
          <t>None found</t>
        </is>
      </c>
      <c r="L48" s="5" t="inlineStr">
        <is>
          <t>Likely Model A host</t>
        </is>
      </c>
      <c r="M48" s="5" t="inlineStr">
        <is>
          <t>Plausible</t>
        </is>
      </c>
      <c r="N48" s="5" t="inlineStr">
        <is>
          <t>(712) 725-2172
sigiowa.com</t>
        </is>
      </c>
      <c r="O48" s="32" t="inlineStr">
        <is>
          <t>POSSIBLE</t>
        </is>
      </c>
      <c r="P48" s="5" t="inlineStr">
        <is>
          <t>Med</t>
        </is>
      </c>
      <c r="Q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31" t="inlineStr">
        <is>
          <t>SMALL
(0-300/wk)</t>
        </is>
      </c>
      <c r="F49" s="5" t="inlineStr">
        <is>
          <t>Yes</t>
        </is>
      </c>
      <c r="G49" s="5" t="inlineStr">
        <is>
          <t>USDA ✓</t>
        </is>
      </c>
      <c r="H49" s="5" t="inlineStr">
        <is>
          <t>Recall 2010 (underprocessed canned). No humane-handling action found.</t>
        </is>
      </c>
      <c r="I49" s="5" t="inlineStr">
        <is>
          <t>Not on public export lists — verify</t>
        </is>
      </c>
      <c r="J49" s="5" t="inlineStr">
        <is>
          <t>Long-tenured family operation (~70 yrs, ~30 staff) — stable culture</t>
        </is>
      </c>
      <c r="K49" s="5" t="inlineStr">
        <is>
          <t>None</t>
        </is>
      </c>
      <c r="L49" s="5" t="inlineStr">
        <is>
          <t>Model A small batches</t>
        </is>
      </c>
      <c r="M49" s="5" t="inlineStr">
        <is>
          <t>Plausible</t>
        </is>
      </c>
      <c r="N49" s="5" t="inlineStr">
        <is>
          <t>(815) 247-8451
eickmans.com</t>
        </is>
      </c>
      <c r="O49" s="32" t="inlineStr">
        <is>
          <t>POSSIBLE</t>
        </is>
      </c>
      <c r="P49" s="5" t="inlineStr">
        <is>
          <t>Med</t>
        </is>
      </c>
      <c r="Q49" s="5" t="inlineStr">
        <is>
          <t>SMALL tier (~low-100s/wk est.). Stable family culture, USDA. Viable now that capacity is open — good Model A small-batch partner.</t>
        </is>
      </c>
    </row>
    <row r="50" ht="58" customHeight="1">
      <c r="A50" s="7" t="inlineStr">
        <is>
          <t>Ruthven Meat Processing</t>
        </is>
      </c>
      <c r="B50" s="5" t="inlineStr">
        <is>
          <t>Ruthven, IA</t>
        </is>
      </c>
      <c r="C50" s="5" t="inlineStr">
        <is>
          <t>USDA (Est. M2118), FSIS 'Very Small'</t>
        </is>
      </c>
      <c r="D50" s="5" t="inlineStr">
        <is>
          <t>low (very small)</t>
        </is>
      </c>
      <c r="E50" s="31" t="inlineStr">
        <is>
          <t>SMALL
(0-300/wk)</t>
        </is>
      </c>
      <c r="F50" s="5" t="inlineStr">
        <is>
          <t>Hogs NOT
confirmed</t>
        </is>
      </c>
      <c r="G50" s="5" t="inlineStr">
        <is>
          <t>USDA ✓</t>
        </is>
      </c>
      <c r="H50" s="5" t="inlineStr">
        <is>
          <t>None found in public sources</t>
        </is>
      </c>
      <c r="I50" s="5" t="inlineStr">
        <is>
          <t>Not on public export lists — verify</t>
        </is>
      </c>
      <c r="J50" s="5" t="inlineStr">
        <is>
          <t>Small locker</t>
        </is>
      </c>
      <c r="K50" s="5" t="inlineStr">
        <is>
          <t>Unknown</t>
        </is>
      </c>
      <c r="L50" s="5" t="inlineStr">
        <is>
          <t>Model A small batch</t>
        </is>
      </c>
      <c r="M50" s="5" t="inlineStr">
        <is>
          <t>Plausible</t>
        </is>
      </c>
      <c r="N50" s="5" t="inlineStr">
        <is>
          <t>(712) 837-5334</t>
        </is>
      </c>
      <c r="O50" s="32" t="inlineStr">
        <is>
          <t>CAUTION</t>
        </is>
      </c>
      <c r="P50" s="5" t="inlineStr">
        <is>
          <t>Low-Med</t>
        </is>
      </c>
      <c r="Q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35" t="inlineStr">
        <is>
          <t>HIGH
(&gt;5,000/wk)</t>
        </is>
      </c>
      <c r="F52" s="5" t="inlineStr">
        <is>
          <t>Yes</t>
        </is>
      </c>
      <c r="G52" s="5" t="inlineStr">
        <is>
          <t>USDA ✓
organic</t>
        </is>
      </c>
      <c r="H52" s="34" t="inlineStr">
        <is>
          <t>⚠ Humane-handling: NOIE 11/2020, suspension 04/2021 (Est. M5537); PETA sought charges (none filed on record).</t>
        </is>
      </c>
      <c r="I52" s="5" t="inlineStr">
        <is>
          <t>Export status not confirmed on public lists — verify</t>
        </is>
      </c>
      <c r="J52" s="5" t="inlineStr">
        <is>
          <t>NEGATIVE signal — an animal-rights group publicly sought charges over handling</t>
        </is>
      </c>
      <c r="K52" s="5" t="inlineStr">
        <is>
          <t>No biologics program found</t>
        </is>
      </c>
      <c r="L52" s="5" t="inlineStr">
        <is>
          <t>Unlikely</t>
        </is>
      </c>
      <c r="M52" s="5" t="inlineStr">
        <is>
          <t>Unlikely</t>
        </is>
      </c>
      <c r="N52" s="5" t="inlineStr">
        <is>
          <t>(712) 722-2555</t>
        </is>
      </c>
      <c r="O52" s="32" t="inlineStr">
        <is>
          <t>CAUTION</t>
        </is>
      </c>
      <c r="P52" s="5" t="inlineStr">
        <is>
          <t>High</t>
        </is>
      </c>
      <c r="Q52" s="5" t="inlineStr">
        <is>
          <t>HIGH tier — no longer excluded on size. Held at CAUTION on WELFARE, not volume: humane-handling NOIE 11/2020 and suspension 04/2021 (Est. M5537), and PETA sought criminal charges. No organ program found. Weigh heavily against the Nahunta standard.</t>
        </is>
      </c>
    </row>
    <row r="53" ht="58" customHeight="1">
      <c r="A53" s="7" t="inlineStr">
        <is>
          <t>Seaboard Triumph Foods</t>
        </is>
      </c>
      <c r="B53" s="5" t="inlineStr">
        <is>
          <t>Sioux City, IA</t>
        </is>
      </c>
      <c r="C53" s="5" t="inlineStr">
        <is>
          <t>Very large packer</t>
        </is>
      </c>
      <c r="D53" s="5" t="inlineStr">
        <is>
          <t>~10,000/DAY (up to 20-24k)</t>
        </is>
      </c>
      <c r="E53" s="35" t="inlineStr">
        <is>
          <t>HIGH
(&gt;5,000/wk)</t>
        </is>
      </c>
      <c r="F53" s="5" t="inlineStr">
        <is>
          <t>Yes</t>
        </is>
      </c>
      <c r="G53" s="5" t="inlineStr">
        <is>
          <t>USDA ✓</t>
        </is>
      </c>
      <c r="H53" s="5" t="inlineStr">
        <is>
          <t>No FSIS humane/recall found. Non-FSIS press: labor / child-labor fines, emissions.</t>
        </is>
      </c>
      <c r="I53" s="5" t="inlineStr">
        <is>
          <t>FSIS export-certified (edible, general; Est. M46071). EU-specific unverified</t>
        </is>
      </c>
      <c r="J53" s="5" t="inlineStr">
        <is>
          <t>Industrial</t>
        </is>
      </c>
      <c r="K53" s="5" t="inlineStr">
        <is>
          <t>NOT confirmed (no research-organ program found)</t>
        </is>
      </c>
      <c r="L53" s="5" t="inlineStr">
        <is>
          <t>Unlikely</t>
        </is>
      </c>
      <c r="M53" s="5" t="inlineStr">
        <is>
          <t>Unlikely</t>
        </is>
      </c>
      <c r="N53" s="5" t="inlineStr">
        <is>
          <t>—</t>
        </is>
      </c>
      <c r="O53" s="32" t="inlineStr">
        <is>
          <t>POSSIBLE</t>
        </is>
      </c>
      <c r="P53" s="5" t="inlineStr">
        <is>
          <t>High</t>
        </is>
      </c>
      <c r="Q53" s="5" t="inlineStr">
        <is>
          <t>HIGH tier. No longer excluded on size (~10-24k/day). Biologics program UNCONFIRMED — do NOT assume one exists; ask directly. Non-FSIS labour/child-labour press on record.</t>
        </is>
      </c>
    </row>
    <row r="54" ht="58" customHeight="1">
      <c r="A54" s="7" t="inlineStr">
        <is>
          <t>Prestage Foods of Iowa</t>
        </is>
      </c>
      <c r="B54" s="5" t="inlineStr">
        <is>
          <t>Eagle Grove, IA</t>
        </is>
      </c>
      <c r="C54" s="5" t="inlineStr">
        <is>
          <t>Very large packer</t>
        </is>
      </c>
      <c r="D54" s="5" t="inlineStr">
        <is>
          <t>~10,000-12,000/DAY</t>
        </is>
      </c>
      <c r="E54" s="35" t="inlineStr">
        <is>
          <t>HIGH
(&gt;5,000/wk)</t>
        </is>
      </c>
      <c r="F54" s="5" t="inlineStr">
        <is>
          <t>Yes</t>
        </is>
      </c>
      <c r="G54" s="5" t="inlineStr">
        <is>
          <t>USDA ✓</t>
        </is>
      </c>
      <c r="H54" s="34" t="inlineStr">
        <is>
          <t>⚠ REPEAT humane-handling suspensions 2020 &amp; 04/2022 (egregious). Est. M51340. PETA sought kill-floor cameras.</t>
        </is>
      </c>
      <c r="I54" s="5" t="inlineStr">
        <is>
          <t>Export-oriented; 'Certification–Export' not directly confirmed. EU unverified</t>
        </is>
      </c>
      <c r="J54" s="5" t="inlineStr">
        <is>
          <t>Industrial</t>
        </is>
      </c>
      <c r="K54" s="5" t="inlineStr">
        <is>
          <t>No organ program found</t>
        </is>
      </c>
      <c r="L54" s="5" t="inlineStr">
        <is>
          <t>Unlikely</t>
        </is>
      </c>
      <c r="M54" s="5" t="inlineStr">
        <is>
          <t>Unlikely</t>
        </is>
      </c>
      <c r="N54" s="5" t="inlineStr">
        <is>
          <t>—</t>
        </is>
      </c>
      <c r="O54" s="32" t="inlineStr">
        <is>
          <t>POSSIBLE</t>
        </is>
      </c>
      <c r="P54" s="5" t="inlineStr">
        <is>
          <t>High</t>
        </is>
      </c>
      <c r="Q54" s="5" t="inlineStr">
        <is>
          <t>HIGH tier. No longer excluded on size (~10-12k hogs/day). No organ program found — confirm directly. Documented repeat humane-handling suspensions (see enforcement).</t>
        </is>
      </c>
    </row>
    <row r="55" ht="58" customHeight="1">
      <c r="A55" s="7" t="inlineStr">
        <is>
          <t>Wholestone Farms</t>
        </is>
      </c>
      <c r="B55" s="5" t="inlineStr">
        <is>
          <t>Fremont, NE</t>
        </is>
      </c>
      <c r="C55" s="5" t="inlineStr">
        <is>
          <t>Very large packer</t>
        </is>
      </c>
      <c r="D55" s="5" t="inlineStr">
        <is>
          <t>~8,200/DAY (3M→5.6M/yr)</t>
        </is>
      </c>
      <c r="E55" s="35" t="inlineStr">
        <is>
          <t>HIGH
(&gt;5,000/wk)</t>
        </is>
      </c>
      <c r="F55" s="5" t="inlineStr">
        <is>
          <t>Yes</t>
        </is>
      </c>
      <c r="G55" s="5" t="inlineStr">
        <is>
          <t>USDA ✓</t>
        </is>
      </c>
      <c r="H55" s="34" t="inlineStr">
        <is>
          <t>⚠ Humane-handling NOIE 12/2019 (Est. M46491; captive bolt on a condemned hog).</t>
        </is>
      </c>
      <c r="I55" s="5" t="inlineStr">
        <is>
          <t>Not confirmed on public lists — verify</t>
        </is>
      </c>
      <c r="J55" s="5" t="inlineStr">
        <is>
          <t>Industrial</t>
        </is>
      </c>
      <c r="K55" s="5" t="inlineStr">
        <is>
          <t>Biologics unknown</t>
        </is>
      </c>
      <c r="L55" s="5" t="inlineStr">
        <is>
          <t>Unlikely</t>
        </is>
      </c>
      <c r="M55" s="5" t="inlineStr">
        <is>
          <t>Unlikely</t>
        </is>
      </c>
      <c r="N55" s="5" t="inlineStr">
        <is>
          <t>—</t>
        </is>
      </c>
      <c r="O55" s="32" t="inlineStr">
        <is>
          <t>POSSIBLE</t>
        </is>
      </c>
      <c r="P55" s="5" t="inlineStr">
        <is>
          <t>High</t>
        </is>
      </c>
      <c r="Q55" s="5" t="inlineStr">
        <is>
          <t>HIGH tier. No longer excluded on size. Biologics unknown — confirm. Humane-handling NOIE 12/2019 on record.</t>
        </is>
      </c>
    </row>
    <row r="56" ht="58" customHeight="1">
      <c r="A56" s="7" t="inlineStr">
        <is>
          <t>Other large regional (context)</t>
        </is>
      </c>
      <c r="B56" s="5" t="inlineStr">
        <is>
          <t>IA / Midwest</t>
        </is>
      </c>
      <c r="C56" s="5" t="inlineStr">
        <is>
          <t>Very large packers</t>
        </is>
      </c>
      <c r="D56" s="5" t="inlineStr">
        <is>
          <t>&gt;3,000/wk</t>
        </is>
      </c>
      <c r="E56" s="35" t="inlineStr">
        <is>
          <t>HIGH
(&gt;5,000/wk)</t>
        </is>
      </c>
      <c r="F56" s="5" t="inlineStr">
        <is>
          <t>Yes/mixed</t>
        </is>
      </c>
      <c r="G56" s="5" t="inlineStr">
        <is>
          <t>USDA ✓</t>
        </is>
      </c>
      <c r="H56" s="5" t="inlineStr">
        <is>
          <t>Varies by plant — check FSIS Quarterly Enforcement Reports per establishment #</t>
        </is>
      </c>
      <c r="I56" s="5" t="inlineStr">
        <is>
          <t>Varies — check FSIS 'Eligible Establishments by Country' + TRACES</t>
        </is>
      </c>
      <c r="J56" s="5" t="inlineStr">
        <is>
          <t>Industrial</t>
        </is>
      </c>
      <c r="K56" s="5" t="inlineStr">
        <is>
          <t>Not confirmed</t>
        </is>
      </c>
      <c r="L56" s="5" t="inlineStr">
        <is>
          <t>Unlikely</t>
        </is>
      </c>
      <c r="M56" s="5" t="inlineStr">
        <is>
          <t>Unlikely</t>
        </is>
      </c>
      <c r="N56" s="5" t="inlineStr">
        <is>
          <t>—</t>
        </is>
      </c>
      <c r="O56" s="32" t="inlineStr">
        <is>
          <t>CAUTION</t>
        </is>
      </c>
      <c r="P56" s="5" t="inlineStr">
        <is>
          <t>Med</t>
        </is>
      </c>
      <c r="Q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33" t="inlineStr">
        <is>
          <t>n/a</t>
        </is>
      </c>
      <c r="F58" s="5" t="inlineStr">
        <is>
          <t>Yes (minipigs)</t>
        </is>
      </c>
      <c r="G58" s="5" t="inlineStr">
        <is>
          <t>unknown</t>
        </is>
      </c>
      <c r="H58" s="5" t="inlineStr">
        <is>
          <t>None found (research minipig facility)</t>
        </is>
      </c>
      <c r="I58" s="5" t="inlineStr">
        <is>
          <t>Research minipig; APHIS VS channel — verify</t>
        </is>
      </c>
      <c r="J58" s="5" t="inlineStr">
        <is>
          <t>Research-scale program</t>
        </is>
      </c>
      <c r="K58" s="5" t="inlineStr">
        <is>
          <t>Minipig tissue / bio-samples (Sinclair, Yucatan, Hanford)</t>
        </is>
      </c>
      <c r="L58" s="5" t="inlineStr">
        <is>
          <t>n/a</t>
        </is>
      </c>
      <c r="M58" s="5" t="inlineStr">
        <is>
          <t>Comparator only</t>
        </is>
      </c>
      <c r="N58" s="5" t="inlineStr">
        <is>
          <t>sinclairbioresources.com</t>
        </is>
      </c>
      <c r="O58" s="32" t="inlineStr">
        <is>
          <t>CAUTION</t>
        </is>
      </c>
      <c r="P58" s="5" t="inlineStr">
        <is>
          <t>Med</t>
        </is>
      </c>
      <c r="Q58" s="5" t="inlineStr">
        <is>
          <t>MISMATCH: research minipigs at research scale, not 200-3,000/wk market hogs; tissue blocks would be minipig-sized. Useful as a comparator/specialty source, not a throughput abattoir.</t>
        </is>
      </c>
    </row>
  </sheetData>
  <autoFilter ref="A4:Q4"/>
  <mergeCells count="12">
    <mergeCell ref="A8:Q8"/>
    <mergeCell ref="A31:Q31"/>
    <mergeCell ref="A22:Q22"/>
    <mergeCell ref="A1:Q1"/>
    <mergeCell ref="A43:Q43"/>
    <mergeCell ref="A57:Q57"/>
    <mergeCell ref="A2:Q2"/>
    <mergeCell ref="A25:Q25"/>
    <mergeCell ref="A51:Q51"/>
    <mergeCell ref="A5:Q5"/>
    <mergeCell ref="A46:Q46"/>
    <mergeCell ref="A36:Q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38"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38"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39"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40"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40"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40"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38"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38"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38"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38"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39"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38"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40"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41"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41"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41"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17"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5" t="n"/>
      <c r="D27" s="65" t="n"/>
      <c r="E27" s="65" t="n"/>
      <c r="F27" s="65" t="n"/>
      <c r="G27" s="65" t="n"/>
      <c r="H27" s="65" t="n"/>
      <c r="I27" s="64" t="n"/>
    </row>
    <row r="28" ht="34" customHeight="1">
      <c r="A28" s="17"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65" t="n"/>
      <c r="D28" s="65" t="n"/>
      <c r="E28" s="65" t="n"/>
      <c r="F28" s="65" t="n"/>
      <c r="G28" s="65" t="n"/>
      <c r="H28" s="65" t="n"/>
      <c r="I28" s="64" t="n"/>
    </row>
    <row r="29" ht="36" customHeight="1">
      <c r="A29" s="17"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5" t="n"/>
      <c r="D29" s="65" t="n"/>
      <c r="E29" s="65" t="n"/>
      <c r="F29" s="65" t="n"/>
      <c r="G29" s="65" t="n"/>
      <c r="H29" s="65" t="n"/>
      <c r="I29" s="64"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65" t="n"/>
      <c r="C15" s="65" t="n"/>
      <c r="D15" s="64"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5" t="n"/>
      <c r="C16" s="65" t="n"/>
      <c r="D16" s="64" t="n"/>
    </row>
    <row r="17" ht="24" customHeight="1">
      <c r="A17" s="5" t="inlineStr">
        <is>
          <t>•  Custom dissection / processing fees: vendors charge for anything beyond base config (extra vessels, cannulation, specific trim, saline/PBS perfusion) — exactly the work you already do in-house.</t>
        </is>
      </c>
      <c r="B17" s="65" t="n"/>
      <c r="C17" s="65" t="n"/>
      <c r="D17" s="64" t="n"/>
    </row>
    <row r="18" ht="24" customHeight="1">
      <c r="A18" s="5" t="inlineStr">
        <is>
          <t>•  Freshness / warm-ischemia: self-harvest is unbeatable (minutes). Vendors mitigate with overnight fresh-on-ice, but you still lose hours-to-a-day and pay cold-chain/dry-ice freight.</t>
        </is>
      </c>
      <c r="B18" s="65" t="n"/>
      <c r="C18" s="65" t="n"/>
      <c r="D18" s="64" t="n"/>
    </row>
    <row r="19" ht="24" customHeight="1">
      <c r="A19" s="5" t="inlineStr">
        <is>
          <t>•  Minimums, lead times, shipping: published lead times run up to 2-4 weeks (Pel-Freez); custom collections longer.</t>
        </is>
      </c>
      <c r="B19" s="65" t="n"/>
      <c r="C19" s="65" t="n"/>
      <c r="D19" s="64"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5" t="n"/>
      <c r="C20" s="65" t="n"/>
      <c r="D20" s="64"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5" t="n"/>
      <c r="C21" s="65" t="n"/>
      <c r="D21" s="64"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42" t="inlineStr">
        <is>
          <t>Legend:  blue cells on pale-yellow = you edit  ·  black = calculated  ·  ★ = the answer.  Values shown are ILLUSTRATIVE placeholders — swap in your real numbers/quotes.</t>
        </is>
      </c>
    </row>
    <row r="5" ht="20" customHeight="1">
      <c r="A5" s="43" t="inlineStr">
        <is>
          <t>A.  HARVEST SESSION  (per visit)</t>
        </is>
      </c>
    </row>
    <row r="6" ht="18" customHeight="1">
      <c r="A6" s="44" t="inlineStr">
        <is>
          <t>Blocks / organs harvested per visit</t>
        </is>
      </c>
      <c r="C6" s="45" t="n">
        <v>40</v>
      </c>
      <c r="D6" s="46" t="inlineStr">
        <is>
          <t>How many pieces you collect in one trip.</t>
        </is>
      </c>
    </row>
    <row r="7" ht="18" customHeight="1">
      <c r="A7" s="44" t="inlineStr">
        <is>
          <t>Harvest time per block (minutes)</t>
        </is>
      </c>
      <c r="C7" s="47" t="n">
        <v>15</v>
      </c>
      <c r="D7" s="46" t="inlineStr">
        <is>
          <t>Hands-on time to harvest one block/organ.</t>
        </is>
      </c>
    </row>
    <row r="8" ht="18" customHeight="1">
      <c r="A8" s="44" t="inlineStr">
        <is>
          <t>Harvesters on site (#)</t>
        </is>
      </c>
      <c r="C8" s="45" t="n">
        <v>2</v>
      </c>
      <c r="D8" s="46" t="inlineStr">
        <is>
          <t>Your crew size. For Model B (plant harvests) set 0.</t>
        </is>
      </c>
    </row>
    <row r="9" ht="18" customHeight="1">
      <c r="A9" s="44" t="inlineStr">
        <is>
          <t>Harvester labor rate ($/hr, loaded)</t>
        </is>
      </c>
      <c r="C9" s="48" t="n">
        <v>45</v>
      </c>
      <c r="D9" s="46" t="inlineStr">
        <is>
          <t>Fully-loaded wage incl. burden.</t>
        </is>
      </c>
    </row>
    <row r="10" ht="18" customHeight="1">
      <c r="A10" s="44" t="inlineStr">
        <is>
          <t>Session hours (wall-clock)</t>
        </is>
      </c>
      <c r="C10" s="49">
        <f>C6*C7/60</f>
        <v/>
      </c>
      <c r="D10" s="46">
        <f> blocks × min/block ÷ 60.</f>
        <v/>
      </c>
    </row>
    <row r="11" ht="18" customHeight="1">
      <c r="A11" s="44" t="inlineStr">
        <is>
          <t>Harvester labor per visit</t>
        </is>
      </c>
      <c r="C11" s="50">
        <f>C10*C8*C9</f>
        <v/>
      </c>
      <c r="D11" s="46">
        <f> session hours × crew × rate.</f>
        <v/>
      </c>
    </row>
    <row r="12" ht="20" customHeight="1">
      <c r="A12" s="43" t="inlineStr">
        <is>
          <t>B.  FACILITY ACCESS  (per visit — varies by slaughterhouse)</t>
        </is>
      </c>
    </row>
    <row r="13" ht="18" customHeight="1">
      <c r="A13" s="44" t="inlineStr">
        <is>
          <t>Space / line rental per visit ($)</t>
        </is>
      </c>
      <c r="C13" s="48" t="n">
        <v>500</v>
      </c>
      <c r="D13" s="46" t="inlineStr">
        <is>
          <t>Model A: rent floor/cooler access. 0 if none / relationship.</t>
        </is>
      </c>
    </row>
    <row r="14" ht="18" customHeight="1">
      <c r="A14" s="44" t="inlineStr">
        <is>
          <t>Plant inspection / handling fee per visit ($)</t>
        </is>
      </c>
      <c r="C14" s="48" t="n">
        <v>150</v>
      </c>
      <c r="D14" s="46" t="inlineStr">
        <is>
          <t>Plant's charge for their staff/line time — OR the Model B per-visit harvest fee.</t>
        </is>
      </c>
    </row>
    <row r="15" ht="18" customHeight="1">
      <c r="A15" s="44" t="inlineStr">
        <is>
          <t>Our inspector / trainer cost per visit ($)</t>
        </is>
      </c>
      <c r="C15" s="48" t="n">
        <v>0</v>
      </c>
      <c r="D15" s="46" t="inlineStr">
        <is>
          <t>Model B: amortized day-rate + travel of trainers/inspectors we send.</t>
        </is>
      </c>
    </row>
    <row r="16" ht="18" customHeight="1">
      <c r="A16" s="44" t="inlineStr">
        <is>
          <t>Facility fixed subtotal</t>
        </is>
      </c>
      <c r="C16" s="50">
        <f>C13+C14+C15</f>
        <v/>
      </c>
      <c r="D16" s="46">
        <f> rental + plant fee + our inspector.</f>
        <v/>
      </c>
    </row>
    <row r="17" ht="20" customHeight="1">
      <c r="A17" s="43" t="inlineStr">
        <is>
          <t>C.  LOGISTICS &amp; HOLDING</t>
        </is>
      </c>
    </row>
    <row r="18" ht="18" customHeight="1">
      <c r="A18" s="44" t="inlineStr">
        <is>
          <t>Transportation per visit ($)</t>
        </is>
      </c>
      <c r="C18" s="48" t="n">
        <v>300</v>
      </c>
      <c r="D18" s="46" t="inlineStr">
        <is>
          <t>Round-trip freight / vehicle / fuel / cold-chain for the trip.</t>
        </is>
      </c>
    </row>
    <row r="19" ht="18" customHeight="1">
      <c r="A19" s="44" t="inlineStr">
        <is>
          <t>Inventory / holding cost per block ($)</t>
        </is>
      </c>
      <c r="C19" s="48" t="n">
        <v>8</v>
      </c>
      <c r="D19" s="46" t="inlineStr">
        <is>
          <t>Preservation, cold storage, holding per piece.</t>
        </is>
      </c>
    </row>
    <row r="20" ht="20" customHeight="1">
      <c r="A20" s="43" t="inlineStr">
        <is>
          <t>D.  RESULT</t>
        </is>
      </c>
    </row>
    <row r="21" ht="18" customHeight="1">
      <c r="A21" s="44" t="inlineStr">
        <is>
          <t>Per-visit fixed + transport</t>
        </is>
      </c>
      <c r="C21" s="50">
        <f>C16+C18</f>
        <v/>
      </c>
      <c r="D21" s="46">
        <f> facility fixed + transportation.</f>
        <v/>
      </c>
    </row>
    <row r="22" ht="18" customHeight="1">
      <c r="A22" s="44" t="inlineStr">
        <is>
          <t>Total cost per visit</t>
        </is>
      </c>
      <c r="C22" s="50">
        <f>C21+C11+C19*C6</f>
        <v/>
      </c>
      <c r="D22" s="46">
        <f> fixed+transport + harvester labor + inventory × blocks.</f>
        <v/>
      </c>
    </row>
    <row r="23" ht="18" customHeight="1">
      <c r="A23" s="51" t="inlineStr">
        <is>
          <t>★ TOTAL COST PER BLOCK</t>
        </is>
      </c>
      <c r="C23" s="52">
        <f>IF(C6&gt;0,C22/C6,0)</f>
        <v/>
      </c>
      <c r="D23" s="46">
        <f> total cost per visit ÷ blocks. Your self-harvest unit cost.</f>
        <v/>
      </c>
    </row>
    <row r="24" ht="18" customHeight="1">
      <c r="A24" s="44" t="inlineStr">
        <is>
          <t>Memo: harvester labor per block</t>
        </is>
      </c>
      <c r="C24" s="50">
        <f>IF(C6&gt;0,C11/C6,0)</f>
        <v/>
      </c>
      <c r="D24" s="46">
        <f> (min/block ÷ 60) × crew × rate.</f>
        <v/>
      </c>
    </row>
    <row r="25" ht="18" customHeight="1">
      <c r="A25" s="44" t="inlineStr">
        <is>
          <t>Memo: fixed+transport per block</t>
        </is>
      </c>
      <c r="C25" s="50">
        <f>IF(C6&gt;0,C21/C6,0)</f>
        <v/>
      </c>
      <c r="D25" s="46" t="inlineStr">
        <is>
          <t>Spread of per-visit fixed costs — falls as blocks/visit rises.</t>
        </is>
      </c>
    </row>
    <row r="26" ht="20" customHeight="1">
      <c r="A26" s="43" t="inlineStr">
        <is>
          <t>E.  BUY-DIRECT BENCHMARK  (real published list prices)</t>
        </is>
      </c>
    </row>
    <row r="27" ht="18" customHeight="1">
      <c r="A27" s="44" t="inlineStr">
        <is>
          <t>Buy-direct: single porcine organ ($)</t>
        </is>
      </c>
      <c r="C27" s="48" t="n">
        <v>141</v>
      </c>
      <c r="D27" s="46" t="inlineStr">
        <is>
          <t>Innovative Research list, base config (real published price).</t>
        </is>
      </c>
    </row>
    <row r="28" ht="18" customHeight="1">
      <c r="A28" s="44" t="inlineStr">
        <is>
          <t>Buy-direct: pelvic block ($)</t>
        </is>
      </c>
      <c r="C28" s="48" t="n">
        <v>582</v>
      </c>
      <c r="D28" s="46" t="inlineStr">
        <is>
          <t>Innovative Research list, base config (real published price).</t>
        </is>
      </c>
    </row>
    <row r="29" ht="18" customHeight="1">
      <c r="A29" s="44" t="inlineStr">
        <is>
          <t>Δ self-harvest vs buy-direct (per organ)</t>
        </is>
      </c>
      <c r="C29" s="50">
        <f>C23-C27</f>
        <v/>
      </c>
      <c r="D29" s="46" t="inlineStr">
        <is>
          <t>Negative = self-harvest cheaper per organ.</t>
        </is>
      </c>
    </row>
    <row r="30" ht="18" customHeight="1">
      <c r="A30" s="44" t="inlineStr">
        <is>
          <t>Verdict</t>
        </is>
      </c>
      <c r="C30" s="53">
        <f>IF(C23&lt;=C27,"Self-harvest cheaper / on par","Buying direct cheaper per organ")</f>
        <v/>
      </c>
      <c r="D30" s="46" t="inlineStr">
        <is>
          <t>Rule of thumb; one visit yields many blocks, favoring self-harvest.</t>
        </is>
      </c>
    </row>
    <row r="32" ht="20" customHeight="1">
      <c r="A32" s="43" t="inlineStr">
        <is>
          <t>PER-SLAUGHTERHOUSE COMPARISON  (illustrative placeholders — replace with real figures/quotes)</t>
        </is>
      </c>
    </row>
    <row r="33" ht="30" customHeight="1">
      <c r="A33" s="54" t="inlineStr">
        <is>
          <t>Facility</t>
        </is>
      </c>
      <c r="B33" s="54" t="inlineStr">
        <is>
          <t>Blocks/
visit</t>
        </is>
      </c>
      <c r="C33" s="54" t="inlineStr">
        <is>
          <t>Min/
block</t>
        </is>
      </c>
      <c r="D33" s="54" t="inlineStr">
        <is>
          <t>Crew</t>
        </is>
      </c>
      <c r="E33" s="54" t="inlineStr">
        <is>
          <t>$/hr</t>
        </is>
      </c>
      <c r="F33" s="54" t="inlineStr">
        <is>
          <t>Rental/
visit</t>
        </is>
      </c>
      <c r="G33" s="54" t="inlineStr">
        <is>
          <t>Plant fee /
harvest fee</t>
        </is>
      </c>
      <c r="H33" s="54" t="inlineStr">
        <is>
          <t>Our insp/
visit</t>
        </is>
      </c>
      <c r="I33" s="54" t="inlineStr">
        <is>
          <t>Transport/
visit</t>
        </is>
      </c>
      <c r="J33" s="54" t="inlineStr">
        <is>
          <t>Inv/
block</t>
        </is>
      </c>
      <c r="K33" s="54" t="inlineStr">
        <is>
          <t>⇒ Cost/
block</t>
        </is>
      </c>
      <c r="L33" s="54" t="inlineStr">
        <is>
          <t>vs $/organ
direct</t>
        </is>
      </c>
    </row>
    <row r="34" ht="22" customHeight="1">
      <c r="A34" s="16" t="inlineStr">
        <is>
          <t>Nahunta Pork Center (Pikeville, NC)</t>
        </is>
      </c>
      <c r="B34" s="45" t="n">
        <v>40</v>
      </c>
      <c r="C34" s="47" t="n">
        <v>15</v>
      </c>
      <c r="D34" s="45" t="n">
        <v>2</v>
      </c>
      <c r="E34" s="48" t="n">
        <v>45</v>
      </c>
      <c r="F34" s="48" t="n">
        <v>0</v>
      </c>
      <c r="G34" s="48" t="n">
        <v>100</v>
      </c>
      <c r="H34" s="48" t="n">
        <v>0</v>
      </c>
      <c r="I34" s="48" t="n">
        <v>150</v>
      </c>
      <c r="J34" s="48" t="n">
        <v>8</v>
      </c>
      <c r="K34" s="55">
        <f>IF(B34&gt;0,(F34+G34+H34+I34+(B34*C34/60)*D34*E34+J34*B34)/B34,0)</f>
        <v/>
      </c>
      <c r="L34" s="50">
        <f>K34-$C$27</f>
        <v/>
      </c>
    </row>
    <row r="35" ht="22" customHeight="1">
      <c r="A35" s="16" t="inlineStr">
        <is>
          <t>Martin's Pork Products (Falcon, NC)</t>
        </is>
      </c>
      <c r="B35" s="45" t="n">
        <v>50</v>
      </c>
      <c r="C35" s="47" t="n">
        <v>15</v>
      </c>
      <c r="D35" s="45" t="n">
        <v>2</v>
      </c>
      <c r="E35" s="48" t="n">
        <v>45</v>
      </c>
      <c r="F35" s="48" t="n">
        <v>0</v>
      </c>
      <c r="G35" s="48" t="n">
        <v>150</v>
      </c>
      <c r="H35" s="48" t="n">
        <v>0</v>
      </c>
      <c r="I35" s="48" t="n">
        <v>175</v>
      </c>
      <c r="J35" s="48" t="n">
        <v>8</v>
      </c>
      <c r="K35" s="55">
        <f>IF(B35&gt;0,(F35+G35+H35+I35+(B35*C35/60)*D35*E35+J35*B35)/B35,0)</f>
        <v/>
      </c>
      <c r="L35" s="50">
        <f>K35-$C$27</f>
        <v/>
      </c>
    </row>
    <row r="36" ht="22" customHeight="1">
      <c r="A36" s="16" t="inlineStr">
        <is>
          <t>Piedmont Custom Meats (NC)</t>
        </is>
      </c>
      <c r="B36" s="45" t="n">
        <v>45</v>
      </c>
      <c r="C36" s="47" t="n">
        <v>15</v>
      </c>
      <c r="D36" s="45" t="n">
        <v>2</v>
      </c>
      <c r="E36" s="48" t="n">
        <v>45</v>
      </c>
      <c r="F36" s="48" t="n">
        <v>400</v>
      </c>
      <c r="G36" s="48" t="n">
        <v>0</v>
      </c>
      <c r="H36" s="48" t="n">
        <v>0</v>
      </c>
      <c r="I36" s="48" t="n">
        <v>200</v>
      </c>
      <c r="J36" s="48" t="n">
        <v>8</v>
      </c>
      <c r="K36" s="55">
        <f>IF(B36&gt;0,(F36+G36+H36+I36+(B36*C36/60)*D36*E36+J36*B36)/B36,0)</f>
        <v/>
      </c>
      <c r="L36" s="50">
        <f>K36-$C$27</f>
        <v/>
      </c>
    </row>
    <row r="37" ht="22" customHeight="1">
      <c r="A37" s="16" t="inlineStr">
        <is>
          <t>Acre Station Meat Farm (NC)</t>
        </is>
      </c>
      <c r="B37" s="45" t="n">
        <v>30</v>
      </c>
      <c r="C37" s="47" t="n">
        <v>15</v>
      </c>
      <c r="D37" s="45" t="n">
        <v>2</v>
      </c>
      <c r="E37" s="48" t="n">
        <v>45</v>
      </c>
      <c r="F37" s="48" t="n">
        <v>350</v>
      </c>
      <c r="G37" s="48" t="n">
        <v>0</v>
      </c>
      <c r="H37" s="48" t="n">
        <v>0</v>
      </c>
      <c r="I37" s="48" t="n">
        <v>220</v>
      </c>
      <c r="J37" s="48" t="n">
        <v>8</v>
      </c>
      <c r="K37" s="55">
        <f>IF(B37&gt;0,(F37+G37+H37+I37+(B37*C37/60)*D37*E37+J37*B37)/B37,0)</f>
        <v/>
      </c>
      <c r="L37" s="50">
        <f>K37-$C$27</f>
        <v/>
      </c>
    </row>
    <row r="38" ht="22" customHeight="1">
      <c r="A38" s="16" t="inlineStr">
        <is>
          <t>EcoFriendly Foods (Moneta, VA)</t>
        </is>
      </c>
      <c r="B38" s="45" t="n">
        <v>30</v>
      </c>
      <c r="C38" s="47" t="n">
        <v>15</v>
      </c>
      <c r="D38" s="45" t="n">
        <v>2</v>
      </c>
      <c r="E38" s="48" t="n">
        <v>48</v>
      </c>
      <c r="F38" s="48" t="n">
        <v>400</v>
      </c>
      <c r="G38" s="48" t="n">
        <v>0</v>
      </c>
      <c r="H38" s="48" t="n">
        <v>0</v>
      </c>
      <c r="I38" s="48" t="n">
        <v>350</v>
      </c>
      <c r="J38" s="48" t="n">
        <v>9</v>
      </c>
      <c r="K38" s="55">
        <f>IF(B38&gt;0,(F38+G38+H38+I38+(B38*C38/60)*D38*E38+J38*B38)/B38,0)</f>
        <v/>
      </c>
      <c r="L38" s="50">
        <f>K38-$C$27</f>
        <v/>
      </c>
    </row>
    <row r="39" ht="22" customHeight="1">
      <c r="A39" s="16" t="inlineStr">
        <is>
          <t>Midwest Research Swine (MN) — Model B</t>
        </is>
      </c>
      <c r="B39" s="45" t="n">
        <v>60</v>
      </c>
      <c r="C39" s="47" t="n">
        <v>12</v>
      </c>
      <c r="D39" s="45" t="n">
        <v>0</v>
      </c>
      <c r="E39" s="48" t="n">
        <v>45</v>
      </c>
      <c r="F39" s="48" t="n">
        <v>0</v>
      </c>
      <c r="G39" s="48" t="n">
        <v>900</v>
      </c>
      <c r="H39" s="48" t="n">
        <v>200</v>
      </c>
      <c r="I39" s="48" t="n">
        <v>400</v>
      </c>
      <c r="J39" s="48" t="n">
        <v>9</v>
      </c>
      <c r="K39" s="55">
        <f>IF(B39&gt;0,(F39+G39+H39+I39+(B39*C39/60)*D39*E39+J39*B39)/B39,0)</f>
        <v/>
      </c>
      <c r="L39" s="50">
        <f>K39-$C$27</f>
        <v/>
      </c>
    </row>
    <row r="40" ht="22" customHeight="1">
      <c r="A40" s="16" t="inlineStr">
        <is>
          <t>Smithfield BioScience (IA) — Model B</t>
        </is>
      </c>
      <c r="B40" s="45" t="n">
        <v>80</v>
      </c>
      <c r="C40" s="47" t="n">
        <v>10</v>
      </c>
      <c r="D40" s="45" t="n">
        <v>0</v>
      </c>
      <c r="E40" s="48" t="n">
        <v>45</v>
      </c>
      <c r="F40" s="48" t="n">
        <v>0</v>
      </c>
      <c r="G40" s="48" t="n">
        <v>1200</v>
      </c>
      <c r="H40" s="48" t="n">
        <v>150</v>
      </c>
      <c r="I40" s="48" t="n">
        <v>300</v>
      </c>
      <c r="J40" s="48" t="n">
        <v>8</v>
      </c>
      <c r="K40" s="55">
        <f>IF(B40&gt;0,(F40+G40+H40+I40+(B40*C40/60)*D40*E40+J40*B40)/B40,0)</f>
        <v/>
      </c>
      <c r="L40" s="50">
        <f>K40-$C$27</f>
        <v/>
      </c>
    </row>
    <row r="42" ht="16" customHeight="1">
      <c r="A42" s="56" t="inlineStr">
        <is>
          <t>•  For Model B (plant harvests): set Crew = 0 and enter the plant's per-visit harvest fee under 'Plant fee / harvest fee'.</t>
        </is>
      </c>
    </row>
    <row r="43" ht="22" customHeight="1">
      <c r="A43" s="56" t="inlineStr">
        <is>
          <t>•  Cost/block = (rental + plant fee + our inspector + transport + harvester labor + inventory × blocks) ÷ blocks.  Harvester labor = (min/block ÷ 60) × blocks × crew × rate.</t>
        </is>
      </c>
    </row>
    <row r="44" ht="22" customHeight="1">
      <c r="A44" s="56" t="inlineStr">
        <is>
          <t>•  Compare Cost/block (col ⇒) to buy-direct list prices: ~$141/organ and $582/pelvic block (Innovative Research). Self-harvest usually wins because one visit yields many blocks at once.</t>
        </is>
      </c>
    </row>
    <row r="45" ht="22" customHeight="1">
      <c r="A45" s="5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13"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5" t="n"/>
      <c r="C4" s="64" t="n"/>
    </row>
    <row r="6" ht="20" customHeight="1">
      <c r="A6" s="43" t="inlineStr">
        <is>
          <t>HOW TO CHECK APHIS / EXPORT STATUS YOURSELF  (the lookup sites)</t>
        </is>
      </c>
    </row>
    <row r="7" ht="18" customHeight="1">
      <c r="A7" s="10" t="inlineStr">
        <is>
          <t>There is NO single 'APHIS-certified slaughterhouse' lookup — the right source depends on WHAT is exported.</t>
        </is>
      </c>
      <c r="B7" s="65" t="n"/>
      <c r="C7" s="64"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64"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64"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4"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4"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64" t="n"/>
    </row>
    <row r="14" ht="20" customHeight="1">
      <c r="A14" s="43" t="inlineStr">
        <is>
          <t>THE THREE REGIMES — APHIS vs FSIS vs STATE  (not tiers of one thing)</t>
        </is>
      </c>
    </row>
    <row r="15" ht="20" customHeight="1">
      <c r="A15" s="57" t="inlineStr">
        <is>
          <t>Program</t>
        </is>
      </c>
      <c r="B15" s="57" t="inlineStr">
        <is>
          <t>Purpose</t>
        </is>
      </c>
      <c r="C15" s="57" t="inlineStr">
        <is>
          <t>What it means for you</t>
        </is>
      </c>
    </row>
    <row r="16" ht="62" customHeight="1">
      <c r="A16" s="58"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58"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58"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43"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4"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4" t="n"/>
    </row>
    <row r="23" ht="18" customHeight="1">
      <c r="A23" s="10" t="inlineStr">
        <is>
          <t>The four-step import spine</t>
        </is>
      </c>
      <c r="B23" s="65" t="n"/>
      <c r="C23" s="64" t="n"/>
    </row>
    <row r="24" ht="26" customHeight="1">
      <c r="A24" s="5" t="inlineStr">
        <is>
          <t>•  1. APPROVED THIRD COUNTRY — the US must be listed for that ABP category (country lists in Annex XIV of Reg (EU) 142/2011, amended e.g. by Reg (EU) 2022/384). The US is listed for many ABP categories.</t>
        </is>
      </c>
      <c r="B24" s="65" t="n"/>
      <c r="C24" s="64"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65" t="n"/>
      <c r="C25" s="64" t="n"/>
    </row>
    <row r="26" ht="26" customHeight="1">
      <c r="A26" s="5" t="inlineStr">
        <is>
          <t>•  3. ENDORSED HEALTH CERTIFICATE — a model veterinary health certificate (matching the category/use, from the 142/2011 annexes) accompanies the consignment, endorsed by APHIS Veterinary Services.</t>
        </is>
      </c>
      <c r="B26" s="65" t="n"/>
      <c r="C26" s="64"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65" t="n"/>
      <c r="C27" s="64"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64" t="n"/>
    </row>
    <row r="29" ht="20" customHeight="1">
      <c r="A29" s="43"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5" t="n"/>
      <c r="C30" s="64" t="n"/>
    </row>
    <row r="31" ht="26" customHeight="1">
      <c r="A31" s="5" t="inlineStr">
        <is>
          <t>•  If it IS a device: Regulation (EU) 2017/745 (MDR), Annex I GSPR 13.1 governs devices manufactured using animal tissue.</t>
        </is>
      </c>
      <c r="B31" s="65" t="n"/>
      <c r="C31" s="64"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65" t="n"/>
      <c r="C32" s="64"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5" t="n"/>
      <c r="C33" s="64" t="n"/>
    </row>
    <row r="34" ht="20" customHeight="1">
      <c r="A34" s="43"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65" t="n"/>
      <c r="C35" s="64"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5" t="n"/>
      <c r="C36" s="64"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5" t="n"/>
      <c r="C37" s="64" t="n"/>
    </row>
    <row r="39" ht="20" customHeight="1">
      <c r="A39" s="43" t="inlineStr">
        <is>
          <t>SUPPLIER CHECKLIST — require in writing (also in the Call Question Sheet, section G)</t>
        </is>
      </c>
    </row>
    <row r="40" ht="36" customHeight="1">
      <c r="A40" s="59" t="n">
        <v>1</v>
      </c>
      <c r="B40" s="5" t="inlineStr">
        <is>
          <t>APHIS export eligibility / facility approval — is the establishment already APHIS-approved and on the EU TRACES establishment list for the relevant ABP category? If not, willing to apply via APHIS VS?</t>
        </is>
      </c>
      <c r="C40" s="64" t="n"/>
    </row>
    <row r="41" ht="36" customHeight="1">
      <c r="A41" s="59" t="n">
        <v>2</v>
      </c>
      <c r="B41" s="5" t="inlineStr">
        <is>
          <t>Inspection status — USDA-FSIS or state-inspected? Can it document ante-mortem AND post-mortem veterinary inspection of the source animals? (Needed for many EU certificates and for MDR 13.1.)</t>
        </is>
      </c>
      <c r="C41" s="64" t="n"/>
    </row>
    <row r="42" ht="36" customHeight="1">
      <c r="A42" s="59" t="n">
        <v>3</v>
      </c>
      <c r="B42" s="5" t="inlineStr">
        <is>
          <t>Veterinary health certificates / affidavits — can it supply the source declarations/affidavits APHIS VS needs to endorse the EU model health certificate, and per-lot documentation?</t>
        </is>
      </c>
      <c r="C42" s="64" t="n"/>
    </row>
    <row r="43" ht="36" customHeight="1">
      <c r="A43" s="59" t="n">
        <v>4</v>
      </c>
      <c r="B43" s="5" t="inlineStr">
        <is>
          <t>Species, herd health &amp; country/region of origin — porcine only; US origin; herd-health assurances; animals healthy and fit for human consumption, with fallen stock / emergency-slaughtered / diseased animals excluded.</t>
        </is>
      </c>
      <c r="C43" s="64" t="n"/>
    </row>
    <row r="44" ht="36" customHeight="1">
      <c r="A44" s="59" t="n">
        <v>5</v>
      </c>
      <c r="B44" s="5" t="inlineStr">
        <is>
          <t>Traceability — lot-level traceability from live animal → tissue → shipment, and retention of geographical-origin records (required under MDR Annex I 13.1 if the end product is a device).</t>
        </is>
      </c>
      <c r="C44" s="64" t="n"/>
    </row>
    <row r="45" ht="36" customHeight="1">
      <c r="A45" s="59" t="n">
        <v>6</v>
      </c>
      <c r="B45" s="5" t="inlineStr">
        <is>
          <t>Records retention &amp; audit access — inspection, sourcing, and lot records; willingness to support APHIS facility audits and (if a device) notified-body / ISO 22442 documentation requests.</t>
        </is>
      </c>
      <c r="C45" s="64" t="n"/>
    </row>
    <row r="46" ht="36" customHeight="1">
      <c r="A46" s="59"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64" t="n"/>
    </row>
    <row r="48" ht="20" customHeight="1">
      <c r="A48" s="43"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65" t="n"/>
      <c r="C49" s="64" t="n"/>
    </row>
    <row r="50" ht="26" customHeight="1">
      <c r="A50" s="5" t="inlineStr">
        <is>
          <t>•  Your EU importer — lodges the TRACES/CHED entry and knows the receiving Member State's border-control expectations.</t>
        </is>
      </c>
      <c r="B50" s="65" t="n"/>
      <c r="C50" s="64" t="n"/>
    </row>
    <row r="51" ht="26" customHeight="1">
      <c r="A51" s="5" t="inlineStr">
        <is>
          <t>•  A customs / regulatory specialist — to fix the ABP category, CN code, and correct 142/2011 model certificate per product line.</t>
        </is>
      </c>
      <c r="B51" s="65" t="n"/>
      <c r="C51" s="64" t="n"/>
    </row>
    <row r="52" ht="26" customHeight="1">
      <c r="A52" s="5" t="inlineStr">
        <is>
          <t>•  A notified body — only if any product is actually a medical device (MDR Annex I 13.1; porcine is outside 722/2012 but still scrutinized).</t>
        </is>
      </c>
      <c r="B52" s="65" t="n"/>
      <c r="C52" s="64" t="n"/>
    </row>
    <row r="54" ht="20" customHeight="1">
      <c r="A54" s="43" t="inlineStr">
        <is>
          <t>KEY SOURCES</t>
        </is>
      </c>
    </row>
    <row r="55" ht="24" customHeight="1">
      <c r="A55" s="60" t="inlineStr">
        <is>
          <t>•  APHIS — International Animal Product Export Regulations (IREGS): aphis.usda.gov/animal-product-export/international-animal-product-export-regulations</t>
        </is>
      </c>
      <c r="B55" s="65" t="n"/>
      <c r="C55" s="64" t="n"/>
    </row>
    <row r="56" ht="24" customHeight="1">
      <c r="A56" s="60" t="inlineStr">
        <is>
          <t>•  APHIS — Export Animal Products to the EU: aphis.usda.gov/animal-product-export/export-animal-products-european-union</t>
        </is>
      </c>
      <c r="B56" s="65" t="n"/>
      <c r="C56" s="64" t="n"/>
    </row>
    <row r="57" ht="24" customHeight="1">
      <c r="A57" s="60" t="inlineStr">
        <is>
          <t>•  EU ABP — Reg (EC) 1069/2009 (EUR-Lex summary) &amp; Reg (EU) 142/2011 (legislation.gov.uk consolidated); country lists Annex XIV via Reg (EU) 2022/384</t>
        </is>
      </c>
      <c r="B57" s="65" t="n"/>
      <c r="C57" s="64" t="n"/>
    </row>
    <row r="58" ht="24" customHeight="1">
      <c r="A58" s="60" t="inlineStr">
        <is>
          <t>•  EU devices — MDR (EU) 2017/745 (EUR-Lex); Reg (EU) 722/2012 (legislation.gov.uk) — porcine NOT covered; ISO 22442 series (industry practice)</t>
        </is>
      </c>
      <c r="B58" s="65" t="n"/>
      <c r="C58" s="64" t="n"/>
    </row>
    <row r="59" ht="24" customHeight="1">
      <c r="A59" s="60" t="inlineStr">
        <is>
          <t>•  USDA-EU approved U.S. establishments: usda-eu.org/import-controls/approved-u-s-establishments  ·  Third-country establishment lists explained: agrinfo.eu</t>
        </is>
      </c>
      <c r="B59" s="65" t="n"/>
      <c r="C59" s="64"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58" t="inlineStr"/>
      <c r="B4" s="4" t="inlineStr">
        <is>
          <t>Plant / contact</t>
        </is>
      </c>
      <c r="C4" s="8" t="inlineStr"/>
    </row>
    <row r="5" ht="20" customHeight="1">
      <c r="A5" s="58" t="inlineStr"/>
      <c r="B5" s="4" t="inlineStr">
        <is>
          <t>Phone / email</t>
        </is>
      </c>
      <c r="C5" s="8" t="inlineStr"/>
    </row>
    <row r="6" ht="20" customHeight="1">
      <c r="A6" s="58" t="inlineStr"/>
      <c r="B6" s="4" t="inlineStr">
        <is>
          <t>Date of call / caller</t>
        </is>
      </c>
      <c r="C6" s="8" t="inlineStr"/>
    </row>
    <row r="8" ht="20" customHeight="1">
      <c r="A8" s="43" t="inlineStr">
        <is>
          <t>A. HARD GATE — volume &amp; species</t>
        </is>
      </c>
    </row>
    <row r="9" ht="18" customHeight="1">
      <c r="A9" s="54" t="inlineStr">
        <is>
          <t>#</t>
        </is>
      </c>
      <c r="B9" s="54" t="inlineStr">
        <is>
          <t>Question</t>
        </is>
      </c>
      <c r="C9" s="54" t="inlineStr">
        <is>
          <t>Answer / Notes</t>
        </is>
      </c>
    </row>
    <row r="10" ht="30" customHeight="1">
      <c r="A10" s="61" t="n">
        <v>1</v>
      </c>
      <c r="B10" s="5" t="inlineStr">
        <is>
          <t>Do you slaughter HOGS (swine)?  Beef/other only?</t>
        </is>
      </c>
      <c r="C10" s="8" t="inlineStr"/>
    </row>
    <row r="11" ht="30" customHeight="1">
      <c r="A11" s="61" t="n">
        <v>2</v>
      </c>
      <c r="B11" s="5" t="inlineStr">
        <is>
          <t>How many hogs per WEEK do you kill (range across the year)?  Head/day x days?</t>
        </is>
      </c>
      <c r="C11" s="8" t="inlineStr"/>
    </row>
    <row r="12" ht="30" customHeight="1">
      <c r="A12" s="61" t="n">
        <v>3</v>
      </c>
      <c r="B12" s="5" t="inlineStr">
        <is>
          <t>Is that steady year-round, or seasonal? Any capacity to add head for us?</t>
        </is>
      </c>
      <c r="C12" s="8" t="inlineStr"/>
    </row>
    <row r="14" ht="20" customHeight="1">
      <c r="A14" s="43" t="inlineStr">
        <is>
          <t>B. Inspection &amp; certification</t>
        </is>
      </c>
    </row>
    <row r="15" ht="18" customHeight="1">
      <c r="A15" s="54" t="inlineStr">
        <is>
          <t>#</t>
        </is>
      </c>
      <c r="B15" s="54" t="inlineStr">
        <is>
          <t>Question</t>
        </is>
      </c>
      <c r="C15" s="54" t="inlineStr">
        <is>
          <t>Answer / Notes</t>
        </is>
      </c>
    </row>
    <row r="16" ht="30" customHeight="1">
      <c r="A16" s="61" t="n">
        <v>1</v>
      </c>
      <c r="B16" s="5" t="inlineStr">
        <is>
          <t>USDA-inspected (FSIS grant of inspection)?  Establishment number?</t>
        </is>
      </c>
      <c r="C16" s="8" t="inlineStr"/>
    </row>
    <row r="17" ht="30" customHeight="1">
      <c r="A17" s="61" t="n">
        <v>2</v>
      </c>
      <c r="B17" s="5" t="inlineStr">
        <is>
          <t>Or state-inspected?  Or custom-exempt?  (We need to know which.)</t>
        </is>
      </c>
      <c r="C17" s="8" t="inlineStr"/>
    </row>
    <row r="18" ht="30" customHeight="1">
      <c r="A18" s="61" t="n">
        <v>3</v>
      </c>
      <c r="B18" s="5" t="inlineStr">
        <is>
          <t>APHIS certification / any export or animal-health program status?</t>
        </is>
      </c>
      <c r="C18" s="8" t="inlineStr"/>
    </row>
    <row r="19" ht="30" customHeight="1">
      <c r="A19" s="61" t="n">
        <v>4</v>
      </c>
      <c r="B19" s="5" t="inlineStr">
        <is>
          <t>Any recent NRs / recalls / humane-handling actions we should know about?</t>
        </is>
      </c>
      <c r="C19" s="8" t="inlineStr"/>
    </row>
    <row r="21" ht="20" customHeight="1">
      <c r="A21" s="43" t="inlineStr">
        <is>
          <t>C. Tissue &amp; organ harvesting</t>
        </is>
      </c>
    </row>
    <row r="22" ht="18" customHeight="1">
      <c r="A22" s="54" t="inlineStr">
        <is>
          <t>#</t>
        </is>
      </c>
      <c r="B22" s="54" t="inlineStr">
        <is>
          <t>Question</t>
        </is>
      </c>
      <c r="C22" s="54" t="inlineStr">
        <is>
          <t>Answer / Notes</t>
        </is>
      </c>
    </row>
    <row r="23" ht="30" customHeight="1">
      <c r="A23" s="61" t="n">
        <v>1</v>
      </c>
      <c r="B23" s="5" t="inlineStr">
        <is>
          <t>Can we obtain pelvic / abdominal(bariatric) / thoracic tissue blocks — with the organs?</t>
        </is>
      </c>
      <c r="C23" s="8" t="inlineStr"/>
    </row>
    <row r="24" ht="30" customHeight="1">
      <c r="A24" s="61" t="n">
        <v>2</v>
      </c>
      <c r="B24" s="5" t="inlineStr">
        <is>
          <t>Which specific organs are currently saved vs. sent to rendering?</t>
        </is>
      </c>
      <c r="C24" s="8" t="inlineStr"/>
    </row>
    <row r="25" ht="30" customHeight="1">
      <c r="A25" s="61" t="n">
        <v>3</v>
      </c>
      <c r="B25" s="5" t="inlineStr">
        <is>
          <t>Any existing organ/tissue/biologics harvesting program? For whom?</t>
        </is>
      </c>
      <c r="C25" s="8" t="inlineStr"/>
    </row>
    <row r="26" ht="30" customHeight="1">
      <c r="A26" s="61" t="n">
        <v>4</v>
      </c>
      <c r="B26" s="5" t="inlineStr">
        <is>
          <t>Cooler/hanging space and time-to-chill after kill? (freshness/ischemia window)</t>
        </is>
      </c>
      <c r="C26" s="8" t="inlineStr"/>
    </row>
    <row r="28" ht="20" customHeight="1">
      <c r="A28" s="43" t="inlineStr">
        <is>
          <t>D. Operating model fit</t>
        </is>
      </c>
    </row>
    <row r="29" ht="18" customHeight="1">
      <c r="A29" s="54" t="inlineStr">
        <is>
          <t>#</t>
        </is>
      </c>
      <c r="B29" s="54" t="inlineStr">
        <is>
          <t>Question</t>
        </is>
      </c>
      <c r="C29" s="54" t="inlineStr">
        <is>
          <t>Answer / Notes</t>
        </is>
      </c>
    </row>
    <row r="30" ht="30" customHeight="1">
      <c r="A30" s="61" t="n">
        <v>1</v>
      </c>
      <c r="B30" s="5" t="inlineStr">
        <is>
          <t>MODEL A: Would you rent us line/floor access + cooler space so OUR harvesters collect on-site? Scheduling around the kill?</t>
        </is>
      </c>
      <c r="C30" s="8" t="inlineStr"/>
    </row>
    <row r="31" ht="30" customHeight="1">
      <c r="A31" s="61" t="n">
        <v>2</v>
      </c>
      <c r="B31" s="5" t="inlineStr">
        <is>
          <t>MODEL B: Would YOUR crew harvest to our protocol if we send trainers/inspectors? Willing to be audited?</t>
        </is>
      </c>
      <c r="C31" s="8" t="inlineStr"/>
    </row>
    <row r="32" ht="30" customHeight="1">
      <c r="A32" s="61" t="n">
        <v>3</v>
      </c>
      <c r="B32" s="5" t="inlineStr">
        <is>
          <t>Space, PPE, biosecurity, and scheduling constraints for either model?</t>
        </is>
      </c>
      <c r="C32" s="8" t="inlineStr"/>
    </row>
    <row r="34" ht="20" customHeight="1">
      <c r="A34" s="43" t="inlineStr">
        <is>
          <t>E. Culture &amp; workforce (the Nahunta test)</t>
        </is>
      </c>
    </row>
    <row r="35" ht="18" customHeight="1">
      <c r="A35" s="54" t="inlineStr">
        <is>
          <t>#</t>
        </is>
      </c>
      <c r="B35" s="54" t="inlineStr">
        <is>
          <t>Question</t>
        </is>
      </c>
      <c r="C35" s="54" t="inlineStr">
        <is>
          <t>Answer / Notes</t>
        </is>
      </c>
    </row>
    <row r="36" ht="30" customHeight="1">
      <c r="A36" s="61" t="n">
        <v>1</v>
      </c>
      <c r="B36" s="5" t="inlineStr">
        <is>
          <t>How long have your line/kill-floor staff been with you (tenure)?</t>
        </is>
      </c>
      <c r="C36" s="8" t="inlineStr"/>
    </row>
    <row r="37" ht="30" customHeight="1">
      <c r="A37" s="61" t="n">
        <v>2</v>
      </c>
      <c r="B37" s="5" t="inlineStr">
        <is>
          <t>Family-owned? How do you handle animal welfare &amp; humane handling?</t>
        </is>
      </c>
      <c r="C37" s="8" t="inlineStr"/>
    </row>
    <row r="38" ht="30" customHeight="1">
      <c r="A38" s="61" t="n">
        <v>3</v>
      </c>
      <c r="B38" s="5" t="inlineStr">
        <is>
          <t>When we've had quality issues elsewhere it was hard to resolve — how do you handle a quality complaint?</t>
        </is>
      </c>
      <c r="C38" s="8" t="inlineStr"/>
    </row>
    <row r="40" ht="20" customHeight="1">
      <c r="A40" s="43" t="inlineStr">
        <is>
          <t>F. Commercial</t>
        </is>
      </c>
    </row>
    <row r="41" ht="18" customHeight="1">
      <c r="A41" s="54" t="inlineStr">
        <is>
          <t>#</t>
        </is>
      </c>
      <c r="B41" s="54" t="inlineStr">
        <is>
          <t>Question</t>
        </is>
      </c>
      <c r="C41" s="54" t="inlineStr">
        <is>
          <t>Answer / Notes</t>
        </is>
      </c>
    </row>
    <row r="42" ht="30" customHeight="1">
      <c r="A42" s="61" t="n">
        <v>1</v>
      </c>
      <c r="B42" s="5" t="inlineStr">
        <is>
          <t>Pricing: per-visit access/rental (Model A) or per-piece harvest fee (Model B)?</t>
        </is>
      </c>
      <c r="C42" s="8" t="inlineStr"/>
    </row>
    <row r="43" ht="30" customHeight="1">
      <c r="A43" s="61" t="n">
        <v>2</v>
      </c>
      <c r="B43" s="5" t="inlineStr">
        <is>
          <t>Minimums, lead time, and how far ahead we must schedule?</t>
        </is>
      </c>
      <c r="C43" s="8" t="inlineStr"/>
    </row>
    <row r="44" ht="30" customHeight="1">
      <c r="A44" s="61" t="n">
        <v>3</v>
      </c>
      <c r="B44" s="5" t="inlineStr">
        <is>
          <t>NDA needed before we share our harvesting protocol?</t>
        </is>
      </c>
      <c r="C44" s="8" t="inlineStr"/>
    </row>
    <row r="46" ht="20" customHeight="1">
      <c r="A46" s="43" t="inlineStr">
        <is>
          <t>G. EU-EXPORT ELIGIBILITY — APHIS / animal by-products (ask if models go to Europe)</t>
        </is>
      </c>
    </row>
    <row r="47" ht="18" customHeight="1">
      <c r="A47" s="54" t="inlineStr">
        <is>
          <t>#</t>
        </is>
      </c>
      <c r="B47" s="54" t="inlineStr">
        <is>
          <t>Question</t>
        </is>
      </c>
      <c r="C47" s="54" t="inlineStr">
        <is>
          <t>Answer / Notes</t>
        </is>
      </c>
    </row>
    <row r="48" ht="30" customHeight="1">
      <c r="A48" s="61" t="n">
        <v>1</v>
      </c>
      <c r="B48" s="5" t="inlineStr">
        <is>
          <t>Are you already APHIS-approved and on the EU TRACES establishment list for animal-byproduct export? If not, willing to apply via APHIS VS?</t>
        </is>
      </c>
      <c r="C48" s="8" t="inlineStr"/>
    </row>
    <row r="49" ht="30" customHeight="1">
      <c r="A49" s="61" t="n">
        <v>2</v>
      </c>
      <c r="B49" s="5" t="inlineStr">
        <is>
          <t>Can you document ante-mortem AND post-mortem veterinary inspection of the animals?</t>
        </is>
      </c>
      <c r="C49" s="8" t="inlineStr"/>
    </row>
    <row r="50" ht="30" customHeight="1">
      <c r="A50" s="61" t="n">
        <v>3</v>
      </c>
      <c r="B50" s="5" t="inlineStr">
        <is>
          <t>Can you provide the source declarations/affidavits APHIS needs to endorse an EU health certificate, with per-lot documentation?</t>
        </is>
      </c>
      <c r="C50" s="8" t="inlineStr"/>
    </row>
    <row r="51" ht="30" customHeight="1">
      <c r="A51" s="61" t="n">
        <v>4</v>
      </c>
      <c r="B51" s="5" t="inlineStr">
        <is>
          <t>Lot-level traceability (live animal -&gt; tissue -&gt; shipment) and geographical-origin records retained?</t>
        </is>
      </c>
      <c r="C51" s="8" t="inlineStr"/>
    </row>
    <row r="52" ht="30" customHeight="1">
      <c r="A52" s="61"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54" t="inlineStr">
        <is>
          <t>Topic / entity</t>
        </is>
      </c>
      <c r="B4" s="54" t="inlineStr">
        <is>
          <t>Source</t>
        </is>
      </c>
      <c r="C4" s="54" t="inlineStr">
        <is>
          <t>Confidence</t>
        </is>
      </c>
      <c r="D4" s="54" t="inlineStr">
        <is>
          <t>Note</t>
        </is>
      </c>
    </row>
    <row r="5" ht="34" customHeight="1">
      <c r="A5" s="7" t="inlineStr">
        <is>
          <t>National vendor prices</t>
        </is>
      </c>
      <c r="B5" s="5" t="inlineStr">
        <is>
          <t>innov-research.com porcine product pages (heart/lung/kidney/bladder/liver/stomach/pelvic-block)</t>
        </is>
      </c>
      <c r="C5" s="62"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62"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62" t="inlineStr">
        <is>
          <t>High</t>
        </is>
      </c>
      <c r="D7" s="5" t="inlineStr">
        <is>
          <t>Broad catalog, plucks for training; prices quote-only.</t>
        </is>
      </c>
    </row>
    <row r="8" ht="34" customHeight="1">
      <c r="A8" s="7" t="inlineStr">
        <is>
          <t>Animal Biotech Industries</t>
        </is>
      </c>
      <c r="B8" s="5" t="inlineStr">
        <is>
          <t>animalbiotech.com/porcine-tissues</t>
        </is>
      </c>
      <c r="C8" s="62" t="inlineStr">
        <is>
          <t>High</t>
        </is>
      </c>
      <c r="D8" s="5" t="inlineStr">
        <is>
          <t>USDA-inspected sourcing; custom blocks; quote-only.</t>
        </is>
      </c>
    </row>
    <row r="9" ht="34" customHeight="1">
      <c r="A9" s="7" t="inlineStr">
        <is>
          <t>Tissue Source</t>
        </is>
      </c>
      <c r="B9" s="5" t="inlineStr">
        <is>
          <t>tissue-source.com</t>
        </is>
      </c>
      <c r="C9" s="62"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62" t="inlineStr">
        <is>
          <t>High</t>
        </is>
      </c>
      <c r="D10" s="5" t="inlineStr">
        <is>
          <t>Packer-integrated; quote-only.</t>
        </is>
      </c>
    </row>
    <row r="11" ht="34" customHeight="1">
      <c r="A11" s="7" t="inlineStr">
        <is>
          <t>WG Biomedical</t>
        </is>
      </c>
      <c r="B11" s="5" t="inlineStr">
        <is>
          <t>wgbiomedical.com</t>
        </is>
      </c>
      <c r="C11" s="62"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62" t="inlineStr">
        <is>
          <t>High</t>
        </is>
      </c>
      <c r="D12" s="5" t="inlineStr">
        <is>
          <t>All genuinely quote-only; no invented prices.</t>
        </is>
      </c>
    </row>
    <row r="13" ht="34" customHeight="1">
      <c r="A13" s="7" t="inlineStr">
        <is>
          <t>Cross-off leads</t>
        </is>
      </c>
      <c r="B13" s="5" t="inlineStr">
        <is>
          <t>premierbiosource.com; sciencecare.com; zivic listing</t>
        </is>
      </c>
      <c r="C13" s="62"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63"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62"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62"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63"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63"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62"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62"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62"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62"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62"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62"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63"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62"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62"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62"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66"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67"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67"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67"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59"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59"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59"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59"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59"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59"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59"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59"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59"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59"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67"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67"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40"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40"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40"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40"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38"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40"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40"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40"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40"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40"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67"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40"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67"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67"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67" t="inlineStr">
        <is>
          <t>METHOD &amp; CONFIDENCE</t>
        </is>
      </c>
    </row>
    <row r="86" ht="36" customHeight="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68" t="inlineStr">
        <is>
          <t>•  21 agents · 121 raw facility records (see caveat on double-counting) · 10 candidates adversarially verified · ~2.0M tokens · 1,091 tool calls · 0 agent errors.</t>
        </is>
      </c>
    </row>
    <row r="88" ht="48" customHeight="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2026-08-04T16:10:35Z</dcterms:created>
  <dcterms:modified xsi:type="dcterms:W3CDTF">2026-08-04T16:10:35Z</dcterms:modified>
</cp:coreProperties>
</file>