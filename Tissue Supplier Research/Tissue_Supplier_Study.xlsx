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Instructions" sheetId="1" state="visible" r:id="rId1"/>
    <sheet xmlns:r="http://schemas.openxmlformats.org/officeDocument/2006/relationships" name="Overview &amp; Method" sheetId="2" state="visible" r:id="rId2"/>
    <sheet xmlns:r="http://schemas.openxmlformats.org/officeDocument/2006/relationships" name="Meeting Notes 2026-08" sheetId="3" state="visible" r:id="rId3"/>
    <sheet xmlns:r="http://schemas.openxmlformats.org/officeDocument/2006/relationships" name="Current Base (benchmarks)" sheetId="4" state="visible" r:id="rId4"/>
    <sheet xmlns:r="http://schemas.openxmlformats.org/officeDocument/2006/relationships" name="Supplier Roster" sheetId="5" state="visible" r:id="rId5"/>
    <sheet xmlns:r="http://schemas.openxmlformats.org/officeDocument/2006/relationships" name="Rated Candidates" sheetId="6" state="visible" r:id="rId6"/>
    <sheet xmlns:r="http://schemas.openxmlformats.org/officeDocument/2006/relationships" name="Call Questionnaire" sheetId="7" state="visible" r:id="rId7"/>
    <sheet xmlns:r="http://schemas.openxmlformats.org/officeDocument/2006/relationships" name="Visit Agenda" sheetId="8" state="visible" r:id="rId8"/>
    <sheet xmlns:r="http://schemas.openxmlformats.org/officeDocument/2006/relationships" name="Anatomical Spec" sheetId="9" state="visible" r:id="rId9"/>
    <sheet xmlns:r="http://schemas.openxmlformats.org/officeDocument/2006/relationships" name="TCO Calculator" sheetId="10" state="visible" r:id="rId10"/>
    <sheet xmlns:r="http://schemas.openxmlformats.org/officeDocument/2006/relationships" name="Models &amp; Make-vs-Buy" sheetId="11" state="visible" r:id="rId11"/>
    <sheet xmlns:r="http://schemas.openxmlformats.org/officeDocument/2006/relationships" name="APHIS &amp; EU Export" sheetId="12" state="visible" r:id="rId12"/>
    <sheet xmlns:r="http://schemas.openxmlformats.org/officeDocument/2006/relationships" name="National Direct Suppliers" sheetId="13" state="visible" r:id="rId13"/>
    <sheet xmlns:r="http://schemas.openxmlformats.org/officeDocument/2006/relationships" name="Sources &amp; Confidence" sheetId="14" state="visible" r:id="rId14"/>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2"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6">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xf numFmtId="0" fontId="28" fillId="24" borderId="6" applyAlignment="1" pivotButton="0" quotePrefix="0" xfId="0">
      <alignment vertical="top" wrapText="1"/>
    </xf>
    <xf numFmtId="0" fontId="34" fillId="0" borderId="6" applyAlignment="1" pivotButton="0" quotePrefix="0" xfId="0">
      <alignment vertical="top" wrapText="1"/>
    </xf>
    <xf numFmtId="0" fontId="35" fillId="0" borderId="6"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54"/>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58.6"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 Reviewers: section 10 is the dated change log; Sources &amp; Confidence holds provenance for every pass.</t>
        </is>
      </c>
    </row>
    <row r="6" ht="72" customHeight="1" s="59">
      <c r="A6" s="160" t="inlineStr">
        <is>
          <t>Tab map</t>
        </is>
      </c>
      <c r="B6" s="154" t="inlineStr">
        <is>
          <t>SUPPLIER ROSTER — every plant assessed, with why / why-not + website per line · RATED CANDIDATES — A/B fit scores + tiers (pick your 3 here) · CALL QUESTIONNAIRE — stage 1: the call script + call log · VISIT AGENDA — stage 2: run on site during the visit · CURRENT BASE — the five suppliers we work with today · OVERVIEW / MEETING NOTES — study context &amp; meeting record · ANATOMICAL SPEC — the sow-vs-market-hog decision sheet (still the #1 internal action) · TCO CALCULATOR / MODELS &amp; MAKE-VS-BUY — economics · APHIS &amp; EU EXPORT — the export rules · NATIONAL DIRECT SUPPLIERS — buy-direct reference (deprioritized) · SOURCES &amp; CONFIDENCE — provenance.</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98.8"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  ·  G4 BOAR / STAG (client rule, 2026-09-28): plants whose FSIS species flags include boar/stag slaughter are AVOIDED — we do not want boars mixed with our hogs. Soft gate: the call can clear a plant if boars/stags are never run with our designated hogs (separate days or lines). State plants: the NCDA species code (C = swine) does not distinguish boars — ask. Note that two incumbents (Martin's, Villari) carry the flag; confirm current practice there.</t>
        </is>
      </c>
    </row>
    <row r="17" ht="85.40000000000001"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has killed at that scale in the last FSIS year (only Smithfield Clinton and Martin's approach it); a plant could scale up, so treat it as a preference, not a filter —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85.40000000000001" customHeight="1" s="59">
      <c r="A20" s="160" t="inlineStr">
        <is>
          <t>How brackets are filled</t>
        </is>
      </c>
      <c r="B20" s="154" t="inlineStr">
        <is>
          <t>Company-stated figures first; otherwise USDA's slaughter_volume_category band ceiling (cat 1 &lt;19/wk and cat 2 19-194/wk both land in 0-300; cat 3 = 194-1,944 spans brackets → 'confirm'; cat 4 ≥1,944). A bracket from a band is a CEILING to confirm on the call, not a measurement. State plants publish no volumes at all → 'confirm'. A band is a HISTORICAL aggregate over the prior 360 days (all species): it bounds what the plant DID kill, not what it could — weekly figures are ×7/360 (cat 1 &lt;19 · cat 2 ≈19-194 · cat 3 ≈194-1,944 · cat 4 ≥1,944; the March-2026 FSIS notice cited by Beebop also defines a category 5 at 10,000,000+, irrelevant here). Corrected 2026-09-28 from the earlier ÷365 figures (192 / 1,917).</t>
        </is>
      </c>
    </row>
    <row r="21" ht="152.4" customHeight="1" s="59">
      <c r="A21" s="160" t="inlineStr">
        <is>
          <t>Inferring hogs/week (2026-09-28)</t>
        </is>
      </c>
      <c r="B21" s="154" t="inlineStr">
        <is>
          <t>No public source states a plant's weekly hog kill. The inference ladder, best to worst: 1) COMPANY-STATED figures (meeting, website, call). 2) FEDERAL plants: the FSIS slaughter band (all species) × the species flags × HACCP size — cat 3 + 'Small' + hog-dominant flags is the Martin's signature (only Martin's, Parks and Custom Quality Packers carry it in NC); cat 3 + 'Very Small' + a poultry grant means the band is mostly birds. 3) NASS 'Livestock Slaughter 2025 Summary' state totals as HARD CAPS: Virginia's 16 federal plants killed 7,841 hogs in 2025, South Carolina's 8 killed 14,070 — so no VA or SC plant can be Martin's-scale; North Carolina's totals are withheld (D) because Smithfield dominates. 4) NC STATE plants: no figure exists anywhere (NASS withholds NC; NCDA publishes none) — infer by business type: hog-only packer/sausage maker (Nahunta-type, 100-500+/wk) vs multi-species custom/retail (typically 10-100/wk). 5) DEFINITIVE routes: an FSIS FOIA for per-establishment slaughter by species (PHIS data; 1-2 months), an NCDA&amp;CS MPID ask for state plants (referral lane), and call question 2. Only cat-3/4 hog-dominant plants can be Martin's-size, and within reach those are the incumbents and Smithfield; the nearest others are in Tennessee (Wampler's, Underground Slaughter, P3 Custom Meats — 300+ miles, Model B-T only).</t>
        </is>
      </c>
    </row>
    <row r="22" ht="19.7" customHeight="1" s="59">
      <c r="A22" s="176" t="inlineStr">
        <is>
          <t>5 · CANDIDATE SCORING  (Rated Candidates tab)</t>
        </is>
      </c>
      <c r="B22" s="172" t="n"/>
    </row>
    <row r="23" ht="98.8" customHeight="1" s="59">
      <c r="A23" s="160" t="inlineStr">
        <is>
          <t>The 8 sub-scores (0-5)</t>
        </is>
      </c>
      <c r="B23" s="154" t="inlineStr">
        <is>
          <t>PROX proximity — road miles from the DURHAM origin (5 ≤60 · 4 ≤120 · 2 ≤160 · 1 beyond; boundary cases within ±5 mi of 120 scored 4 pending the confirmed origin) · ACCESS how hostable the floor is for OUR techs · CREW their crew's ability to harvest to spec under our training · ANAT anatomy match against the 140-220 lb live-weight target (5 market/light hogs · 4 market flag, confirm a lighter pull · 3 mixed or unknown class · 1 sow-only, 400+ lb; CAPPED AT 2 where boar/stag slaughter is flagged — gate G4)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4" ht="31.8" customHeight="1" s="59">
      <c r="A24" s="160" t="inlineStr">
        <is>
          <t>A-FIT (our techs go there)</t>
        </is>
      </c>
      <c r="B24" s="154" t="inlineStr">
        <is>
          <t>Weighted: PROX 25% · ACCESS 30% · ANAT 15% · VOL 10% · WELF 10% · EXPORT 5% · RELN 5%. Distance and floor access dominate — our crew travels weekly. CREW counts 0%.</t>
        </is>
      </c>
    </row>
    <row r="25" ht="31.8" customHeight="1" s="59">
      <c r="A25" s="160" t="inlineStr">
        <is>
          <t>B-FIT (their crew, our training)</t>
        </is>
      </c>
      <c r="B25" s="154" t="inlineStr">
        <is>
          <t>Weighted: CREW 30% · ANAT 15% · VOL 15% · WELF 15% · PROX 10% · RELN 10% · EXPORT 5%. Capability and trust dominate; distance fades (periodic supervision). ACCESS counts 0%.</t>
        </is>
      </c>
    </row>
    <row r="26" ht="31.8" customHeight="1" s="59">
      <c r="A26" s="160" t="inlineStr">
        <is>
          <t>Tiers</t>
        </is>
      </c>
      <c r="B26" s="154" t="inlineStr">
        <is>
          <t>1 = CALL FIRST · 2 = CALL (with a specific gate) · 3 = PARK (viable, not now) · X = OUT (fails a gate or adds nothing). Both fit scores are live formulas — edit a yellow weight cell or a sub-score and they recompute in Excel.</t>
        </is>
      </c>
    </row>
    <row r="27" ht="19.7" customHeight="1" s="59">
      <c r="A27" s="176" t="inlineStr">
        <is>
          <t>6 · LEGEND — every code used in this workbook</t>
        </is>
      </c>
      <c r="B27" s="172" t="n"/>
    </row>
    <row r="28" ht="58.6" customHeight="1" s="59">
      <c r="A28" s="160" t="inlineStr">
        <is>
          <t>Fit column codes</t>
        </is>
      </c>
      <c r="B28"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t>
        </is>
      </c>
    </row>
    <row r="29" ht="98.8" customHeight="1" s="59">
      <c r="A29" s="160" t="inlineStr">
        <is>
          <t>Distance column</t>
        </is>
      </c>
      <c r="B29"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 NOTE (Beebop v2.1): the ChatGPT brief reads '120 miles' as a RADIUS (straight-line) with road miles as logistics only — under that reading EcoFriendly (92.6 radial) is inside. This workbook keeps ROAD miles as the Model A screen because the crew drives it; radial figures are shown where Beebop supplied them. For Model B-T candidates distance is a sub-score, not a gate.</t>
        </is>
      </c>
    </row>
    <row r="30" ht="72" customHeight="1" s="59">
      <c r="A30" s="160" t="inlineStr">
        <is>
          <t>Inspection column codes</t>
        </is>
      </c>
      <c r="B30"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1" ht="58.6" customHeight="1" s="59">
      <c r="A31" s="160" t="inlineStr">
        <is>
          <t>Animal class column</t>
        </is>
      </c>
      <c r="B31" s="154" t="inlineStr">
        <is>
          <t>USDA's own species flags: MARKET = market-weight butcher hogs (~230-290 lb — the standard for most blocks) · SOW = cull breeding females (mature anatomy; internal spec decision pending) · ROASTER = juvenile pigs · BOAR/STAG = intact/castrated males — '⚠ BOAR/STAG flagged' marks plants the client avoids (gate G4) · 'NO SWINE FLAGS' = hog slaughter unsupported by the primary data — confirm species before calling.</t>
        </is>
      </c>
    </row>
    <row r="32" ht="45.2" customHeight="1" s="59">
      <c r="A32" s="160" t="inlineStr">
        <is>
          <t>Enforcement wording</t>
        </is>
      </c>
      <c r="B32"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3" ht="45.2" customHeight="1" s="59">
      <c r="A33" s="160" t="inlineStr">
        <is>
          <t>Colour conventions</t>
        </is>
      </c>
      <c r="B33"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4" ht="45.2" customHeight="1" s="59">
      <c r="A34" s="160" t="inlineStr">
        <is>
          <t>The two export paths</t>
        </is>
      </c>
      <c r="B34"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5" ht="19.7" customHeight="1" s="59">
      <c r="A35" s="176" t="inlineStr">
        <is>
          <t>7 · ACRONYM GLOSSARY</t>
        </is>
      </c>
      <c r="B35" s="172" t="n"/>
    </row>
    <row r="36" ht="98.8" customHeight="1" s="59">
      <c r="A36" s="160" t="inlineStr">
        <is>
          <t>Inspection &amp; agencies</t>
        </is>
      </c>
      <c r="B36"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7" ht="85.40000000000001" customHeight="1" s="59">
      <c r="A37" s="160" t="inlineStr">
        <is>
          <t>Enforcement &amp; records</t>
        </is>
      </c>
      <c r="B37"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8" ht="58.6" customHeight="1" s="59">
      <c r="A38" s="160" t="inlineStr">
        <is>
          <t>Volume &amp; data</t>
        </is>
      </c>
      <c r="B38" s="154" t="inlineStr">
        <is>
          <t>cat 1-4 = FSIS slaughter_volume_category: banded head over the prior 360 days, ALL species — a historical aggregate, not capacity (1 &lt;19/wk · 2 19-194 · 3 194-1,944 · 4 ≥1,944) · EMI = EMI Analytics (industry capacity census; secondary source) · OSRM = Open Source Routing Machine (road-mileage routing used for distances) · FB = Facebook. NOTE: FSIS 'cat 3' (volume) is unrelated to EU 'Category 3' (by-products) — see below.</t>
        </is>
      </c>
    </row>
    <row r="39" ht="58.6" customHeight="1" s="59">
      <c r="A39" s="160" t="inlineStr">
        <is>
          <t>Export &amp; quality</t>
        </is>
      </c>
      <c r="B39"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40" ht="152.4" customHeight="1" s="59">
      <c r="A40" s="160" t="inlineStr">
        <is>
          <t>Commercial &amp; internal</t>
        </is>
      </c>
      <c r="B40"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1" ht="19.7" customHeight="1" s="59">
      <c r="A41" s="176" t="inlineStr">
        <is>
          <t>8 · SOURCES POLICY</t>
        </is>
      </c>
      <c r="B41" s="172" t="n"/>
    </row>
    <row r="42" ht="152.4" customHeight="1" s="59">
      <c r="A42" s="160" t="inlineStr">
        <is>
          <t>Order of trust</t>
        </is>
      </c>
      <c r="B42"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 7) OTHER OPERATIONAL SOURCES used on 2026-09-30 and accepted for the same purposes as Facebook/Yelp: Google/aggregator review counts (Butcher Bud, Birdeye, Chamber), Instagram, Nextdoor, BBB profiles (officer names, founding dates), Indeed employee reviews (culture), OpenCorporates / NC Secretary of State (corporate status, officers), and the NCDA&amp;CS COUNTY directories (a named contact person, slaughter species, where product may be sold — undated files, so verify the name on the call). None of these establish volume or inspection status.</t>
        </is>
      </c>
    </row>
    <row r="43" ht="19.7" customHeight="1" s="59">
      <c r="A43" s="176" t="inlineStr">
        <is>
          <t>9 · WHO EDITS WHAT</t>
        </is>
      </c>
      <c r="B43" s="172" t="n"/>
    </row>
    <row r="44" ht="45.2" customHeight="1" s="59">
      <c r="A44" s="160" t="inlineStr">
        <is>
          <t>The team (by role)</t>
        </is>
      </c>
      <c r="B44"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5" ht="18.4" customHeight="1" s="59">
      <c r="A45" s="160" t="inlineStr">
        <is>
          <t>Research (dated)</t>
        </is>
      </c>
      <c r="B45" s="154" t="inlineStr">
        <is>
          <t>Everything else. Correct a fact by editing the cell and noting the date — the same convention every prior pass used.</t>
        </is>
      </c>
    </row>
    <row r="46" ht="15" customHeight="1" s="59"/>
    <row r="47" ht="19.7" customHeight="1" s="59">
      <c r="A47" s="203" t="inlineStr">
        <is>
          <t>10 · CHANGE LOG  (what moved and why — for reviewers)</t>
        </is>
      </c>
      <c r="B47" s="172" t="n"/>
    </row>
    <row r="48" ht="45.2" customHeight="1" s="59">
      <c r="A48" s="204" t="inlineStr">
        <is>
          <t>2026-09-03</t>
        </is>
      </c>
      <c r="B48" s="205" t="inlineStr">
        <is>
          <t>Artifacts reconciled into one workbook; fresh FSIS pull (Q3 FY2026 QER clean for the whole shortlist; Bass Farms band 1 → 2); SC finds (Williamsburg, Hemingway); client corrections (Villari tissue gate hard; Parks = Model B-T); client volume brackets and Instructions tab adopted.</t>
        </is>
      </c>
    </row>
    <row r="49" ht="31.8" customHeight="1" s="59">
      <c r="A49" s="204" t="inlineStr">
        <is>
          <t>2026-09-04</t>
        </is>
      </c>
      <c r="B49" s="205" t="inlineStr">
        <is>
          <t>Call and visit agendas split into two tabs; roles only (Supplier Engineer / Purchasing Manager); five-step process; Plan of Action and Action Items retired.</t>
        </is>
      </c>
    </row>
    <row r="50" ht="45.2" customHeight="1" s="59">
      <c r="A50" s="204" t="inlineStr">
        <is>
          <t>2026-09-28 a</t>
        </is>
      </c>
      <c r="B50" s="205" t="inlineStr">
        <is>
          <t>Beebop (ChatGPT) snapshot folded in as collaborator DATA: distances re-anchored to the client's Durham origin (Pikeville kept in parentheses); 140-220 lb live-weight target applied (sow-only plants ANAT 1); referral lane added; Neese found FSIS-inactive; Cool Springs and Quaqua promoted from roll-ups; EcoFriendly entered the radius.</t>
        </is>
      </c>
    </row>
    <row r="51" ht="31.8" customHeight="1" s="59">
      <c r="A51" s="204" t="inlineStr">
        <is>
          <t>2026-09-28 b</t>
        </is>
      </c>
      <c r="B51" s="205" t="inlineStr">
        <is>
          <t>Beebop round 2 verified: band arithmetic ×7/360 (194 / 1,944); exact-address boundary distances; Farmington + three VA plants added (all cat 1); Godwin/Piedmont/Nahunta over-claims softened; Neese kept OUT with a Q4 recheck.</t>
        </is>
      </c>
    </row>
    <row r="52" ht="31.8" customHeight="1" s="59">
      <c r="A52" s="204" t="inlineStr">
        <is>
          <t>2026-09-28 c</t>
        </is>
      </c>
      <c r="B52" s="205" t="inlineStr">
        <is>
          <t>Volume inference ladder added; NASS 2025 state totals used as caps (VA 7,841 / SC 14,070 federal hogs per year) — EcoFriendly and Williamsburg cat-3 bands shown to be all-species; HACCP size shown on federal rows; NC state rows classed by business type.</t>
        </is>
      </c>
    </row>
    <row r="53" ht="45.2" customHeight="1" s="59">
      <c r="A53" s="204" t="inlineStr">
        <is>
          <t>2026-09-28 d</t>
        </is>
      </c>
      <c r="B53" s="205" t="inlineStr">
        <is>
          <t>Beebop v2.1 converged with this tab's order; EcoFriendly briefly Tier 2 as a B-T call. Then the client's BOAR/STAG rule (gate G4): flagged plants capped at ANAT 2 — Piedmont 1 → 2, Flowers 2, EcoFriendly 3; Select Meats (market-only flags) 2 → 1; state plants 'ask'.</t>
        </is>
      </c>
    </row>
    <row r="54" ht="58.6" customHeight="1" s="59">
      <c r="A54" s="204" t="inlineStr">
        <is>
          <t>2026-09-30</t>
        </is>
      </c>
      <c r="B54" s="205" t="inlineStr">
        <is>
          <t>Social &amp; other-sources pass: contact names from the NCDA county directories; McLamb's under Lee-family ownership since ~2018 (RELN 5); McLaughlin's 2026 leadership change; Cool Springs since 1971; EcoFriendly 'CLOSED' listing; Acre Station buys its own hogs; Caldwell's review caution; stale Pikeville-era phrases and 'FSIS unreachable' welfare cells corrected; Current Base distances updated to Durham.</t>
        </is>
      </c>
    </row>
  </sheetData>
  <mergeCells count="12">
    <mergeCell ref="A4:B4"/>
    <mergeCell ref="A2:B2"/>
    <mergeCell ref="A7:B7"/>
    <mergeCell ref="A43:B43"/>
    <mergeCell ref="A41:B41"/>
    <mergeCell ref="A47:B47"/>
    <mergeCell ref="A14:B14"/>
    <mergeCell ref="A1:B1"/>
    <mergeCell ref="A18:B18"/>
    <mergeCell ref="A27:B27"/>
    <mergeCell ref="A22:B22"/>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'Instructions'.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19.7" customHeight="1" s="59">
      <c r="A17" s="118" t="inlineStr">
        <is>
          <t>→</t>
        </is>
      </c>
    </row>
    <row r="18" ht="19.7" customHeight="1" s="59">
      <c r="A18" s="118" t="inlineStr">
        <is>
          <t>DATA-QUALITY CAVEAT</t>
        </is>
      </c>
    </row>
    <row r="19" ht="49.2" customHeight="1" s="59">
      <c r="A19"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0" ht="15" customHeight="1" s="59"/>
    <row r="21" ht="19.7" customHeight="1" s="59">
      <c r="A21" s="118" t="inlineStr">
        <is>
          <t>KEY FINDINGS (research summary)</t>
        </is>
      </c>
    </row>
    <row r="22" ht="246.2" customHeight="1" s="59">
      <c r="A22"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3" ht="31.8" customHeight="1" s="59">
      <c r="A23" s="94" t="inlineStr">
        <is>
          <t>★ STATE INSPECTION — ONLY NORTH CAROLINA COUNTS. APHIS accepts NC state inspection as equivalent to federal. State-inspected plants in OTHER states are NOT accepted and would need USDA/FSIS inspection to serve as a Path 1 harvest site.</t>
        </is>
      </c>
    </row>
    <row r="24" ht="45.2" customHeight="1" s="59">
      <c r="A24"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5" ht="139" customHeight="1" s="59">
      <c r="A25"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26" ht="250" customHeight="1" s="59">
      <c r="A26"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Rated Candidates tab. ★ ALSO CORRECTED 2026-09-03: PARKS harvests with THEIR OWN people under OUR training (Model B-T) — the base already runs both operating models, and candidate ratings now score A-fit (host our techs) and B-fit (their crew, our training) separately — see the Rated Candidates tab.</t>
        </is>
      </c>
    </row>
    <row r="27" ht="139" customHeight="1" s="59">
      <c r="A27"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~194), Acre Station (claimed ~400/wk, capped at ~194), Midwest Research Swine (claimed ~385/wk, capped at ~194),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27" s="65" t="n"/>
    </row>
    <row r="28" ht="219.4" customHeight="1" s="59">
      <c r="A28"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row>
    <row r="29" ht="125.6" customHeight="1" s="59">
      <c r="A29"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29" s="65" t="n"/>
    </row>
    <row r="30" ht="58.6" customHeight="1" s="59">
      <c r="A3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0" s="65" t="n"/>
    </row>
    <row r="31" ht="139" customHeight="1" s="59">
      <c r="A3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row>
    <row r="32" ht="98.8" customHeight="1" s="59">
      <c r="A32"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~194/wk. ACRE STATION: category 2 as well, so ~194/wk,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2" s="65" t="n"/>
    </row>
    <row r="33" ht="45.2" customHeight="1" s="59">
      <c r="A3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3" s="65" t="n"/>
    </row>
    <row r="34" ht="250" customHeight="1" s="59">
      <c r="A34"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(194-1,944/wk) with ALL FOUR swine classes flagged. It is now the strongest Virginia candidate and the state's entry in the contact order. Fauquier's Finest still has REPEAT humane-handling suspensions (2018/2021/2024) and stays at CAUTION.</t>
        </is>
      </c>
    </row>
    <row r="35" ht="72" customHeight="1" s="59">
      <c r="A3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5" s="65" t="n"/>
    </row>
    <row r="36" ht="58.6" customHeight="1" s="59">
      <c r="A3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6" s="65" t="n"/>
    </row>
    <row r="37" ht="165.8" customHeight="1" s="59">
      <c r="A3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row>
    <row r="38" ht="206" customHeight="1" s="59">
      <c r="A3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row>
    <row r="39" ht="139" customHeight="1" s="59">
      <c r="A3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row>
    <row r="40" ht="72" customHeight="1" s="59">
      <c r="A4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0" s="65" t="n"/>
    </row>
    <row r="41" ht="45.2" customHeight="1" s="59">
      <c r="A4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1" s="65" t="n"/>
    </row>
    <row r="42" ht="139" customHeight="1" s="59">
      <c r="A4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row>
    <row r="43" ht="31.8" customHeight="1" s="59">
      <c r="A43" s="68" t="inlineStr">
        <is>
          <t>•  ALWAYS VERIFY BY PHONE: nearly every weekly-volume and certification figure for small/custom plants is unpublished. Use the 'Call Questionnaire' tab; the authoritative confirmation source is the USDA FSIS MPI Directory + Establishment Demographic Data (species slaughtered + size class per plant).</t>
        </is>
      </c>
      <c r="B43" s="65" t="n"/>
    </row>
    <row r="44" ht="72" customHeight="1" s="59"/>
    <row r="45" ht="45.2" customHeight="1" s="59"/>
    <row r="46" ht="31.8" customHeight="1" s="59"/>
    <row r="47" ht="31.8" customHeight="1" s="59"/>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22">
    <mergeCell ref="A30:B30"/>
    <mergeCell ref="A24:B24"/>
    <mergeCell ref="A36:B36"/>
    <mergeCell ref="A1:B1"/>
    <mergeCell ref="A6:B6"/>
    <mergeCell ref="A16:B16"/>
    <mergeCell ref="A41:B41"/>
    <mergeCell ref="A18:B18"/>
    <mergeCell ref="A27:B27"/>
    <mergeCell ref="A12:B12"/>
    <mergeCell ref="A21:B21"/>
    <mergeCell ref="A2:B2"/>
    <mergeCell ref="A33:B33"/>
    <mergeCell ref="A5:B5"/>
    <mergeCell ref="A32:B32"/>
    <mergeCell ref="A23:B23"/>
    <mergeCell ref="A35:B35"/>
    <mergeCell ref="A4:B4"/>
    <mergeCell ref="A29:B29"/>
    <mergeCell ref="A43:B43"/>
    <mergeCell ref="A19:B19"/>
    <mergeCell ref="A40:B40"/>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the Supplier Engineer's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Supplier Engineer, Purchasing Manager,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72" customHeight="1" s="59">
      <c r="A3" s="153" t="inlineStr">
        <is>
          <t>NAHUNTA
Pikeville · NC state P-80A · ~72 mi from Durham (0 from the old Pikeville anchor)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72" customHeight="1" s="59">
      <c r="A4" s="153" t="inlineStr">
        <is>
          <t>MARTIN'S PORK PRODUCTS
Falcon · M6720 (T-A) · ~74 mi from Durham (45 from Pikeville)
(no working website)</t>
        </is>
      </c>
      <c r="B4" s="154" t="inlineStr">
        <is>
          <t>MODEL A — our techs harvest on-site</t>
        </is>
      </c>
      <c r="C4" s="154" t="inlineStr">
        <is>
          <t>Cat 3 (194-1,944/wk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~1,944/wk; irreplaceable (all three NC/SC/VA cat-3 market-hog floors are already ours).</t>
        </is>
      </c>
      <c r="F4" s="154" t="inlineStr">
        <is>
          <t>Economics-first reset with President Beth Holmes; consider funding a harvest bay for a multi-year floor-access agreement.</t>
        </is>
      </c>
    </row>
    <row r="5" ht="85.40000000000001" customHeight="1" s="59">
      <c r="A5" s="153" t="inlineStr">
        <is>
          <t>CUSTOM QUALITY PACKERS
Sims · M20129 (T-A) · ~60 mi from Durham (45 from Pikeville) · contact Barrett Twitty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72" customHeight="1" s="59">
      <c r="A6" s="153" t="inlineStr">
        <is>
          <t>PARKS FAMILY MEATS
Warsaw · M18296A (T-A) · ~97 mi from Durham (45 from Pikeville)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~96 mi from Durham (45 from Pikeville)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48"/>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row>
    <row r="5" ht="19.7" customHeight="1" s="59">
      <c r="A5" s="118" t="inlineStr">
        <is>
          <t>REFERENCE — existing / benchmark suppliers</t>
        </is>
      </c>
    </row>
    <row r="6" ht="219.4"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88" t="inlineStr">
        <is>
          <t>YES · ~72 mi
(Pikeville: ~0 mi — the old anchor sat here)</t>
        </is>
      </c>
      <c r="F6" s="142" t="inlineStr">
        <is>
          <t>300-700/wk
(hist. 500+/wk — confirm current)</t>
        </is>
      </c>
      <c r="G6" s="68" t="inlineStr">
        <is>
          <t>Yes — swine
(NC state programme;
no FSIS species flags published)</t>
        </is>
      </c>
      <c r="H6" s="68" t="inlineStr">
        <is>
          <t>STATE only
(NOT USDA)</t>
        </is>
      </c>
      <c r="I6" s="68" t="inlineStr">
        <is>
          <t>None found — and NOTE THE LIMIT: NCDA&amp;CS publishes no searchable state-plant enforcement log and FSIS reporting does not cover state plants, so welfare here is a SITE-VISIT finding. Client's own crews on-site are the best evidence.</t>
        </is>
      </c>
      <c r="J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6" s="68" t="inlineStr">
        <is>
          <t>Strong — 3rd-gen Pierce family, decades of staff tenure; the culture benchmark</t>
        </is>
      </c>
      <c r="L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but no listing ≠ no competing use (wholesale, rendering, pet food): ASK.</t>
        </is>
      </c>
      <c r="M6" s="68" t="inlineStr">
        <is>
          <t>Yes (already custom-slaughters 3rd-party animals)</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retail SKU (a competing wholesale/rendering use is not ruled out); export-eligible via NC-state equivalence.</t>
        </is>
      </c>
      <c r="R6" s="179" t="inlineStr">
        <is>
          <t>nahuntapork.com</t>
        </is>
      </c>
      <c r="S6" s="68" t="inlineStr">
        <is>
          <t>High
(FSIS+NCDA 8-17)</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row>
    <row r="7" ht="206" customHeight="1" s="59">
      <c r="A7" s="4" t="inlineStr">
        <is>
          <t>Martin's Pork Products, Inc.</t>
        </is>
      </c>
      <c r="B7" s="68" t="inlineStr">
        <is>
          <t>Falcon, NC</t>
        </is>
      </c>
      <c r="C7" s="68" t="inlineStr">
        <is>
          <t>USDA (Talmadge-Aiken) slaughter + processing</t>
        </is>
      </c>
      <c r="D7" s="133" t="inlineStr">
        <is>
          <t>192–1,944/wk (FSIS cat 3 ceiling)</t>
        </is>
      </c>
      <c r="E7" s="88" t="inlineStr">
        <is>
          <t>YES · ~74 mi
(Pikeville: ~45 mi)</t>
        </is>
      </c>
      <c r="F7" s="136" t="inlineStr">
        <is>
          <t>1,250-5,000/wk
(stated 1,500-2,500)</t>
        </is>
      </c>
      <c r="G7" s="134" t="inlineStr">
        <is>
          <t>⚠ BOAR/STAG flagged (FSIS)
MARKET HOG + boar/stag
(sow: No)</t>
        </is>
      </c>
      <c r="H7" s="68" t="inlineStr">
        <is>
          <t>USDA ✓
(T-A, TA-6720)</t>
        </is>
      </c>
      <c r="I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7" s="68" t="inlineStr">
        <is>
          <t>FSIS-listed (TA-6720); NOT on public export lists — verify w/ APHIS VS</t>
        </is>
      </c>
      <c r="K7" s="68" t="inlineStr">
        <is>
          <t>Incumbent — 'ok' experience; quality issues harder to resolve (weaker culture/responsiveness than Nahunta); ~75 staff</t>
        </is>
      </c>
      <c r="L7" s="68" t="inlineStr">
        <is>
          <t>Pork slaughter + processing + wholesale</t>
        </is>
      </c>
      <c r="M7" s="68" t="inlineStr">
        <is>
          <t>Possible</t>
        </is>
      </c>
      <c r="N7" s="68" t="inlineStr">
        <is>
          <t>Yes (incumbent)</t>
        </is>
      </c>
      <c r="O7" s="68" t="inlineStr">
        <is>
          <t>(910) 980-1501
beth@martinspork.com
President: Beth Holmes
PO Box 56, 6657 King St, Falcon</t>
        </is>
      </c>
      <c r="P7" s="145" t="inlineStr">
        <is>
          <t>★ CURRENT
SUPPLIER</t>
        </is>
      </c>
      <c r="Q7" s="178" t="inlineStr">
        <is>
          <t>BOAR/STAG RULE 9-28 (incumbent): FSIS flags boar/stag slaughter here — the client does not want boars mixed with our hogs; confirm current practice (separate days / never with our designated hogs).
CURRENT — Model A volume anchor: the only cat-3 market-hog floor we run crews on; clean record; irreplaceable in NC/SC/VA. Friction is relational — reset with Beth Holmes.</t>
        </is>
      </c>
      <c r="R7" s="179" t="inlineStr">
        <is>
          <t>no working website (martinspork.com defunct)</t>
        </is>
      </c>
      <c r="S7" s="68" t="inlineStr">
        <is>
          <t>High
(FSIS+NCDA 8-17)</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~1,944/wk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row>
    <row r="8" ht="19.7" customHeight="1" s="59">
      <c r="A8" s="118" t="inlineStr">
        <is>
          <t>NORTH CAROLINA — candidate slaughterhouses (primary region)</t>
        </is>
      </c>
    </row>
    <row r="9" ht="219.4" customHeight="1" s="59">
      <c r="A9" s="4" t="inlineStr">
        <is>
          <t>Piedmont Custom Meats</t>
        </is>
      </c>
      <c r="B9" s="68" t="inlineStr">
        <is>
          <t>Gibsonville, NC (SLAUGHTER)
Asheboro, NC (processing only)</t>
        </is>
      </c>
      <c r="C9" s="68" t="inlineStr">
        <is>
          <t>USDA-inspected</t>
        </is>
      </c>
      <c r="D9" s="68" t="inlineStr">
        <is>
          <t>~19-194/wk
(FSIS cat 2 ceiling)
· HACCP Very Small (&lt;10 employees or &lt;$2.5M sales)</t>
        </is>
      </c>
      <c r="E9" s="88" t="inlineStr">
        <is>
          <t>YES · ~48 mi
(Pikeville: ~116 mi)</t>
        </is>
      </c>
      <c r="F9" s="139" t="inlineStr">
        <is>
          <t>0-300/wk
(cat-2 ceiling ~194, all species)</t>
        </is>
      </c>
      <c r="G9" s="68" t="inlineStr">
        <is>
          <t>⚠ BOAR/STAG flagged (FSIS)
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M7975A; not on public export lists — verify</t>
        </is>
      </c>
      <c r="K9" s="68" t="inlineStr">
        <is>
          <t>Strong — AWA-approved, written humane-handling policy, Temple-Grandin-influenced design Employee reviews (Indeed 4.5/5): a former kill-floor worker's 'demand higher pay' and supply shortages at the Asheboro site — a culture question for the visit, not a gate.</t>
        </is>
      </c>
      <c r="L9" s="68" t="inlineStr">
        <is>
          <t>$85 hog kill + $5.06/head DISPOSAL FEE on their own price sheet — suggests viscera are normally discarded — confirm which organs, and whose (service kills are the farmer's animal), i.e. organs exist and are being thrown away; recovery is a negotiation, not a rebuild. 150-lb pig minimum (their customer manual).</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CONTACT: (no county-directory entry — federal M7975; call the scheduling line)
(336) 628-4949
piedmontcustommeats.com</t>
        </is>
      </c>
      <c r="P9" s="23" t="inlineStr">
        <is>
          <t>CAUTION
(boar/stag)</t>
        </is>
      </c>
      <c r="Q9" s="178" t="inlineStr">
        <is>
          <t>BOAR/STAG RULE 9-28: FSIS flags boar/stag slaughter at this plant — AVOID unless the call confirms boars/stags are never run with our hogs (gate G4). ★ TIER 1 — best host structure + best welfare story (AWA / Temple Grandin), all four hog classes, 48 road mi from Durham (116 from the old Pikeville anchor). Their disposal fee suggests viscera are discarded today — confirm which organs, and who owns them. Cat-2 ceiling.</t>
        </is>
      </c>
      <c r="R9" s="179" t="inlineStr">
        <is>
          <t>piedmontcustommeats.com
Yelp (positive) · Butcher Bud 3.3/5 from 38 reviews · Yahoo Local (prompt, humane, courteous) · Indeed employee reviews 4.5/5 · LocalHarvest (verified 2026-09-30)</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≤~194 head/wk ACROSS ALL SPECIES (beef + 4 hog classes + sheep + goat + bison) — a Model A + welfare-story candidate, NOT a Martin's replacement. Their own disposal fee suggests viscera are discarded today (which organs, and whose, is a call question).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
SOCIAL/OTHER 9-30: In business since 1956; hours 7-3:30. Employee reviews: a former KILL-FLOOR worker advises 'demand higher pay'; Asheboro-site complaints about cold, heavy lifting and short supplies (reusing gloves). Customer rating middling (3.3/5 on 38). Nothing disqualifying; a culture question for the visit.</t>
        </is>
      </c>
    </row>
    <row r="10" ht="152.4" customHeight="1" s="59">
      <c r="A10" s="4" t="inlineStr">
        <is>
          <t>Acre Station Meat Farm</t>
        </is>
      </c>
      <c r="B10" s="68" t="inlineStr">
        <is>
          <t>Pinetown, NC</t>
        </is>
      </c>
      <c r="C10" s="68" t="inlineStr">
        <is>
          <t>USDA-equivalent (Talmadge-Aiken)</t>
        </is>
      </c>
      <c r="D10" s="68" t="inlineStr">
        <is>
          <t>~150 hogs/wk + 6-12 cattle
(NMPAN/Firsthand profiles, dated)
FSIS cat 2 ceiling ~194/wk all species
· HACCP Very Small (&lt;10 employees or &lt;$2.5M sales)</t>
        </is>
      </c>
      <c r="E10" s="88" t="inlineStr">
        <is>
          <t>NO · ~141 mi
(119.7 radial; Pikeville: ~88 mi)</t>
        </is>
      </c>
      <c r="F10" s="139" t="inlineStr">
        <is>
          <t>0-300/wk (~150)</t>
        </is>
      </c>
      <c r="G10" s="68" t="inlineStr">
        <is>
          <t>MARKET + SOW
(roaster: No, boar/stag: No)</t>
        </is>
      </c>
      <c r="H10" s="68" t="inlineStr">
        <is>
          <t>USDA ✓ M19904 + P19904
(active federal grant)</t>
        </is>
      </c>
      <c r="I10" s="68" t="inlineStr">
        <is>
          <t>None found (Est. M19904)</t>
        </is>
      </c>
      <c r="J10" s="68" t="inlineStr">
        <is>
          <t>Not on public export lists — verify w/ APHIS VS</t>
        </is>
      </c>
      <c r="K10" s="68" t="inlineStr">
        <is>
          <t>AWA (Animal Welfare Approved) certified; family farm</t>
        </is>
      </c>
      <c r="L10" s="68" t="inlineStr">
        <is>
          <t>Own kill floor, slow line, sows on the grant — mechanically plausible, but hogs share the week with cattle/sheep/goats, so dedicated swine-organ days would be limited. Hog kill fee $0.19/lb dressed + $0.84/lb processing (own site). PLANT-OWNED ANIMALS: the company buys its own slow-grower hogs from local farmers (site), so organ ownership is the plant's — no farmer-consent problem.</t>
        </is>
      </c>
      <c r="M10" s="68" t="inlineStr">
        <is>
          <t>Plausible</t>
        </is>
      </c>
      <c r="N10" s="68" t="inlineStr">
        <is>
          <t>Plausible</t>
        </is>
      </c>
      <c r="O10" s="68" t="inlineStr">
        <is>
          <t>CONTACT: Richard Huettmann (NCDA county directory) · 252-927-3700 (directory) / 252-927-3489 (site)
(252)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
facebook.com/AcreStationMeatFarm (9,200+ likes) · Yelp 11 reviews · NMPAN profile (80 hogs/day capacity) · LocalHarvest (verified 2026-09-30)</t>
        </is>
      </c>
      <c r="S10" s="68" t="inlineStr">
        <is>
          <t>High
(FSIS+NCDA 8-17)</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
SOCIAL/OTHER 9-30: BUYS ITS OWN 'slow grower' hogs from local farmers — plant-owned animals, so the organs are the plant's to sell (no farmer-consent problem). Reviews praise cleanliness and expert butchers. County directory: slaughter calves, cattle, hogs, lambs; curing/smoking.</t>
        </is>
      </c>
    </row>
    <row r="11" ht="246.2" customHeight="1" s="59">
      <c r="A11" s="82" t="inlineStr">
        <is>
          <t>Custom Quality Packers, LLC</t>
        </is>
      </c>
      <c r="B11" s="83" t="inlineStr">
        <is>
          <t>Sims, NC</t>
        </is>
      </c>
      <c r="C11" s="83" t="inlineStr">
        <is>
          <t>USDA (Talmadge-Aiken) TA-20129 / M20129 hog slaughter + processing</t>
        </is>
      </c>
      <c r="D11" s="83" t="inlineStr">
        <is>
          <t>~500/wk
(company-stated, mtg 2026-08)
FSIS cat 3 → 194-1,944/wk
· HACCP Small (10-499 employees)</t>
        </is>
      </c>
      <c r="E11" s="88" t="inlineStr">
        <is>
          <t>YES · ~60 mi
(Pikeville: ~45 mi)</t>
        </is>
      </c>
      <c r="F11" s="142" t="inlineStr">
        <is>
          <t>300-700/wk (~500 stated)</t>
        </is>
      </c>
      <c r="G11" s="133" t="inlineStr">
        <is>
          <t>MARKET + ROASTER
(sow: No, boar/stag: No)</t>
        </is>
      </c>
      <c r="H11" s="83" t="inlineStr">
        <is>
          <t>USDA ✓ M20129
(federal, delivered via the
Talmadge-Aiken programme —
TA-20129 in the NCDA&amp;CS
TA directory 2026-08-10)</t>
        </is>
      </c>
      <c r="I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11" s="83" t="inlineStr">
        <is>
          <t>Not on public export lists — verify</t>
        </is>
      </c>
      <c r="K11" s="83" t="inlineStr">
        <is>
          <t>Incumbent — we send our harvesters; county-directory contact Barrett Twitty; labels with farmer's name; sells inside and outside NC.</t>
        </is>
      </c>
      <c r="L11" s="83" t="inlineStr">
        <is>
          <t>Plausible; skin-and-scald offered</t>
        </is>
      </c>
      <c r="M11" s="83" t="inlineStr">
        <is>
          <t>Plausible</t>
        </is>
      </c>
      <c r="N11" s="83" t="inlineStr">
        <is>
          <t>Plausible</t>
        </is>
      </c>
      <c r="O11" s="83" t="inlineStr">
        <is>
          <t>CONTACT: Barrett Twitty (NCDA county directory) — incumbent
(252)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
(FSIS+NCDA 8-17)</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
SOCIAL/OTHER 9-30: County directory: slaughter HOGS only; labels with farmer's name; sells inside and outside NC.</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09" t="inlineStr">
        <is>
          <t>YES · ~45 mi
(Durham: n/m)</t>
        </is>
      </c>
      <c r="F12" s="143" t="inlineStr">
        <is>
          <t>n/a — duplicate</t>
        </is>
      </c>
      <c r="G12" s="68" t="inlineStr">
        <is>
          <t>see row below</t>
        </is>
      </c>
      <c r="H12" s="68" t="inlineStr">
        <is>
          <t>USDA ✓ M21747 + P21747</t>
        </is>
      </c>
      <c r="I12" s="68" t="inlineStr">
        <is>
          <t>None found (Est. M21747)</t>
        </is>
      </c>
      <c r="J12" s="68" t="inlineStr">
        <is>
          <t>Not on public export lists — verify</t>
        </is>
      </c>
      <c r="K12" s="68" t="inlineStr">
        <is>
          <t>unknown</t>
        </is>
      </c>
      <c r="L12" s="68" t="inlineStr">
        <is>
          <t>Plausible; skin-and-scald</t>
        </is>
      </c>
      <c r="M12" s="68" t="inlineStr">
        <is>
          <t>Plausible</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
(FSIS+MPI 8-06)</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72" customHeight="1" s="59">
      <c r="A13" s="4" t="inlineStr">
        <is>
          <t>Wayne Mays Meat Processing</t>
        </is>
      </c>
      <c r="B13" s="68" t="inlineStr">
        <is>
          <t>Taylorsville, NC</t>
        </is>
      </c>
      <c r="C13" s="68" t="inlineStr">
        <is>
          <t>USDA-inspected</t>
        </is>
      </c>
      <c r="D13" s="68" t="inlineStr">
        <is>
          <t>&lt;19/wk
(FSIS cat 1)
· HACCP Small (10-499 employees)</t>
        </is>
      </c>
      <c r="E13" s="110" t="inlineStr">
        <is>
          <t>NO · ~142 mi ≈
(Pikeville: ~218 mi)</t>
        </is>
      </c>
      <c r="F13" s="139" t="inlineStr">
        <is>
          <t>0-300/wk (&lt;19)</t>
        </is>
      </c>
      <c r="G13" s="68" t="inlineStr">
        <is>
          <t>⚠ BOAR/STAG flagged (FSIS)
MARKET + SOW + boar/stag</t>
        </is>
      </c>
      <c r="H13" s="68" t="inlineStr">
        <is>
          <t>USDA ✓ M21848 + P21848 + V21848</t>
        </is>
      </c>
      <c r="I13" s="25" t="inlineStr">
        <is>
          <t>⚠ Humane-handling NOS ~Aug 2020 (Est. M21848); PETA-documented pig shot 3× (2024). Recurring.</t>
        </is>
      </c>
      <c r="J13" s="68" t="inlineStr">
        <is>
          <t>Not on public export lists — verify</t>
        </is>
      </c>
      <c r="K13" s="68" t="inlineStr">
        <is>
          <t>AWA + Certified Organic — strong welfare signals</t>
        </is>
      </c>
      <c r="L13" s="68" t="inlineStr">
        <is>
          <t>Plausible</t>
        </is>
      </c>
      <c r="M13" s="68" t="inlineStr">
        <is>
          <t>Plausible</t>
        </is>
      </c>
      <c r="N13" s="68" t="inlineStr">
        <is>
          <t>Plausible</t>
        </is>
      </c>
      <c r="O13" s="68" t="inlineStr">
        <is>
          <t>(828) 634-2034
maysmeats.net</t>
        </is>
      </c>
      <c r="P13" s="23" t="inlineStr">
        <is>
          <t>CAUTION</t>
        </is>
      </c>
      <c r="Q13" s="178" t="inlineStr">
        <is>
          <t>BOAR/STAG RULE 9-28: FSIS flags boar/stag slaughter at this plant — AVOID unless the call confirms boars/stags are never run with our hogs (gate G4). Back-pool — passes no current tier; see Fit and notes for what a call would need to change.</t>
        </is>
      </c>
      <c r="R13" s="179" t="inlineStr">
        <is>
          <t>—</t>
        </is>
      </c>
      <c r="S13" s="68" t="inlineStr">
        <is>
          <t>High
(FSIS+MPI 8-06)</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192.6" customHeight="1" s="59">
      <c r="A14" s="138" t="inlineStr">
        <is>
          <t>M.L. Mitchell &amp; Son
(FSIS lists Mitchell's Meat Processing, LLC)</t>
        </is>
      </c>
      <c r="B14" s="68" t="inlineStr">
        <is>
          <t>Walnut Cove, NC</t>
        </is>
      </c>
      <c r="C14" s="68" t="inlineStr">
        <is>
          <t>USDA-inspected</t>
        </is>
      </c>
      <c r="D14" s="68" t="inlineStr">
        <is>
          <t>&lt;19/wk
(FSIS cat 1)
· HACCP Very Small (&lt;10 employees or &lt;$2.5M sales)</t>
        </is>
      </c>
      <c r="E14" s="88" t="inlineStr">
        <is>
          <t>YES · ~85 mi ≈
(Pikeville: ~160 mi)</t>
        </is>
      </c>
      <c r="F14" s="139" t="inlineStr">
        <is>
          <t>0-300/wk (&lt;19)</t>
        </is>
      </c>
      <c r="G14" s="68" t="inlineStr">
        <is>
          <t>⚠ BOAR/STAG flagged (FSIS)
MARKET + SOW + boar/stag</t>
        </is>
      </c>
      <c r="H14" s="68" t="inlineStr">
        <is>
          <t>USDA ✓ M46822 + P46822
(listed as Mitchell's Meat Processing)</t>
        </is>
      </c>
      <c r="I14" s="25" t="inlineStr">
        <is>
          <t>⚠ Slaughter suspension Aug 2021 — egregious (failed goat stun, conscious throat-cut). PETA→DA.</t>
        </is>
      </c>
      <c r="J14" s="68" t="inlineStr">
        <is>
          <t>Not on public export lists — verify</t>
        </is>
      </c>
      <c r="K14" s="68" t="inlineStr">
        <is>
          <t>Family business (culture signal) Facebook 78% recommend (14 reviews) — lowest in the set; see the enforcement column.</t>
        </is>
      </c>
      <c r="L14" s="68" t="inlineStr">
        <is>
          <t>Plausible</t>
        </is>
      </c>
      <c r="M14" s="68" t="inlineStr">
        <is>
          <t>Plausible</t>
        </is>
      </c>
      <c r="N14" s="68" t="inlineStr">
        <is>
          <t>Plausible</t>
        </is>
      </c>
      <c r="O14" s="68" t="inlineStr">
        <is>
          <t>CONTACT: Kristine Mitchell (NCDA county directory)
(336) 591-7420</t>
        </is>
      </c>
      <c r="P14" s="23" t="inlineStr">
        <is>
          <t>CAUTION</t>
        </is>
      </c>
      <c r="Q14" s="178" t="inlineStr">
        <is>
          <t>BOAR/STAG RULE 9-28: FSIS flags boar/stag slaughter at this plant — AVOID unless the call confirms boars/stags are never run with our hogs (gate G4). Back-pool — passes no current tier; see Fit and notes for what a call would need to change.</t>
        </is>
      </c>
      <c r="R14" s="179" t="inlineStr">
        <is>
          <t>—
facebook.com/MitchellsMeatNC (14 reviews, 78% recommend — lowest in this set) + facebook.com/MitchellsButcheryNC · Butcher Bud 4.0/5 from 45 · BBB · Yelp · Instagram text line 336-310-9538 (verified 2026-09-30)</t>
        </is>
      </c>
      <c r="S14" s="68" t="inlineStr">
        <is>
          <t>High
(FSIS+NCDA 8-17)</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
Beebop r2 (9-28): identity clarifier — Walnut Cove TA-46822 / M46822 remains listed (NCDA 9-18); the King closure (M46822B, 7/14/2026) is a separate site and is context, not the Walnut Cove status. The enforcement record is unresolved, not cleared.
SOCIAL/OTHER 9-30: Hours M-Th 6-5, F 8-4, Sat 8-12. Aggregator copy calls it 'spotless and well-organized'; the 78% Facebook score and the enforcement record on this row say get it in person.</t>
        </is>
      </c>
    </row>
    <row r="15" ht="139" customHeight="1" s="59">
      <c r="A15" s="4" t="inlineStr">
        <is>
          <t>Key Packing Company, Inc.</t>
        </is>
      </c>
      <c r="B15" s="68" t="inlineStr">
        <is>
          <t>Robbins, NC</t>
        </is>
      </c>
      <c r="C15" s="68" t="inlineStr">
        <is>
          <t>NCDA state-inspected</t>
        </is>
      </c>
      <c r="D15" s="68" t="inlineStr">
        <is>
          <t>unknown (small)</t>
        </is>
      </c>
      <c r="E15" s="88" t="inlineStr">
        <is>
          <t>YES · ~70 mi
(Pikeville: ~116 mi)</t>
        </is>
      </c>
      <c r="F15" s="143" t="inlineStr">
        <is>
          <t>confirm
(state — no volume published)</t>
        </is>
      </c>
      <c r="G15" s="68" t="inlineStr">
        <is>
          <t>Yes</t>
        </is>
      </c>
      <c r="H15" s="68" t="inlineStr">
        <is>
          <t>STATE only
(NOT USDA — no FSIS record)</t>
        </is>
      </c>
      <c r="I15" s="68" t="inlineStr">
        <is>
          <t>None found (state-inspected; federal FSIS enforcement n/a)</t>
        </is>
      </c>
      <c r="J15" s="68" t="inlineStr">
        <is>
          <t>State-inspected; not on public export lists — verify</t>
        </is>
      </c>
      <c r="K15" s="68" t="inlineStr">
        <is>
          <t>Family-owned (Key family); custom slaughter for independent farmers</t>
        </is>
      </c>
      <c r="L15" s="68" t="inlineStr">
        <is>
          <t>Plausible</t>
        </is>
      </c>
      <c r="M15" s="68" t="inlineStr">
        <is>
          <t>Plausible</t>
        </is>
      </c>
      <c r="N15" s="68" t="inlineStr">
        <is>
          <t>Plausible</t>
        </is>
      </c>
      <c r="O15" s="68" t="inlineStr">
        <is>
          <t>CONTACT: Gilbert Key / Elizabeth Key (NCDA county directory)
(910)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
facebook.com/keypackingcompany (24 reviews, 100% recommend) · 4.8/5 from 84 reviewers (aggregator) · Yelp · Nextdoor · Tripadvisor (verified 2026-09-30)</t>
        </is>
      </c>
      <c r="S15" s="68" t="inlineStr">
        <is>
          <t>High
(FSIS+MPI 8-06)</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
SOCIAL/OTHER 9-30: Retail store + packing plant working with independent farmers. Reviews consistently praise quality (sausage) and friendly, professional staff. County directory: slaughter buffalo, calves, cattle, hogs. Active and well-regarded.</t>
        </is>
      </c>
    </row>
    <row r="16" ht="72" customHeight="1" s="59">
      <c r="A16" s="4" t="inlineStr">
        <is>
          <t>Sessoms Packing Company</t>
        </is>
      </c>
      <c r="B16" s="68" t="inlineStr">
        <is>
          <t>Ahoskie, NC</t>
        </is>
      </c>
      <c r="C16" s="68" t="inlineStr">
        <is>
          <t>Slaughter (probable USDA)</t>
        </is>
      </c>
      <c r="D16" s="68" t="inlineStr">
        <is>
          <t>unknown</t>
        </is>
      </c>
      <c r="E16" s="110" t="inlineStr">
        <is>
          <t>NO · ~132 mi ≈
(Pikeville: ~95 mi)</t>
        </is>
      </c>
      <c r="F16" s="143" t="inlineStr">
        <is>
          <t>confirm</t>
        </is>
      </c>
      <c r="G16" s="68" t="inlineStr">
        <is>
          <t>Yes</t>
        </is>
      </c>
      <c r="H16" s="68" t="inlineStr">
        <is>
          <t>NOT in the FSIS MPI directory
('probable USDA' is WITHDRAWN)</t>
        </is>
      </c>
      <c r="I16" s="68" t="inlineStr">
        <is>
          <t>None found in public sources</t>
        </is>
      </c>
      <c r="J16" s="68" t="inlineStr">
        <is>
          <t>Not on public export lists — verify</t>
        </is>
      </c>
      <c r="K16" s="68" t="inlineStr">
        <is>
          <t>unknown</t>
        </is>
      </c>
      <c r="L16" s="68" t="inlineStr">
        <is>
          <t>Plausible; whole-hog (country ham)</t>
        </is>
      </c>
      <c r="M16" s="68" t="inlineStr">
        <is>
          <t>Plausible</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
(FSIS+MPI 8-06)</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52.4" customHeight="1" s="59">
      <c r="A17" s="138" t="inlineStr">
        <is>
          <t>Wilkes Abattoir, LLC dba Apple Brandy Prime Cuts
(formerly Thomas Brothers)</t>
        </is>
      </c>
      <c r="B17" s="68" t="inlineStr">
        <is>
          <t>North Wilkesboro, NC</t>
        </is>
      </c>
      <c r="C17" s="68" t="inlineStr">
        <is>
          <t>USDA (Talmadge-Aiken) TA-19511 multi-species slaughter + processing; retail as Apple Brandy Prime Cuts</t>
        </is>
      </c>
      <c r="D17" s="68" t="inlineStr">
        <is>
          <t>~19-194/wk
(FSIS cat 2 ceiling)
· HACCP Very Small (&lt;10 employees or &lt;$2.5M sales)</t>
        </is>
      </c>
      <c r="E17" s="110" t="inlineStr">
        <is>
          <t>NO · ~134 mi ≈
(Pikeville: ~209 mi)</t>
        </is>
      </c>
      <c r="F17" s="139" t="inlineStr">
        <is>
          <t>0-300/wk
(est. 10-95 hogs)</t>
        </is>
      </c>
      <c r="G17" s="68" t="inlineStr">
        <is>
          <t>⚠ BOAR/STAG flagged (FSIS)
MARKET + SOW + boar/stag</t>
        </is>
      </c>
      <c r="H17" s="68" t="inlineStr">
        <is>
          <t>USDA ✓ M19511 + P19511
(Wilkes Abattoir — SLAUGHTER-ONLY)</t>
        </is>
      </c>
      <c r="I17" s="25" t="inlineStr">
        <is>
          <t>⚠ REPEAT humane-handling suspensions 2009, 2015, 2018 (AWI list; Est. 19511M)</t>
        </is>
      </c>
      <c r="J17" s="68" t="inlineStr">
        <is>
          <t>Not on public export lists — verify</t>
        </is>
      </c>
      <c r="K17" s="68" t="inlineStr">
        <is>
          <t>Prior-owner welfare history (see enforcement column); current owner Seth Church — a visit finding.</t>
        </is>
      </c>
      <c r="L17" s="68" t="inlineStr">
        <is>
          <t>Custom abattoir serving farmers/licensed handlers — offal return is standard practice in this class (undocumented). Sow + boar flags = large-frame animals come through.</t>
        </is>
      </c>
      <c r="M17" s="68" t="inlineStr">
        <is>
          <t>Plausible</t>
        </is>
      </c>
      <c r="N17" s="68" t="inlineStr">
        <is>
          <t>Plausible</t>
        </is>
      </c>
      <c r="O17" s="68" t="inlineStr">
        <is>
          <t>CONTACT: Seth Church (owner; NCDA county directory + Wilkes EDC) · plant 336-667-1346 · retail 336-990-9310
(336) 667-1346
Owner: Seth Church
abprimecuts.com</t>
        </is>
      </c>
      <c r="P17" s="23" t="inlineStr">
        <is>
          <t>CAUTION</t>
        </is>
      </c>
      <c r="Q17" s="178" t="inlineStr">
        <is>
          <t>BOAR/STAG RULE 9-28: FSIS flags boar/stag slaughter at this plant — AVOID unless the call confirms boars/stags are never run with our hogs (gate G4). TIER 3 — highest hog share in the west (~half the kill), real cut-to-spec crew; 134 road mi from Durham (209 from Pikeville) and a prior-owner welfare history → B-T only.</t>
        </is>
      </c>
      <c r="R17" s="179" t="inlineStr">
        <is>
          <t>abprimecuts.com
facebook.com/p/AB-Prime-Cuts · abprimecuts.com · Visit NC Farms · Wilkes Chamber (verified 2026-09-30)</t>
        </is>
      </c>
      <c r="S17" s="68" t="inlineStr">
        <is>
          <t>High
(FSIS+NCDA 8-17)</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
SOCIAL/OTHER 9-30: Retail shop at 106 Chestnut St, plant at 347 Thomas St. County directory: slaughter calves, cattle, goats, hogs, lambs, ratites, sheep; sells inside and outside NC.</t>
        </is>
      </c>
    </row>
    <row r="18" ht="72" customHeight="1" s="59">
      <c r="A18" s="4" t="inlineStr">
        <is>
          <t>Cruse Meat Processing</t>
        </is>
      </c>
      <c r="B18" s="68" t="inlineStr">
        <is>
          <t>Concord, NC</t>
        </is>
      </c>
      <c r="C18" s="68" t="inlineStr">
        <is>
          <t>USDA (Talmadge-Aiken) TA-46354 slaughter + processing — market hogs only (FSIS)</t>
        </is>
      </c>
      <c r="D18" s="68" t="inlineStr">
        <is>
          <t>&lt;19/wk
(FSIS cat 1)
· HACCP Very Small (&lt;10 employees or &lt;$2.5M sales)</t>
        </is>
      </c>
      <c r="E18" s="88" t="inlineStr">
        <is>
          <t>YES · ~120 mi (borderline)
(Pikeville: ~168 mi)</t>
        </is>
      </c>
      <c r="F18" s="139" t="inlineStr">
        <is>
          <t>0-300/wk (&lt;19)</t>
        </is>
      </c>
      <c r="G18" s="68" t="inlineStr">
        <is>
          <t>MARKET only
(sow: No, roaster: No)</t>
        </is>
      </c>
      <c r="H18" s="68" t="inlineStr">
        <is>
          <t>USDA ✓ M46354</t>
        </is>
      </c>
      <c r="I18" s="68" t="inlineStr">
        <is>
          <t>None found in public sources</t>
        </is>
      </c>
      <c r="J18" s="68" t="inlineStr">
        <is>
          <t>Not on public export lists — verify</t>
        </is>
      </c>
      <c r="K18" s="68" t="inlineStr">
        <is>
          <t>Nothing published either way.</t>
        </is>
      </c>
      <c r="L18" s="68" t="inlineStr">
        <is>
          <t>Plausible; skin-and-scald</t>
        </is>
      </c>
      <c r="M18" s="68" t="inlineStr">
        <is>
          <t>Plausible</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
(FSIS+MPI 8-06)</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
Beebop 9-28 (rank #18): ~120 road mi from Durham (boundary); 'route to the Rimer Road plant, not central Concord'. NCDA 9-18: species A-E.</t>
        </is>
      </c>
    </row>
    <row r="19" ht="125.6" customHeight="1" s="59">
      <c r="A19" s="4" t="inlineStr">
        <is>
          <t>Triad Meat Custom Processing</t>
        </is>
      </c>
      <c r="B19" s="68" t="inlineStr">
        <is>
          <t>Madison, NC</t>
        </is>
      </c>
      <c r="C19" s="68" t="inlineStr">
        <is>
          <t>Slaughter</t>
        </is>
      </c>
      <c r="D19" s="68" t="inlineStr">
        <is>
          <t>n/a — no swine
· HACCP Very Small (&lt;10 employees or &lt;$2.5M sales)</t>
        </is>
      </c>
      <c r="E19" s="110" t="inlineStr">
        <is>
          <t>NO · ~248 mi ≈
(Pikeville: ~159 mi)</t>
        </is>
      </c>
      <c r="F19" s="143" t="inlineStr">
        <is>
          <t>n/a — no swine</t>
        </is>
      </c>
      <c r="G19" s="68" t="inlineStr">
        <is>
          <t>NO SWINE FLAGS</t>
        </is>
      </c>
      <c r="H19" s="68" t="inlineStr">
        <is>
          <t>USDA ✓ M46085 + P46085
(FSIS lists Triad Halal Meats LLC)</t>
        </is>
      </c>
      <c r="I19" s="25" t="inlineStr">
        <is>
          <t>⚠ FSIS suspension ~Dec 2025 (Est. M46085; cause unspecified in public snippets)</t>
        </is>
      </c>
      <c r="J19" s="68" t="inlineStr">
        <is>
          <t>Not on public export lists — verify</t>
        </is>
      </c>
      <c r="K19" s="68" t="inlineStr">
        <is>
          <t>AWA (welfare signal)</t>
        </is>
      </c>
      <c r="L19" s="68" t="inlineStr">
        <is>
          <t>Plausible</t>
        </is>
      </c>
      <c r="M19" s="68" t="inlineStr">
        <is>
          <t>No — no swine slaughter</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
(FSIS+MPI 8-06)</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
SOCIAL/OTHER 9-30: the (undated) Rockingham county directory still lists this address as 'Stevens Abattoir, Inc' (Darren Stevens) slaughtering hogs and selling outside NC — that is the PREVIOUS identity of the same 281 Sisk Mill Loop plant. The 2026-09-18 state directory shows it as Triad Halal Meats TA-46085 with species A, B, D, E — no swine. Exclusion on species stands; not a new lead.</t>
        </is>
      </c>
    </row>
    <row r="20" ht="72" customHeight="1" s="59">
      <c r="A20" s="4" t="inlineStr">
        <is>
          <t>Wells, Jenkins &amp; Wells Abattoir</t>
        </is>
      </c>
      <c r="B20" s="68" t="inlineStr">
        <is>
          <t>Forest City, NC</t>
        </is>
      </c>
      <c r="C20" s="68" t="inlineStr">
        <is>
          <t>Slaughter</t>
        </is>
      </c>
      <c r="D20" s="68" t="inlineStr">
        <is>
          <t>~19-194/wk
(FSIS cat 2 ceiling)
· HACCP Very Small (&lt;10 employees or &lt;$2.5M sales)</t>
        </is>
      </c>
      <c r="E20" s="110" t="inlineStr">
        <is>
          <t>NO · ~203 mi ≈
(Pikeville: ~278 mi)</t>
        </is>
      </c>
      <c r="F20" s="139" t="inlineStr">
        <is>
          <t>0-300/wk (≤194)</t>
        </is>
      </c>
      <c r="G20" s="68" t="inlineStr">
        <is>
          <t>⚠ BOAR/STAG flagged (FSIS)
MARKET + boar/stag
(sow: No, roaster: No)</t>
        </is>
      </c>
      <c r="H20" s="68" t="inlineStr">
        <is>
          <t>USDA ✓ M881 + P881 + V881</t>
        </is>
      </c>
      <c r="I20" s="68" t="inlineStr">
        <is>
          <t>None found (the M7457A docs are a different WV plant)</t>
        </is>
      </c>
      <c r="J20" s="68" t="inlineStr">
        <is>
          <t>Not on public export lists — verify</t>
        </is>
      </c>
      <c r="K20" s="68" t="inlineStr">
        <is>
          <t>AWA (welfare signal)</t>
        </is>
      </c>
      <c r="L20" s="68" t="inlineStr">
        <is>
          <t>Plausible</t>
        </is>
      </c>
      <c r="M20" s="68" t="inlineStr">
        <is>
          <t>Plausible</t>
        </is>
      </c>
      <c r="N20" s="68" t="inlineStr">
        <is>
          <t>Plausible</t>
        </is>
      </c>
      <c r="O20" s="68" t="inlineStr">
        <is>
          <t>(828) 245-5544</t>
        </is>
      </c>
      <c r="P20" s="23" t="inlineStr">
        <is>
          <t>CAUTION
(boar/stag)</t>
        </is>
      </c>
      <c r="Q20" s="178" t="inlineStr">
        <is>
          <t>BOAR/STAG RULE 9-28: FSIS flags boar/stag slaughter at this plant — AVOID unless the call confirms boars/stags are never run with our hogs (gate G4). Back-pool — passes no current tier; see Fit and notes for what a call would need to change.</t>
        </is>
      </c>
      <c r="R20" s="179" t="inlineStr">
        <is>
          <t>—</t>
        </is>
      </c>
      <c r="S20" s="68" t="inlineStr">
        <is>
          <t>High
(FSIS+MPI 8-06)</t>
        </is>
      </c>
      <c r="T20" s="68" t="inlineStr">
        <is>
          <t>RESOLVED: active federal grant M881 + P881 + V881, Forest City NC, market hogs and boar/stag flagged. Ceiling FSIS category 2, ~194/wk.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
· HACCP Very Small (&lt;10 employees or &lt;$2.5M sales)</t>
        </is>
      </c>
      <c r="E21" s="110" t="inlineStr">
        <is>
          <t>NO · ~129 mi ≈ (borderline)
(Pikeville: ~57 mi)</t>
        </is>
      </c>
      <c r="F21" s="139" t="inlineStr">
        <is>
          <t>0-300/wk (&lt;19)</t>
        </is>
      </c>
      <c r="G21" s="68" t="inlineStr">
        <is>
          <t>MARKET + SOW
(roaster: No, boar/stag: No)</t>
        </is>
      </c>
      <c r="H21" s="68" t="inlineStr">
        <is>
          <t>USDA ✓ M20981 + P20981
('custom-exempt' is REFUTED —
active federal grant)</t>
        </is>
      </c>
      <c r="I21" s="68" t="inlineStr">
        <is>
          <t>None found in public sources</t>
        </is>
      </c>
      <c r="J21" s="68" t="inlineStr">
        <is>
          <t>Custom-exempt; not export-eligible as-is — verify</t>
        </is>
      </c>
      <c r="K21" s="68" t="inlineStr">
        <is>
          <t>AWA (welfare signal)</t>
        </is>
      </c>
      <c r="L21" s="68" t="inlineStr">
        <is>
          <t>Limited (exempt status)</t>
        </is>
      </c>
      <c r="M21" s="68" t="inlineStr">
        <is>
          <t>Limited</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
(FSIS+NCDA 8-17)</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206" customHeight="1" s="59">
      <c r="A22" s="138" t="inlineStr">
        <is>
          <t>Larry's Sausage Co., Inc.</t>
        </is>
      </c>
      <c r="B22" s="68" t="inlineStr">
        <is>
          <t>Fayetteville, NC (Cumberland)</t>
        </is>
      </c>
      <c r="C22" s="68" t="inlineStr">
        <is>
          <t>USDA FEDERAL slaughter + sausage processing
(NOT Talmadge-Aiken)</t>
        </is>
      </c>
      <c r="D22" s="68" t="inlineStr">
        <is>
          <t>~19-194/wk ceiling
(FSIS slaughter cat 2 = 1,000-9,999 hd / 360 d).
Earlier '200-800/wk' REFUTED
· HACCP Small (10-499 employees)</t>
        </is>
      </c>
      <c r="E22" s="88" t="inlineStr">
        <is>
          <t>YES · ~87 mi
(Pikeville: ~65 mi)</t>
        </is>
      </c>
      <c r="F22" s="139" t="inlineStr">
        <is>
          <t>0-300/wk
(cat-2 ceiling ~194 sows)</t>
        </is>
      </c>
      <c r="G22" s="68" t="inlineStr">
        <is>
          <t>SOW ONLY
sow_slaughter=Yes; market_swine=No,
roaster=No, boar/stag=No</t>
        </is>
      </c>
      <c r="H22" s="68" t="inlineStr">
        <is>
          <t>USDA ✓ M8305
(federal grant active, 20 Jul 2021)</t>
        </is>
      </c>
      <c r="I22" s="68" t="inlineStr">
        <is>
          <t>None found in 10 FSIS Quarterly Enforcement Reports (FY2024 Q1 – FY2026 Q2). NOT a clean bill — QERs list suspensions / NOIEs / withholding actions only, not every noncompliance record.</t>
        </is>
      </c>
      <c r="J22" s="68" t="inlineStr">
        <is>
          <t>Federal grant → slaughter under federal ante-/post-mortem inspection, so material is EU Cat 3-eligible. NOT on any APHIS VS export listing — which under our two-path rule is fine for Model A (we harvest; the model is assembled at ATM).</t>
        </is>
      </c>
      <c r="K22" s="68" t="inlineStr">
        <is>
          <t>No enforcement found; nothing published either way. Family-owned since 1952, three generations — verify culture on site, do not assume it.</t>
        </is>
      </c>
      <c r="L22" s="68" t="inlineStr">
        <is>
          <t>★ STRONG ON PAPER: sows are killed for sausage MEAT, so viscera / organs / aortas are NOT their product and could come off intact. Sow organ scale is closest to adult human. Willingness untested — never contacted. Office hours Tue 9-3; larryssausage.com live.</t>
        </is>
      </c>
      <c r="M22" s="68" t="inlineStr">
        <is>
          <t>Structurally plausible (small, one decision-maker) BUT sow anatomy and a ~194/wk hard ceiling</t>
        </is>
      </c>
      <c r="N22" s="68" t="inlineStr">
        <is>
          <t>Weak — no volume to anchor a lane</t>
        </is>
      </c>
      <c r="O22" s="68" t="inlineStr">
        <is>
          <t>CONTACT: (family firm since 1952 — ask for the owner)
(910)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
facebook.com/p/Larrys-Sausage-Co (12 reviews, 100% recommend) · Yelp · Tripadvisor (verified 2026-09-30)</t>
        </is>
      </c>
      <c r="S22" s="68" t="inlineStr">
        <is>
          <t>High
(FSIS+NCDA 8-17)</t>
        </is>
      </c>
      <c r="T22" s="68" t="inlineStr">
        <is>
          <t>★ RE-RANKED BY THE 2026-08-17 SWEEP: THE BEST STRUCTURAL ORGAN ADD IN EASTERN NC — the region's only ESTABLISHED swine-only, sow-class federal floor at meaningful volume (cat 2 = 19-194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
SOCIAL/OTHER 9-30: Whole-hog sausage since 1952; delivery and take-out. Nothing new on the sow-only class.</t>
        </is>
      </c>
    </row>
    <row r="23" ht="206" customHeight="1" s="59">
      <c r="A23" s="138" t="inlineStr">
        <is>
          <t>Bass Farms, Inc.
(DBA Bass Farm Sausage)</t>
        </is>
      </c>
      <c r="B23" s="68" t="inlineStr">
        <is>
          <t>Spring Hope, NC (Nash)</t>
        </is>
      </c>
      <c r="C23" s="68" t="inlineStr">
        <is>
          <t>Sausage PROCESSOR with a small attached kill floor
— NOT 'slaughter only'</t>
        </is>
      </c>
      <c r="D23" s="68" t="inlineStr">
        <is>
          <t>~19-194/wk
(FSIS cat 2 in the 2026-09-03 pull — was cat 1 in Aug; grant 2/17/2026)
· HACCP Small (10-499 employees)</t>
        </is>
      </c>
      <c r="E23" s="88" t="inlineStr">
        <is>
          <t>YES · ~61 mi
(Pikeville: ~40 mi)</t>
        </is>
      </c>
      <c r="F23" s="139" t="inlineStr">
        <is>
          <t>0-300/wk
(cat 2 — growing)</t>
        </is>
      </c>
      <c r="G23" s="68" t="inlineStr">
        <is>
          <t>SOW ONLY
sow_slaughter=Yes; market_swine=No,
roaster=No, boar/stag=No</t>
        </is>
      </c>
      <c r="H23" s="68" t="inlineStr">
        <is>
          <t>USDA ✓ M3521 — NEWEST swine-slaughter
grant in NC (2/17/2026), sow-only;
TA-3521 in the NCDA&amp;CS TA directory</t>
        </is>
      </c>
      <c r="I23" s="68" t="inlineStr">
        <is>
          <t>None found in 10 FSIS Quarterly Enforcement Reports (FY2024 Q1 – FY2026 Q2). NOT a clean bill — QERs cover suspensions / NOIEs / withholding actions only.</t>
        </is>
      </c>
      <c r="J23" s="68" t="inlineStr">
        <is>
          <t>Federal grant → EU Cat 3-eligible in principle. No APHIS VS export listing. Volume makes the question moot.</t>
        </is>
      </c>
      <c r="K23" s="68" t="inlineStr">
        <is>
          <t>Nothing published either way.</t>
        </is>
      </c>
      <c r="L23" s="68" t="inlineStr">
        <is>
          <t>Whole-hog sausage uses carcass meat, not viscera — sow organs / aortas are currently WASTE (inference, labeled). Sows = MATURE anatomy: large hearts, aortas, bladders, uteri.</t>
        </is>
      </c>
      <c r="M23" s="68" t="inlineStr">
        <is>
          <t>Micro-scale only — but brand-new floor, growth mode, never hosted harvesters; scheduling likely negotiable</t>
        </is>
      </c>
      <c r="N23" s="68" t="inlineStr">
        <is>
          <t>Plausible at micro volume</t>
        </is>
      </c>
      <c r="O23" s="68" t="inlineStr">
        <is>
          <t>CONTACT: John Bass (owner per NC Field &amp; Family; founder Ralph Bass)
(252)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
bassfarmsausage.com · BBB profile · YellowPages (verified 2026-09-30)</t>
        </is>
      </c>
      <c r="S23" s="68" t="inlineStr">
        <is>
          <t>High
(FSIS+NCDA 8-17)</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
SOCIAL/OTHER 9-30: Family sausage business since the 1950s; sources hogs from NC farmers; blends in 100-lb batches. Nothing new on the sow-only class.</t>
        </is>
      </c>
    </row>
    <row r="24" ht="19.7" customHeight="1" s="59">
      <c r="A24" s="118" t="inlineStr">
        <is>
          <t>NORTH CAROLINA — large plants (context / ceiling, generally excluded)</t>
        </is>
      </c>
    </row>
    <row r="25" ht="58.6" customHeight="1" s="59">
      <c r="A25" s="4" t="inlineStr">
        <is>
          <t>Smithfield Foods — Tar Heel</t>
        </is>
      </c>
      <c r="B25" s="68" t="inlineStr">
        <is>
          <t>Bladen County, NC</t>
        </is>
      </c>
      <c r="C25" s="68" t="inlineStr">
        <is>
          <t>Industrial packer</t>
        </is>
      </c>
      <c r="D25" s="68" t="inlineStr">
        <is>
          <t>~28,000-32,000 / DAY</t>
        </is>
      </c>
      <c r="E25" s="88" t="inlineStr">
        <is>
          <t>YES · ~110 mi ≈ (borderline)
(Pikeville: ~89 mi)</t>
        </is>
      </c>
      <c r="F25" s="195" t="inlineStr">
        <is>
          <t>5,000+/wk (~28-32k/DAY)</t>
        </is>
      </c>
      <c r="G25" s="68" t="inlineStr">
        <is>
          <t>Yes</t>
        </is>
      </c>
      <c r="H25" s="68" t="inlineStr">
        <is>
          <t>USDA ✓</t>
        </is>
      </c>
      <c r="I25" s="68" t="inlineStr">
        <is>
          <t>2011 recall (undeclared dairy allergen); 2021-22 sanitation/welfare NRs (not a suspension). Est. M18079.</t>
        </is>
      </c>
      <c r="J25" s="68" t="inlineStr">
        <is>
          <t>FSIS export-certified (edible, general; documented exports). EU/APHIS-byproduct status unverified</t>
        </is>
      </c>
      <c r="K25" s="68" t="inlineStr">
        <is>
          <t>Industrial line-speed (~5,500 staff)</t>
        </is>
      </c>
      <c r="L25" s="68" t="inlineStr">
        <is>
          <t>No dedicated on-site rental noted</t>
        </is>
      </c>
      <c r="M25" s="68" t="inlineStr">
        <is>
          <t>No</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
(study 8-03/05)</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09" t="inlineStr">
        <is>
          <t>YES · ~45 mi
(Durham: n/m)</t>
        </is>
      </c>
      <c r="F26" s="143" t="inlineStr">
        <is>
          <t>n/a — duplicate</t>
        </is>
      </c>
      <c r="G26" s="68" t="inlineStr">
        <is>
          <t>see row below</t>
        </is>
      </c>
      <c r="H26" s="68" t="inlineStr">
        <is>
          <t>USDA ✓</t>
        </is>
      </c>
      <c r="I26" s="68" t="inlineStr">
        <is>
          <t>None found for the Godwin plant specifically</t>
        </is>
      </c>
      <c r="J26" s="68" t="inlineStr">
        <is>
          <t>FSIS-inspected; export not confirmed</t>
        </is>
      </c>
      <c r="K26" s="68" t="inlineStr">
        <is>
          <t>Industrial / corporate-owned</t>
        </is>
      </c>
      <c r="L26" s="68" t="inlineStr">
        <is>
          <t>Sow/organ-relevant but industrial scale</t>
        </is>
      </c>
      <c r="M26" s="68" t="inlineStr">
        <is>
          <t>Unlikely</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
(FSIS+MPI 8-06)</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110" t="inlineStr">
        <is>
          <t>NO · ~252 mi ≈</t>
        </is>
      </c>
      <c r="F28" s="143" t="inlineStr">
        <is>
          <t>confirm</t>
        </is>
      </c>
      <c r="G28" s="68" t="inlineStr">
        <is>
          <t>Yes</t>
        </is>
      </c>
      <c r="H28" s="68" t="inlineStr">
        <is>
          <t>NOT in the FSIS MPI directory
('USDA ✓' is WITHDRAWN)</t>
        </is>
      </c>
      <c r="I28" s="68" t="inlineStr">
        <is>
          <t>None found in public sources</t>
        </is>
      </c>
      <c r="J28" s="68" t="inlineStr">
        <is>
          <t>Not on public export lists — verify w/ APHIS VS</t>
        </is>
      </c>
      <c r="K28" s="68" t="inlineStr">
        <is>
          <t>Multi-generation family since ~1947 — strong culture signal</t>
        </is>
      </c>
      <c r="L28" s="68" t="inlineStr">
        <is>
          <t>Not noted</t>
        </is>
      </c>
      <c r="M28" s="68" t="inlineStr">
        <is>
          <t>Possible (space unverified)</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
(FSIS+MPI 8-06)</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165.8" customHeight="1" s="59">
      <c r="A29" s="4" t="inlineStr">
        <is>
          <t>Knockout Butchery</t>
        </is>
      </c>
      <c r="B29" s="68" t="inlineStr">
        <is>
          <t>Roebuck, SC</t>
        </is>
      </c>
      <c r="C29" s="68" t="inlineStr">
        <is>
          <t>USDA custom processing</t>
        </is>
      </c>
      <c r="D29" s="68" t="inlineStr">
        <is>
          <t>&lt;19/wk
(FSIS cat 1)
· HACCP Very Small (&lt;10 employees or &lt;$2.5M sales)
· hog kill CAPPED by NASS 2025: South Carolina's 8 federal plants killed 14,070 hogs in the whole year (≈270/wk statewide) — the FSIS band counts ALL species</t>
        </is>
      </c>
      <c r="E29" s="110" t="inlineStr">
        <is>
          <t>NO · ~222 mi ≈</t>
        </is>
      </c>
      <c r="F29" s="139" t="inlineStr">
        <is>
          <t>0-300/wk (&lt;19)</t>
        </is>
      </c>
      <c r="G29" s="68" t="inlineStr">
        <is>
          <t>SOW (fresh FSIS flags 2026-09-03;
re-granted 11/24/2025 —
earlier 'no swine flags' superseded)</t>
        </is>
      </c>
      <c r="H29" s="68" t="inlineStr">
        <is>
          <t>USDA ✓ M2866 + P2866</t>
        </is>
      </c>
      <c r="I29" s="68" t="inlineStr">
        <is>
          <t>None found in public sources</t>
        </is>
      </c>
      <c r="J29" s="68" t="inlineStr">
        <is>
          <t>Not on public export lists — verify</t>
        </is>
      </c>
      <c r="K29" s="68" t="inlineStr">
        <is>
          <t>'Careful handling'; recent capacity investment (trade press)</t>
        </is>
      </c>
      <c r="L29" s="68" t="inlineStr">
        <is>
          <t>Not noted</t>
        </is>
      </c>
      <c r="M29" s="68" t="inlineStr">
        <is>
          <t>Ask</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
(FSIS+MPI 8-06)</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165.8" customHeight="1" s="59">
      <c r="A30" s="138" t="inlineStr">
        <is>
          <t>Back Forty Butchery
(FSIS lists 'Back 40 Butchery')</t>
        </is>
      </c>
      <c r="B30" s="68" t="inlineStr">
        <is>
          <t>Hodges, SC</t>
        </is>
      </c>
      <c r="C30" s="68" t="inlineStr">
        <is>
          <t>USDA processing</t>
        </is>
      </c>
      <c r="D30" s="68" t="inlineStr">
        <is>
          <t>&lt;19/wk
(FSIS cat 1)
· HACCP Very Small (&lt;10 employees or &lt;$2.5M sales)
· hog kill CAPPED by NASS 2025: South Carolina's 8 federal plants killed 14,070 hogs in the whole year (≈270/wk statewide) — the FSIS band counts ALL species</t>
        </is>
      </c>
      <c r="E30" s="110" t="inlineStr">
        <is>
          <t>NO · ~268 mi ≈</t>
        </is>
      </c>
      <c r="F30" s="139" t="inlineStr">
        <is>
          <t>0-300/wk (&lt;19)</t>
        </is>
      </c>
      <c r="G30" s="68" t="inlineStr">
        <is>
          <t>MARKET only</t>
        </is>
      </c>
      <c r="H30" s="68" t="inlineStr">
        <is>
          <t>USDA ✓ M46060</t>
        </is>
      </c>
      <c r="I30" s="68" t="inlineStr">
        <is>
          <t>None found (Est. M46060)</t>
        </is>
      </c>
      <c r="J30" s="68" t="inlineStr">
        <is>
          <t>Not on public export lists — verify</t>
        </is>
      </c>
      <c r="K30" s="68" t="inlineStr">
        <is>
          <t>Not addressed</t>
        </is>
      </c>
      <c r="L30" s="68" t="inlineStr">
        <is>
          <t>Not noted</t>
        </is>
      </c>
      <c r="M30" s="68" t="inlineStr">
        <is>
          <t>Ask</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
(FSIS+MPI 8-06)</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45.2" customHeight="1" s="59">
      <c r="A31" s="4" t="inlineStr">
        <is>
          <t>601 Deer and Hog Processors</t>
        </is>
      </c>
      <c r="B31" s="68" t="inlineStr">
        <is>
          <t>Fort Motte, SC</t>
        </is>
      </c>
      <c r="C31" s="68" t="inlineStr">
        <is>
          <t>Deer/game + hog (likely custom-exempt)</t>
        </is>
      </c>
      <c r="D31" s="68" t="inlineStr">
        <is>
          <t>unknown</t>
        </is>
      </c>
      <c r="E31" s="110" t="inlineStr">
        <is>
          <t>NO · ~222 mi ≈</t>
        </is>
      </c>
      <c r="F31" s="143" t="inlineStr">
        <is>
          <t>confirm</t>
        </is>
      </c>
      <c r="G31" s="68" t="inlineStr">
        <is>
          <t>Yes</t>
        </is>
      </c>
      <c r="H31" s="68" t="inlineStr">
        <is>
          <t>likely custom-
exempt (flag)</t>
        </is>
      </c>
      <c r="I31" s="68" t="inlineStr">
        <is>
          <t>None found (business also appears closed)</t>
        </is>
      </c>
      <c r="J31" s="68" t="inlineStr">
        <is>
          <t>Not on public export lists — verify</t>
        </is>
      </c>
      <c r="K31" s="68" t="inlineStr">
        <is>
          <t>Family (McDonald, since 2001)</t>
        </is>
      </c>
      <c r="L31" s="68" t="inlineStr">
        <is>
          <t>Not noted</t>
        </is>
      </c>
      <c r="M31" s="68" t="inlineStr">
        <is>
          <t>If own kills</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
(study 8-03/05)</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10" t="inlineStr">
        <is>
          <t>NO · ~184 mi ≈</t>
        </is>
      </c>
      <c r="F32" s="139" t="inlineStr">
        <is>
          <t>0-300/wk (&lt;19)</t>
        </is>
      </c>
      <c r="G32" s="68" t="inlineStr">
        <is>
          <t>MARKET + SOW + ROASTER + boar/stag
(all four classes)</t>
        </is>
      </c>
      <c r="H32" s="68" t="inlineStr">
        <is>
          <t>USDA ✓ but
SUSPENDED 2022</t>
        </is>
      </c>
      <c r="I32" s="25" t="inlineStr">
        <is>
          <t>⚠ Humane-handling NOS Feb &amp; Mar 2022 (Est. M47715); PETA sought criminal probe. Also the slaughter suspension.</t>
        </is>
      </c>
      <c r="J32" s="68" t="inlineStr">
        <is>
          <t>Not on public export lists — verify (slaughter susp. 2022)</t>
        </is>
      </c>
      <c r="K32" s="68" t="inlineStr">
        <is>
          <t>unknown</t>
        </is>
      </c>
      <c r="L32" s="68" t="inlineStr">
        <is>
          <t>Not noted</t>
        </is>
      </c>
      <c r="M32" s="68" t="inlineStr">
        <is>
          <t>Unknown</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
(FSIS+MPI 8-06)</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2.6" customHeight="1" s="59">
      <c r="A33" s="138" t="inlineStr">
        <is>
          <t>Williamsburg Packing Company, Inc.</t>
        </is>
      </c>
      <c r="B33" s="68" t="inlineStr">
        <is>
          <t>Kingstree, SC (Williamsburg)</t>
        </is>
      </c>
      <c r="C33" s="68" t="inlineStr">
        <is>
          <t>USDA federal slaughter + processing</t>
        </is>
      </c>
      <c r="D33" s="68" t="inlineStr">
        <is>
          <t>hogs ≤ ~270/wk, likely 50-200/wk
· NASS 2025: South Carolina's 8 federal plants killed 14,070 hogs in the whole year (≈270/wk statewide) — this plant holds poultry (P4005) and voluntary (V4005) grants, so its cat-3 band is all species
· HACCP Very Small (&lt;10 employees or &lt;$2.5M sales)</t>
        </is>
      </c>
      <c r="E33" s="110" t="inlineStr">
        <is>
          <t>NO · ~213 mi ≈
(Pikeville: ~190 mi)</t>
        </is>
      </c>
      <c r="F33" s="143" t="inlineStr">
        <is>
          <t>confirm
(federal band ≤1,944 — hog
share is the call question)</t>
        </is>
      </c>
      <c r="G33" s="68" t="inlineStr">
        <is>
          <t>⚠ BOAR/STAG flagged (FSIS)
ALL FOUR hog classes
(market+sow+roaster+boar/stag,
FSIS flags 2026-09-03)</t>
        </is>
      </c>
      <c r="H33" s="68" t="inlineStr">
        <is>
          <t>USDA ✓ M4005 + P4005 + V4005
(V = voluntary grant — the
research-tissue mechanism)</t>
        </is>
      </c>
      <c r="I33" s="25" t="inlineStr">
        <is>
          <t>No enforcement found. Earlier welfare-CERTIFICATION marketing claims were refuted (claims, not violations) — do not lead with welfare.</t>
        </is>
      </c>
      <c r="J33" s="68" t="inlineStr">
        <is>
          <t>FULL export path (federal)</t>
        </is>
      </c>
      <c r="K33" s="68" t="inlineStr">
        <is>
          <t>Do not lead with welfare (see enforcement col).</t>
        </is>
      </c>
      <c r="L33" s="68" t="inlineStr">
        <is>
          <t>Unknown — the call decides; V4005 is directly relevant to research tissue</t>
        </is>
      </c>
      <c r="M33" s="68" t="inlineStr">
        <is>
          <t>No (190 road mi — outside the radius)</t>
        </is>
      </c>
      <c r="N33" s="68" t="inlineStr">
        <is>
          <t>B-T candidate if the hog share is real</t>
        </is>
      </c>
      <c r="O33" s="68" t="inlineStr">
        <is>
          <t>CONTACT: (owner name not retrieved) · 843-355-6447
(843) 355-6447</t>
        </is>
      </c>
      <c r="P33" s="23" t="inlineStr">
        <is>
          <t>CAUTION
(boar/stag)</t>
        </is>
      </c>
      <c r="Q33" s="178" t="inlineStr">
        <is>
          <t>BOAR/STAG RULE 9-28: FSIS flags boar/stag slaughter at this plant — AVOID unless the call confirms boars/stags are never run with our hogs (gate G4). TIER 3 — its cat-3 band is ALL SPECIES (South Carolina's federal plants killed 14,070 hogs in the whole of 2025) and it keeps half-day hours; all four swine classes incl. boar/stag. ONE call decides it: actual hogs/week (the cat-3 band is multi-species, so the hog number could disappoint).</t>
        </is>
      </c>
      <c r="R33" s="179" t="inlineStr">
        <is>
          <t>no website (williamsburgpacking.com is parked)
facebook.com/Williamsburg-Packing (17 reviews, 92%) · Yelp · Chamber 4.4/5 from 30 · Certified SC member · D&amp;B (verified 2026-09-30)</t>
        </is>
      </c>
      <c r="S33" s="68" t="inlineStr">
        <is>
          <t>Med-High
(FSIS/site 9-03)</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VOLUME INFERENCE 9-28: the only non-incumbent cat-3 in the Carolinas is capped by SC's statewide 14,070 hogs/yr — not Martin's scale.
SOCIAL/OTHER 9-30: HOURS M-F 7:30 AM-12:00 PM — half days, consistent with the small hog count implied by SC's statewide total. 67 years in business; Certified Humane / AWA listed; custom harvest of pork, beef, sheep, goat, chicken, turkey.</t>
        </is>
      </c>
    </row>
    <row r="34" ht="98.8" customHeight="1" s="59">
      <c r="A34" s="138" t="inlineStr">
        <is>
          <t>Hemingway Locker Plant, LLC</t>
        </is>
      </c>
      <c r="B34" s="68" t="inlineStr">
        <is>
          <t>Hemingway, SC (Williamsburg)</t>
        </is>
      </c>
      <c r="C34" s="68" t="inlineStr">
        <is>
          <t>USDA federal locker plant (slaughter + processing)</t>
        </is>
      </c>
      <c r="D34" s="68" t="inlineStr">
        <is>
          <t>19-194/wk (FSIS cat 2)
· shares South Carolina's 14,070 federal hogs/yr (NASS 2025) with 7 other plants — well under ~270/wk
· HACCP Very Small</t>
        </is>
      </c>
      <c r="E34" s="110" t="inlineStr">
        <is>
          <t>NO · ~201 mi ≈
(Pikeville: ~180 mi)</t>
        </is>
      </c>
      <c r="F34" s="139" t="inlineStr">
        <is>
          <t>0-300/wk (cat-2 ≤194)</t>
        </is>
      </c>
      <c r="G34" s="68" t="inlineStr">
        <is>
          <t>MARKET hogs</t>
        </is>
      </c>
      <c r="H34" s="68" t="inlineStr">
        <is>
          <t>USDA ✓ M34181
(grant 7/11/2022)</t>
        </is>
      </c>
      <c r="I34" s="25" t="inlineStr">
        <is>
          <t>ONE humane-handling action: NOS 7/2/2024 (first stun ineffective), held in abeyance 7/3/2024 after same-day corrective action — stunner replaced and retrained (FSIS letter retrieved 2026-09-03). Nothing since.</t>
        </is>
      </c>
      <c r="J34" s="68" t="inlineStr">
        <is>
          <t>FULL export path (federal)</t>
        </is>
      </c>
      <c r="K34" s="68" t="inlineStr">
        <is>
          <t>Single resolved 2024 event — discussion item, not exclusion.</t>
        </is>
      </c>
      <c r="L34" s="68" t="inlineStr">
        <is>
          <t>Unknown — locker-plant custom culture implies cut-to-spec basics</t>
        </is>
      </c>
      <c r="M34" s="68" t="inlineStr">
        <is>
          <t>No (180 road mi)</t>
        </is>
      </c>
      <c r="N34" s="68" t="inlineStr">
        <is>
          <t>B-T possibility; pair with a Williamsburg Packing trip (30 min apart)</t>
        </is>
      </c>
      <c r="O34" s="68" t="inlineStr">
        <is>
          <t>CONTACT: (owner unnamed — 'the owner is very nice' per Yelp) · 843-558-2751
(843)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
facebook.com/hemingwaylockerplant (3 reviews) · Yelp (1) · Tripadvisor · Protein Intel M34181 (verified 2026-09-30)</t>
        </is>
      </c>
      <c r="S34" s="68" t="inlineStr">
        <is>
          <t>Med
(FSIS/site 9-03)</t>
        </is>
      </c>
      <c r="T34" s="68" t="inlineStr">
        <is>
          <t>ADDED TO ROSTER 2026-09-03 from the fresh FSIS pull (was never on any roster). Owner named in the 2024 FSIS letter. See Rated Candidates.
SOCIAL/OTHER 9-30: Sells whole hogs for BBQ; custom + wholesale beef and pork; hours 8-5. Thin footprint.</t>
        </is>
      </c>
    </row>
    <row r="35" ht="19.7" customHeight="1" s="59">
      <c r="A35" s="118" t="inlineStr">
        <is>
          <t>TENNESSEE — USDA-inspected hog-slaughter shops (small custom; Model B)</t>
        </is>
      </c>
    </row>
    <row r="36" ht="85.40000000000001" customHeight="1" s="59">
      <c r="A36" s="4" t="inlineStr">
        <is>
          <t>Fayette Packing Co., Inc.</t>
        </is>
      </c>
      <c r="B36" s="68" t="inlineStr">
        <is>
          <t>Eads, TN (Memphis area)</t>
        </is>
      </c>
      <c r="C36" s="68" t="inlineStr">
        <is>
          <t>USDA slaughter + processing</t>
        </is>
      </c>
      <c r="D36" s="68" t="inlineStr">
        <is>
          <t>&lt;19/wk
(FSIS cat 1) — 'largest of the TN
group' is REFUTED
· HACCP Small (10-499 employees)</t>
        </is>
      </c>
      <c r="E36" s="110" t="inlineStr">
        <is>
          <t>NO · ~710 mi ≈</t>
        </is>
      </c>
      <c r="F36" s="139" t="inlineStr">
        <is>
          <t>0-300/wk (&lt;19)</t>
        </is>
      </c>
      <c r="G36" s="68" t="inlineStr">
        <is>
          <t>⚠ BOAR/STAG flagged (FSIS)
MARKET + SOW + ROASTER + boar/stag
(all four classes)</t>
        </is>
      </c>
      <c r="H36" s="68" t="inlineStr">
        <is>
          <t>USDA ✓ M6555 + P34794</t>
        </is>
      </c>
      <c r="I36" s="25" t="inlineStr">
        <is>
          <t>⚠ Humane-handling NOS Apr 2023 (Est. M6555 — 4 stun attempts on a cow); held in abeyance.</t>
        </is>
      </c>
      <c r="J36" s="68" t="inlineStr">
        <is>
          <t>Not on public export lists — verify w/ APHIS VS</t>
        </is>
      </c>
      <c r="K36" s="68" t="inlineStr">
        <is>
          <t>Family since 1952 (3 generations, Keith) — strong culture</t>
        </is>
      </c>
      <c r="L36" s="68" t="inlineStr">
        <is>
          <t>Not noted</t>
        </is>
      </c>
      <c r="M36" s="68" t="inlineStr">
        <is>
          <t>Possible</t>
        </is>
      </c>
      <c r="N36" s="68" t="inlineStr">
        <is>
          <t>Good B</t>
        </is>
      </c>
      <c r="O36" s="68" t="inlineStr">
        <is>
          <t>901-867-3826
fayettepackingco.com</t>
        </is>
      </c>
      <c r="P36" s="23" t="inlineStr">
        <is>
          <t>CAUTION
(boar/stag)</t>
        </is>
      </c>
      <c r="Q36" s="178" t="inlineStr">
        <is>
          <t>BOAR/STAG RULE 9-28: FSIS flags boar/stag slaughter at this plant — AVOID unless the call confirms boars/stags are never run with our hogs (gate G4). Back-pool — passes no current tier; see Fit and notes for what a call would need to change.</t>
        </is>
      </c>
      <c r="R36" s="179" t="inlineStr">
        <is>
          <t>—</t>
        </is>
      </c>
      <c r="S36" s="68" t="inlineStr">
        <is>
          <t>High
(FSIS+MPI 8-06)</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~194-1,944/wk
(FSIS cat 3)
· HACCP Very Small (&lt;10 employees or &lt;$2.5M sales)</t>
        </is>
      </c>
      <c r="E37" s="110" t="inlineStr">
        <is>
          <t>NO · ~454 mi ≈</t>
        </is>
      </c>
      <c r="F37" s="143" t="inlineStr">
        <is>
          <t>confirm (band ≤1,944)</t>
        </is>
      </c>
      <c r="G37" s="68" t="inlineStr">
        <is>
          <t>MARKET + SOW
(roaster: No, boar/stag: No)</t>
        </is>
      </c>
      <c r="H37" s="68" t="inlineStr">
        <is>
          <t>USDA ✓ M51351 + P51351</t>
        </is>
      </c>
      <c r="I37" s="68" t="inlineStr">
        <is>
          <t>None found (a logged FOIA request is not an enforcement action)</t>
        </is>
      </c>
      <c r="J37" s="68" t="inlineStr">
        <is>
          <t>Not on public export lists — verify</t>
        </is>
      </c>
      <c r="K37" s="68" t="inlineStr">
        <is>
          <t>Growing processor</t>
        </is>
      </c>
      <c r="L37" s="68" t="inlineStr">
        <is>
          <t>Not noted</t>
        </is>
      </c>
      <c r="M37" s="68" t="inlineStr">
        <is>
          <t>Possible</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
(FSIS+MPI 8-06)</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194-1,944/wk. Worth a call for the Model B / secondary-region track. It is out of state, so it fails the 120-mile Model A preference.  [Verified 2026-08-06 against FSIS Establishment Demographic Data + MPI Directory by Establishment Number.]</t>
        </is>
      </c>
    </row>
    <row r="38" ht="72" customHeight="1" s="59">
      <c r="A38" s="4" t="inlineStr">
        <is>
          <t>Cherry Meat Company</t>
        </is>
      </c>
      <c r="B38" s="68" t="inlineStr">
        <is>
          <t>Chapel Hill, TN</t>
        </is>
      </c>
      <c r="C38" s="68" t="inlineStr">
        <is>
          <t>USDA slaughter + processing</t>
        </is>
      </c>
      <c r="D38" s="68" t="inlineStr">
        <is>
          <t>~18/wk (80/month verified)
· HACCP Very Small (&lt;10 employees or &lt;$2.5M sales)</t>
        </is>
      </c>
      <c r="E38" s="110" t="inlineStr">
        <is>
          <t>NO · ~547 mi ≈</t>
        </is>
      </c>
      <c r="F38" s="139" t="inlineStr">
        <is>
          <t>0-300/wk (~18)</t>
        </is>
      </c>
      <c r="G38" s="68" t="inlineStr">
        <is>
          <t>MARKET only
(sow: No, roaster: No)</t>
        </is>
      </c>
      <c r="H38" s="68" t="inlineStr">
        <is>
          <t>USDA ✓ M40106</t>
        </is>
      </c>
      <c r="I38" s="68" t="inlineStr">
        <is>
          <t>None found (very small; FSIS grant 2021)</t>
        </is>
      </c>
      <c r="J38" s="68" t="inlineStr">
        <is>
          <t>Not on public export lists — verify</t>
        </is>
      </c>
      <c r="K38" s="68" t="inlineStr">
        <is>
          <t>Family (Cherry / Bear Creek Farm) — strong culture</t>
        </is>
      </c>
      <c r="L38" s="68" t="inlineStr">
        <is>
          <t>Not noted</t>
        </is>
      </c>
      <c r="M38" s="68" t="inlineStr">
        <is>
          <t>Low-vol</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
(study 8-03/05)</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110" t="inlineStr">
        <is>
          <t>NO · ~2846 mi ≈</t>
        </is>
      </c>
      <c r="F39" s="139" t="inlineStr">
        <is>
          <t>0-300/wk (est.)</t>
        </is>
      </c>
      <c r="G39" s="68" t="inlineStr">
        <is>
          <t>Yes</t>
        </is>
      </c>
      <c r="H39" s="68" t="inlineStr">
        <is>
          <t>USDA ✓</t>
        </is>
      </c>
      <c r="I39" s="25" t="inlineStr">
        <is>
          <t>⚠ Harris Country Meats (Greeneville, M20686): humane NOS 2024. Volunteer/412 (Lexington, M6561): humane NOS Nov 2024. Others: none found.</t>
        </is>
      </c>
      <c r="J39" s="68" t="inlineStr">
        <is>
          <t>Not on public export lists — verify each w/ APHIS VS</t>
        </is>
      </c>
      <c r="K39" s="68" t="inlineStr">
        <is>
          <t>Small family shops</t>
        </is>
      </c>
      <c r="L39" s="68" t="inlineStr">
        <is>
          <t>Not noted</t>
        </is>
      </c>
      <c r="M39" s="68" t="inlineStr">
        <is>
          <t>Possible</t>
        </is>
      </c>
      <c r="N39" s="68" t="inlineStr">
        <is>
          <t>B</t>
        </is>
      </c>
      <c r="O39" s="68" t="inlineStr">
        <is>
          <t>see notes →</t>
        </is>
      </c>
      <c r="P39" s="23" t="inlineStr">
        <is>
          <t>POSSIBLE</t>
        </is>
      </c>
      <c r="Q39" s="178" t="inlineStr">
        <is>
          <t>Context roll-up — not an individual candidate.</t>
        </is>
      </c>
      <c r="R39" s="179" t="inlineStr">
        <is>
          <t>—</t>
        </is>
      </c>
      <c r="S39" s="68" t="inlineStr">
        <is>
          <t>Low-Med
(study 8-03/05)</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206" customHeight="1" s="59">
      <c r="A41" s="4" t="inlineStr">
        <is>
          <t>EcoFriendly Foods, LLC</t>
        </is>
      </c>
      <c r="B41" s="68" t="inlineStr">
        <is>
          <t>Moneta, VA</t>
        </is>
      </c>
      <c r="C41" s="68" t="inlineStr">
        <is>
          <t>USDA + Certified Humane multi-species harvest</t>
        </is>
      </c>
      <c r="D41" s="68" t="inlineStr">
        <is>
          <t>hogs ≤ ~150/wk and realistically tens/wk
· NASS 2025: Virginia's 16 federal plants killed 7,841 hogs in the WHOLE year (≈150/wk statewide) — this plant holds a POULTRY grant (P21938), so its cat-3 band (10,000-99,999 head, all species) is mostly birds
· HACCP Very Small (&lt;10 employees or &lt;$2.5M sales)</t>
        </is>
      </c>
      <c r="E41" s="88" t="inlineStr">
        <is>
          <t>NO (boundary) · ~120 mi
(120.4 exact road · 92.6 radial; Pikeville: ~198 mi)</t>
        </is>
      </c>
      <c r="F41" s="143" t="inlineStr">
        <is>
          <t>confirm (band ≤1,944)</t>
        </is>
      </c>
      <c r="G41" s="68" t="inlineStr">
        <is>
          <t>⚠ BOAR/STAG flagged (FSIS)
MARKET + SOW + ROASTER + boar/stag
(all four classes)</t>
        </is>
      </c>
      <c r="H41" s="68" t="inlineStr">
        <is>
          <t>USDA ✓ M21938 + P21938</t>
        </is>
      </c>
      <c r="I41" s="68" t="inlineStr">
        <is>
          <t>None found in FSIS/recall/AWI — BUT reportedly CEASED operations / bankruptcy ~2020. Verify still operating!</t>
        </is>
      </c>
      <c r="J41" s="68" t="inlineStr">
        <is>
          <t>Not on public export lists — verify (and confirm still operating)</t>
        </is>
      </c>
      <c r="K41" s="68" t="inlineStr">
        <is>
          <t>CERTIFIED HUMANE — strongest welfare match in the study One directory lists it CLOSED (2026) and phones conflict across listings — confirm operating before anything else.</t>
        </is>
      </c>
      <c r="L41" s="68" t="inlineStr">
        <is>
          <t>Custom multi-species harvest for outside producers</t>
        </is>
      </c>
      <c r="M41" s="68" t="inlineStr">
        <is>
          <t>Worth asking (A)</t>
        </is>
      </c>
      <c r="N41" s="68" t="inlineStr">
        <is>
          <t>Excellent B (already does custom harvest)</t>
        </is>
      </c>
      <c r="O41" s="68" t="inlineStr">
        <is>
          <t>CONTACT: (owner name not retrieved)
540-525-0352
ecofriendly.com</t>
        </is>
      </c>
      <c r="P41" s="23" t="inlineStr">
        <is>
          <t>CAUTION
(boar/stag)</t>
        </is>
      </c>
      <c r="Q41" s="178" t="inlineStr">
        <is>
          <t>BOAR/STAG RULE 9-28: FSIS flags boar/stag slaughter at this plant — AVOID unless the call confirms boars/stags are never run with our hogs (gate G4). TIER-2-ADJACENT (VA) — all four hog classes at cat-3 volume, the strongest VA option and welfare-branded; 120 road mi from Durham (198 from Pikeville) → Model B-T only. Site live 2026-09-03 (contradicts the old 'ceased ~2020' rumor again).</t>
        </is>
      </c>
      <c r="R41" s="179" t="inlineStr">
        <is>
          <t>ecofriendly.com
facebook.com/EcofriendlyFoods (3,153 likes) · Yelp (1 review, Feb-2026 listing) · Birdeye 6 reviews · YELLOWPAGES LISTS IT AS CLOSED · phone conflict: (540) 297-9582 (listings) vs 540-525-0352 (Beebop) (verified 2026-09-30)</t>
        </is>
      </c>
      <c r="S41" s="68" t="inlineStr">
        <is>
          <t>High
(FSIS+MPI 8-06)</t>
        </is>
      </c>
      <c r="T41" s="68" t="inlineStr">
        <is>
          <t>★ UPGRADED from SMALL/unknown. Active federal grant M21938 + P21938 with ALL FOUR swine classes flagged, and FSIS slaughter_volume_category = 3 = 194-1,944/wk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
Beebop r2 (9-28): exact facility address (3397 Stony Fork Road) routes to 120.4 road / 92.6 radial miles from Durham City Hall — inside the literal radius, just over a strict road screen; my city-level 112 was not good enough at a boundary. Its 2025 price sheet includes small whole-hog harvest. Rated PROX held at 4 as a boundary case pending the confirmed origin.
VOLUME INFERENCE 9-28: the cat-3 band was misread as hog scale — NASS caps the whole of Virginia at 7,841 federal hogs/yr. Not a Martin's-scale source; a welfare-branded pilot at best.
SOCIAL/OTHER 9-30: Operating status is genuinely uncertain: a live website and 2025 price sheet on one side, a 'CLOSED' directory listing and 'website no longer active' note on the other. Farmers-market model (never-frozen meat). The first call question is simply: are you slaughtering this month?</t>
        </is>
      </c>
    </row>
    <row r="42" ht="165.8" customHeight="1" s="59">
      <c r="A42" s="4" t="inlineStr">
        <is>
          <t>T&amp;E Meats (True &amp; Essential)</t>
        </is>
      </c>
      <c r="B42" s="68" t="inlineStr">
        <is>
          <t>Harrisonburg, VA</t>
        </is>
      </c>
      <c r="C42" s="68" t="inlineStr">
        <is>
          <t>USDA + AWA slaughter + processing</t>
        </is>
      </c>
      <c r="D42" s="68" t="inlineStr">
        <is>
          <t>~19-194/wk
(FSIS cat 2)
· HACCP Very Small (&lt;10 employees or &lt;$2.5M sales)
· hog kill CAPPED by NASS 2025: Virginia's 16 federal plants killed 7,841 hogs in the WHOLE year (≈150/wk statewide) — the FSIS band counts ALL species</t>
        </is>
      </c>
      <c r="E42" s="110" t="inlineStr">
        <is>
          <t>NO · ~218 mi ≈</t>
        </is>
      </c>
      <c r="F42" s="139" t="inlineStr">
        <is>
          <t>0-300/wk (≤194)</t>
        </is>
      </c>
      <c r="G42" s="68" t="inlineStr">
        <is>
          <t>⚠ BOAR/STAG flagged (FSIS)
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3" t="inlineStr">
        <is>
          <t>CAUTION
(boar/stag)</t>
        </is>
      </c>
      <c r="Q42" s="178" t="inlineStr">
        <is>
          <t>BOAR/STAG RULE 9-28: FSIS flags boar/stag slaughter at this plant — AVOID unless the call confirms boars/stags are never run with our hogs (gate G4). 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(~19-194/wk). DO NOT REACH.  [Verified 2026-08-06 against FSIS Establishment Demographic Data + MPI Directory by Establishment Number.]</t>
        </is>
      </c>
    </row>
    <row r="43" ht="165.8" customHeight="1" s="59">
      <c r="A43" s="4" t="inlineStr">
        <is>
          <t>Blue Ridge Meats of Front Royal</t>
        </is>
      </c>
      <c r="B43" s="68" t="inlineStr">
        <is>
          <t>Middletown, VA</t>
        </is>
      </c>
      <c r="C43" s="68" t="inlineStr">
        <is>
          <t>USDA + AWA abattoir</t>
        </is>
      </c>
      <c r="D43" s="68" t="inlineStr">
        <is>
          <t>&lt;19/wk
(FSIS cat 1)
· HACCP Very Small (&lt;10 employees or &lt;$2.5M sales)
· hog kill CAPPED by NASS 2025: Virginia's 16 federal plants killed 7,841 hogs in the WHOLE year (≈150/wk statewide) — the FSIS band counts ALL species</t>
        </is>
      </c>
      <c r="E43" s="110" t="inlineStr">
        <is>
          <t>NO · ~272 mi ≈</t>
        </is>
      </c>
      <c r="F43" s="139" t="inlineStr">
        <is>
          <t>0-300/wk (&lt;19)</t>
        </is>
      </c>
      <c r="G43" s="68" t="inlineStr">
        <is>
          <t>⚠ BOAR/STAG flagged (FSIS)
MARKET + SOW + boar/stag</t>
        </is>
      </c>
      <c r="H43" s="68" t="inlineStr">
        <is>
          <t>USDA ✓ M6526</t>
        </is>
      </c>
      <c r="I43" s="68" t="inlineStr">
        <is>
          <t>None found (do NOT confuse with 'Blue Ridge Beef' pet-food recalls)</t>
        </is>
      </c>
      <c r="J43" s="68" t="inlineStr">
        <is>
          <t>Not on public export lists — verify</t>
        </is>
      </c>
      <c r="K43" s="68" t="inlineStr">
        <is>
          <t>AWA-approved (humane) since 2006</t>
        </is>
      </c>
      <c r="L43" s="68" t="inlineStr">
        <is>
          <t>Not noted</t>
        </is>
      </c>
      <c r="M43" s="68" t="inlineStr">
        <is>
          <t>Mobile-slaughter option</t>
        </is>
      </c>
      <c r="N43" s="68" t="inlineStr">
        <is>
          <t>Strong B</t>
        </is>
      </c>
      <c r="O43" s="68" t="inlineStr">
        <is>
          <t>540-636-6050
blueridgemeats.com</t>
        </is>
      </c>
      <c r="P43" s="23" t="inlineStr">
        <is>
          <t>CAUTION
(boar/stag)</t>
        </is>
      </c>
      <c r="Q43" s="178" t="inlineStr">
        <is>
          <t>BOAR/STAG RULE 9-28: FSIS flags boar/stag slaughter at this plant — AVOID unless the call confirms boars/stags are never run with our hogs (gate G4). Back-pool — passes no current tier; see Fit and notes for what a call would need to change.</t>
        </is>
      </c>
      <c r="R43" s="179" t="inlineStr">
        <is>
          <t>—</t>
        </is>
      </c>
      <c r="S43" s="68" t="inlineStr">
        <is>
          <t>High
(FSIS+MPI 8-06)</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110" t="inlineStr">
        <is>
          <t>NO · ~233 mi ≈</t>
        </is>
      </c>
      <c r="F44" s="143" t="inlineStr">
        <is>
          <t>confirm (data anomaly)</t>
        </is>
      </c>
      <c r="G44" s="68" t="inlineStr">
        <is>
          <t>Yes</t>
        </is>
      </c>
      <c r="H44" s="68" t="inlineStr">
        <is>
          <t>USDA ✓ (FSIS
slaughter listed)</t>
        </is>
      </c>
      <c r="I44" s="25" t="inlineStr">
        <is>
          <t>⚠ REPEAT humane-handling suspensions 2021 &amp; Dec 2024 (+ a 2018 violation). Est. M33940.</t>
        </is>
      </c>
      <c r="J44" s="68" t="inlineStr">
        <is>
          <t>FSIS Est. M33940; not on public export lists — verify</t>
        </is>
      </c>
      <c r="K44" s="68" t="inlineStr">
        <is>
          <t>Not noted</t>
        </is>
      </c>
      <c r="L44" s="68" t="inlineStr">
        <is>
          <t>Not noted</t>
        </is>
      </c>
      <c r="M44" s="68" t="inlineStr">
        <is>
          <t>Worth asking (A)</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
(study 8-03/05)</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88" t="inlineStr">
        <is>
          <t>YES · ~95 mi ≈</t>
        </is>
      </c>
      <c r="F45" s="143" t="inlineStr">
        <is>
          <t>confirm</t>
        </is>
      </c>
      <c r="G45" s="68" t="inlineStr">
        <is>
          <t>Yes (confirm per-facility)</t>
        </is>
      </c>
      <c r="H45" s="68" t="inlineStr">
        <is>
          <t>USDA ✓</t>
        </is>
      </c>
      <c r="I45" s="25" t="inlineStr">
        <is>
          <t>⚠ Donald's Meat Processing (Lexington, M39968): repeat humane suspension 2023 → 3-yr consent decision. Others: none found.</t>
        </is>
      </c>
      <c r="J45" s="68" t="inlineStr">
        <is>
          <t>Not on public export lists — verify each</t>
        </is>
      </c>
      <c r="K45" s="68" t="inlineStr">
        <is>
          <t>Varies</t>
        </is>
      </c>
      <c r="L45" s="68" t="inlineStr">
        <is>
          <t>Not noted</t>
        </is>
      </c>
      <c r="M45" s="68" t="inlineStr">
        <is>
          <t>Possible</t>
        </is>
      </c>
      <c r="N45" s="68" t="inlineStr">
        <is>
          <t>B</t>
        </is>
      </c>
      <c r="O45" s="68" t="inlineStr">
        <is>
          <t>see notes →</t>
        </is>
      </c>
      <c r="P45" s="23" t="inlineStr">
        <is>
          <t>POSSIBLE</t>
        </is>
      </c>
      <c r="Q45" s="178" t="inlineStr">
        <is>
          <t>Context roll-up — not an individual candidate.</t>
        </is>
      </c>
      <c r="R45" s="179" t="inlineStr">
        <is>
          <t>—</t>
        </is>
      </c>
      <c r="S45" s="68" t="inlineStr">
        <is>
          <t>Low-Med
(study 8-03/05)</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88" t="inlineStr">
        <is>
          <t>YES · ~95 mi ≈</t>
        </is>
      </c>
      <c r="F46" s="143" t="inlineStr">
        <is>
          <t>confirm</t>
        </is>
      </c>
      <c r="G46" s="68" t="inlineStr">
        <is>
          <t>Yes</t>
        </is>
      </c>
      <c r="H46" s="68" t="inlineStr">
        <is>
          <t>STATE only
(NOT USDA)</t>
        </is>
      </c>
      <c r="I46" s="68" t="inlineStr">
        <is>
          <t>Not in FSIS federal enforcement data (state-inspected) — check VDACS state records</t>
        </is>
      </c>
      <c r="J46" s="112" t="inlineStr">
        <is>
          <t>⛔ State-inspected, non-NC — NOT accepted as equivalent. Needs USDA/FSIS to qualify for Path 1.</t>
        </is>
      </c>
      <c r="K46" s="68" t="inlineStr">
        <is>
          <t>Varies</t>
        </is>
      </c>
      <c r="L46" s="68" t="inlineStr">
        <is>
          <t>Not noted</t>
        </is>
      </c>
      <c r="M46" s="68" t="inlineStr">
        <is>
          <t>Possible</t>
        </is>
      </c>
      <c r="N46" s="68" t="inlineStr">
        <is>
          <t>B</t>
        </is>
      </c>
      <c r="O46" s="68" t="inlineStr">
        <is>
          <t>see notes →</t>
        </is>
      </c>
      <c r="P46" s="23" t="inlineStr">
        <is>
          <t>CAUTION</t>
        </is>
      </c>
      <c r="Q46" s="178" t="inlineStr">
        <is>
          <t>Context roll-up — not an individual candidate.</t>
        </is>
      </c>
      <c r="R46" s="179" t="inlineStr">
        <is>
          <t>—</t>
        </is>
      </c>
      <c r="S46" s="68" t="inlineStr">
        <is>
          <t>Low
(study 8-03/05)</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~19-194/wk
(FSIS cat 2 ceiling — the
'20,000/yr ≈ 385/wk' figure
EXCEEDS it)</t>
        </is>
      </c>
      <c r="E48" s="111" t="inlineStr">
        <is>
          <t>confirm
(Durham: n/m)</t>
        </is>
      </c>
      <c r="F48" s="139" t="inlineStr">
        <is>
          <t>0-300/wk (cat-2 ≤194)</t>
        </is>
      </c>
      <c r="G48" s="68" t="inlineStr">
        <is>
          <t>MARKET + ROASTER
(sow: No, boar/stag: No)</t>
        </is>
      </c>
      <c r="H48" s="68" t="inlineStr">
        <is>
          <t>meat insp.
unconfirmed</t>
        </is>
      </c>
      <c r="I48" s="68" t="inlineStr">
        <is>
          <t>None found (small research facility; rarely in enforcement data)</t>
        </is>
      </c>
      <c r="J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48" s="68" t="inlineStr">
        <is>
          <t>Strong — closed herd, stringent QC; family (Theis, since 1978), ~20 staff</t>
        </is>
      </c>
      <c r="L48" s="68" t="inlineStr">
        <is>
          <t>YES — CORE BUSINESS: whole organs (decellularization), veins/arteries for implantation, mesh tissue, bio-samples; xeno/vaccine/stem-cell research</t>
        </is>
      </c>
      <c r="M48" s="68" t="inlineStr">
        <is>
          <t>Plausible (has harvest facility)</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
(FSIS+MPI 8-06)</t>
        </is>
      </c>
      <c r="T48" s="68" t="inlineStr">
        <is>
          <t>VOLUME CORRECTED DOWNWARD. FSIS records Est. M40110 (Collagen Solutions (US) LLC DBA Evergen, Glencoe MN) at slaughter_volume_category = 2 = 1,000-9,999 head per 360 days — a ceiling of ~194/wk.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
· HACCP Large (500+ employees)</t>
        </is>
      </c>
      <c r="E49" s="110" t="inlineStr">
        <is>
          <t>NO
(Durham: n/m)</t>
        </is>
      </c>
      <c r="F49" s="195" t="inlineStr">
        <is>
          <t>5,000+/wk (~10k/DAY)</t>
        </is>
      </c>
      <c r="G49" s="68" t="inlineStr">
        <is>
          <t>MARKET only</t>
        </is>
      </c>
      <c r="H49" s="68" t="inlineStr">
        <is>
          <t>USDA ✓ M717 + P19051 + V717
(V = voluntary grant;
export-certified)</t>
        </is>
      </c>
      <c r="I49" s="25" t="inlineStr">
        <is>
          <t>⚠ REPEAT humane-handling: NOIE 2021 &amp; 2023; suspension 09/2024 (egregious). ASPCA line-speed concerns. Est. M717.</t>
        </is>
      </c>
      <c r="J49" s="68" t="inlineStr">
        <is>
          <t>FSIS export-certified (edible, Est. M717). Research-tissue via APHIS VS/TRACES unverified</t>
        </is>
      </c>
      <c r="K49" s="68" t="inlineStr">
        <is>
          <t>Industrial scale, but a structured biologics unit</t>
        </is>
      </c>
      <c r="L49" s="68" t="inlineStr">
        <is>
          <t>YES — full program: PELVIC (bladder, ovary); ABDOMINAL (kidney, liver, pancreas, sm. intestine, mucosa, peritoneum, pepsin lining); THORACIC (heart, valves, lung, aorta, pericardium, trachea); glands/skin/eyes</t>
        </is>
      </c>
      <c r="M49" s="68" t="inlineStr">
        <is>
          <t>Negotiate (industrial site)</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
(study 8-03/05)</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
· HACCP Small (10-499 employees)</t>
        </is>
      </c>
      <c r="E51" s="110" t="inlineStr">
        <is>
          <t>NO
(Durham: n/m)</t>
        </is>
      </c>
      <c r="F51" s="143" t="inlineStr">
        <is>
          <t>confirm (hogs unconfirmed)</t>
        </is>
      </c>
      <c r="G51" s="68" t="inlineStr">
        <is>
          <t>NO SWINE FLAGS in FSIS —
hog slaughter NOT confirmed</t>
        </is>
      </c>
      <c r="H51" s="68" t="inlineStr">
        <is>
          <t>USDA ✓ M21207 + P21207 + V21207</t>
        </is>
      </c>
      <c r="I51" s="68" t="inlineStr">
        <is>
          <t>Recall 2010 (Listeria, cooked ham, Class I). No humane-handling action found.</t>
        </is>
      </c>
      <c r="J51" s="68" t="inlineStr">
        <is>
          <t>FSIS export-certified (edible, general; Est. M21207). EU-specific unverified</t>
        </is>
      </c>
      <c r="K51" s="68" t="inlineStr">
        <is>
          <t>Strong — explicit humane-slaughter positioning; family since 1968, ~140 staff; organic/grass-fed ties</t>
        </is>
      </c>
      <c r="L51" s="68" t="inlineStr">
        <is>
          <t>None known</t>
        </is>
      </c>
      <c r="M51" s="68" t="inlineStr">
        <is>
          <t>Good Model A host (fee-for-service, small-producer friendly)</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
(FSIS+MPI 8-06)</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~194-1,944/wk
(FSIS cat 3)
· HACCP Small (10-499 employees)</t>
        </is>
      </c>
      <c r="E52" s="110" t="inlineStr">
        <is>
          <t>NO
(Durham: n/m)</t>
        </is>
      </c>
      <c r="F52" s="143" t="inlineStr">
        <is>
          <t>confirm (band ≤1,944)</t>
        </is>
      </c>
      <c r="G52" s="68" t="inlineStr">
        <is>
          <t>MARKET only</t>
        </is>
      </c>
      <c r="H52" s="68" t="inlineStr">
        <is>
          <t>USDA ✓ M20748 + V20748
(V = voluntary; export-cert)</t>
        </is>
      </c>
      <c r="I52" s="68" t="inlineStr">
        <is>
          <t>None found in public sources</t>
        </is>
      </c>
      <c r="J52" s="68" t="inlineStr">
        <is>
          <t>FSIS export-certified (edible; exports to Japan — Japan ≠ EU). EU/APHIS unverified</t>
        </is>
      </c>
      <c r="K52" s="68" t="inlineStr">
        <is>
          <t>Berkshire / USDA-organic; export QC discipline</t>
        </is>
      </c>
      <c r="L52" s="68" t="inlineStr">
        <is>
          <t>None found</t>
        </is>
      </c>
      <c r="M52" s="68" t="inlineStr">
        <is>
          <t>Likely Model A host</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
(FSIS+MPI 8-06)</t>
        </is>
      </c>
      <c r="T52" s="68" t="inlineStr">
        <is>
          <t>RESOLVED from 'unknown'. Active federal grant M20748 + V20748, Boyden IA, market hogs flagged, slaughter_volume_category = 3 = 194-1,944/wk — a genuine medium-band plant, and it carries a Certification-Export activity, which matters for anything EU-bound.  [Verified 2026-08-06 against FSIS Establishment Demographic Data + MPI Directory by Establishment Number.]</t>
        </is>
      </c>
    </row>
    <row r="53" ht="58.6" customHeight="1" s="59">
      <c r="A53" s="4" t="inlineStr">
        <is>
          <t>Eickman's Processing Co.</t>
        </is>
      </c>
      <c r="B53" s="68" t="inlineStr">
        <is>
          <t>Seward, IL</t>
        </is>
      </c>
      <c r="C53" s="68" t="inlineStr">
        <is>
          <t>USDA (Est. M31776), small family plant</t>
        </is>
      </c>
      <c r="D53" s="68" t="inlineStr">
        <is>
          <t>~19-194/wk
(FSIS cat 2 ceiling)
· HACCP Small (10-499 employees)</t>
        </is>
      </c>
      <c r="E53" s="110" t="inlineStr">
        <is>
          <t>NO
(Durham: n/m)</t>
        </is>
      </c>
      <c r="F53" s="139" t="inlineStr">
        <is>
          <t>0-300/wk (≤194)</t>
        </is>
      </c>
      <c r="G53" s="68" t="inlineStr">
        <is>
          <t>MARKET + ROASTER</t>
        </is>
      </c>
      <c r="H53" s="68" t="inlineStr">
        <is>
          <t>USDA ✓ M31776 + P31776 + V31776</t>
        </is>
      </c>
      <c r="I53" s="68" t="inlineStr">
        <is>
          <t>Recall 2010 (underprocessed canned). No humane-handling action found.</t>
        </is>
      </c>
      <c r="J53" s="68" t="inlineStr">
        <is>
          <t>Not on public export lists — verify</t>
        </is>
      </c>
      <c r="K53" s="68" t="inlineStr">
        <is>
          <t>Long-tenured family operation (~70 yrs, ~30 staff) — stable culture</t>
        </is>
      </c>
      <c r="L53" s="68" t="inlineStr">
        <is>
          <t>None</t>
        </is>
      </c>
      <c r="M53" s="68" t="inlineStr">
        <is>
          <t>Model A small batches</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(~low-100s/wk est.). Stable family culture, USDA. Viable now that capacity is open — good Model A small-batch partner.</t>
        </is>
      </c>
    </row>
    <row r="54" ht="72" customHeight="1" s="59">
      <c r="A54" s="4" t="inlineStr">
        <is>
          <t>Ruthven Meat Processing</t>
        </is>
      </c>
      <c r="B54" s="68" t="inlineStr">
        <is>
          <t>Ruthven, IA</t>
        </is>
      </c>
      <c r="C54" s="68" t="inlineStr">
        <is>
          <t>USDA (Est. M2118), FSIS 'Very Small'</t>
        </is>
      </c>
      <c r="D54" s="68" t="inlineStr">
        <is>
          <t>~19-194/wk
(FSIS cat 2 ceiling)
· HACCP Very Small (&lt;10 employees or &lt;$2.5M sales)</t>
        </is>
      </c>
      <c r="E54" s="110" t="inlineStr">
        <is>
          <t>NO
(Durham: n/m)</t>
        </is>
      </c>
      <c r="F54" s="139" t="inlineStr">
        <is>
          <t>0-300/wk (≤194)</t>
        </is>
      </c>
      <c r="G54" s="68" t="inlineStr">
        <is>
          <t>NO SWINE FLAGS in FSIS —
hogs NOT confirmed</t>
        </is>
      </c>
      <c r="H54" s="68" t="inlineStr">
        <is>
          <t>USDA ✓ M2118 + P2118 + V2118</t>
        </is>
      </c>
      <c r="I54" s="68" t="inlineStr">
        <is>
          <t>None found in public sources</t>
        </is>
      </c>
      <c r="J54" s="68" t="inlineStr">
        <is>
          <t>Not on public export lists — verify</t>
        </is>
      </c>
      <c r="K54" s="68" t="inlineStr">
        <is>
          <t>Small locker</t>
        </is>
      </c>
      <c r="L54" s="68" t="inlineStr">
        <is>
          <t>Unknown</t>
        </is>
      </c>
      <c r="M54" s="68" t="inlineStr">
        <is>
          <t>Model A small batch</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
(study 8-03/05)</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
· HACCP Small (10-499 employees)</t>
        </is>
      </c>
      <c r="E56" s="110" t="inlineStr">
        <is>
          <t>NO
(Durham: n/m)</t>
        </is>
      </c>
      <c r="F56" s="195" t="inlineStr">
        <is>
          <t>5,000+/wk (~4,500/DAY)</t>
        </is>
      </c>
      <c r="G56" s="68" t="inlineStr">
        <is>
          <t>MARKET + ROASTER + boar/stag
(sow: No)</t>
        </is>
      </c>
      <c r="H56" s="68" t="inlineStr">
        <is>
          <t>USDA ✓ M5537</t>
        </is>
      </c>
      <c r="I56" s="25" t="inlineStr">
        <is>
          <t>⚠ Humane-handling: NOIE 11/2020, suspension 04/2021 (Est. M5537); PETA sought charges (none filed on record).</t>
        </is>
      </c>
      <c r="J56" s="68" t="inlineStr">
        <is>
          <t>Export status not confirmed on public lists — verify</t>
        </is>
      </c>
      <c r="K56" s="68" t="inlineStr">
        <is>
          <t>NEGATIVE signal — an animal-rights group publicly sought charges over handling</t>
        </is>
      </c>
      <c r="L56" s="68" t="inlineStr">
        <is>
          <t>No biologics program found</t>
        </is>
      </c>
      <c r="M56" s="68" t="inlineStr">
        <is>
          <t>Unlikely</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
(study 8-03/05)</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58.6" customHeight="1" s="59">
      <c r="A57" s="4" t="inlineStr">
        <is>
          <t>Seaboard Triumph Foods</t>
        </is>
      </c>
      <c r="B57" s="68" t="inlineStr">
        <is>
          <t>Sioux City, IA</t>
        </is>
      </c>
      <c r="C57" s="68" t="inlineStr">
        <is>
          <t>Very large packer</t>
        </is>
      </c>
      <c r="D57" s="68" t="inlineStr">
        <is>
          <t>~10,000/DAY (up to 20-24k)
· HACCP Large (500+ employees)</t>
        </is>
      </c>
      <c r="E57" s="110" t="inlineStr">
        <is>
          <t>NO
(Durham: n/m)</t>
        </is>
      </c>
      <c r="F57" s="195" t="inlineStr">
        <is>
          <t>5,000+/wk (~10k/DAY)</t>
        </is>
      </c>
      <c r="G57" s="68" t="inlineStr">
        <is>
          <t>MARKET only</t>
        </is>
      </c>
      <c r="H57" s="68" t="inlineStr">
        <is>
          <t>USDA ✓ M46071 + V46071
(V = voluntary; export-cert)</t>
        </is>
      </c>
      <c r="I57" s="68" t="inlineStr">
        <is>
          <t>No FSIS humane/recall found. Non-FSIS press: labor / child-labor fines, emissions.</t>
        </is>
      </c>
      <c r="J57" s="68" t="inlineStr">
        <is>
          <t>FSIS export-certified (edible, general; Est. M46071). EU-specific unverified</t>
        </is>
      </c>
      <c r="K57" s="68" t="inlineStr">
        <is>
          <t>Industrial</t>
        </is>
      </c>
      <c r="L57" s="68" t="inlineStr">
        <is>
          <t>NOT confirmed (no research-organ program found)</t>
        </is>
      </c>
      <c r="M57" s="68" t="inlineStr">
        <is>
          <t>Unlikely</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
(study 8-03/05)</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
· HACCP Large (500+ employees)</t>
        </is>
      </c>
      <c r="E58" s="110" t="inlineStr">
        <is>
          <t>NO
(Durham: n/m)</t>
        </is>
      </c>
      <c r="F58" s="195" t="inlineStr">
        <is>
          <t>5,000+/wk (~10-12k/DAY)</t>
        </is>
      </c>
      <c r="G58" s="68" t="inlineStr">
        <is>
          <t>MARKET only</t>
        </is>
      </c>
      <c r="H58" s="68" t="inlineStr">
        <is>
          <t>USDA ✓ M51340 + V51340
(listed as Eagle Grove Cooperative;
export-cert)</t>
        </is>
      </c>
      <c r="I58" s="25" t="inlineStr">
        <is>
          <t>⚠ REPEAT humane-handling suspensions 2020 &amp; 04/2022 (egregious). Est. M51340. PETA sought kill-floor cameras.</t>
        </is>
      </c>
      <c r="J58" s="68" t="inlineStr">
        <is>
          <t>Export-oriented; 'Certification–Export' not directly confirmed. EU unverified</t>
        </is>
      </c>
      <c r="K58" s="68" t="inlineStr">
        <is>
          <t>Industrial</t>
        </is>
      </c>
      <c r="L58" s="68" t="inlineStr">
        <is>
          <t>No organ program found</t>
        </is>
      </c>
      <c r="M58" s="68" t="inlineStr">
        <is>
          <t>Unlikely</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
(FSIS+MPI 8-06)</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
· HACCP Large (500+ employees)</t>
        </is>
      </c>
      <c r="E59" s="110" t="inlineStr">
        <is>
          <t>NO
(Durham: n/m)</t>
        </is>
      </c>
      <c r="F59" s="195" t="inlineStr">
        <is>
          <t>5,000+/wk (~8,200/DAY)</t>
        </is>
      </c>
      <c r="G59" s="68" t="inlineStr">
        <is>
          <t>MARKET only</t>
        </is>
      </c>
      <c r="H59" s="68" t="inlineStr">
        <is>
          <t>USDA ✓ M46491 + P46491</t>
        </is>
      </c>
      <c r="I59" s="25" t="inlineStr">
        <is>
          <t>⚠ Humane-handling NOIE 12/2019 (Est. M46491; captive bolt on a condemned hog).</t>
        </is>
      </c>
      <c r="J59" s="68" t="inlineStr">
        <is>
          <t>Not confirmed on public lists — verify</t>
        </is>
      </c>
      <c r="K59" s="68" t="inlineStr">
        <is>
          <t>Industrial</t>
        </is>
      </c>
      <c r="L59" s="68" t="inlineStr">
        <is>
          <t>Biologics unknown</t>
        </is>
      </c>
      <c r="M59" s="68" t="inlineStr">
        <is>
          <t>Unlikely</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
(study 8-03/05)</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110" t="inlineStr">
        <is>
          <t>NO
(Durham: n/m)</t>
        </is>
      </c>
      <c r="F60" s="195" t="inlineStr">
        <is>
          <t>5,000+/wk (est.)</t>
        </is>
      </c>
      <c r="G60" s="68" t="inlineStr">
        <is>
          <t>Yes/mixed</t>
        </is>
      </c>
      <c r="H60" s="68" t="inlineStr">
        <is>
          <t>USDA ✓</t>
        </is>
      </c>
      <c r="I60" s="68" t="inlineStr">
        <is>
          <t>Varies by plant — check FSIS Quarterly Enforcement Reports per establishment #</t>
        </is>
      </c>
      <c r="J60" s="68" t="inlineStr">
        <is>
          <t>Varies — check FSIS 'Eligible Establishments by Country' + TRACES</t>
        </is>
      </c>
      <c r="K60" s="68" t="inlineStr">
        <is>
          <t>Industrial</t>
        </is>
      </c>
      <c r="L60" s="68" t="inlineStr">
        <is>
          <t>Not confirmed</t>
        </is>
      </c>
      <c r="M60" s="68" t="inlineStr">
        <is>
          <t>Unlikely</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
(study 8-03/05)</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45.2" customHeight="1" s="59">
      <c r="A62" s="4" t="inlineStr">
        <is>
          <t>Sinclair BioResources</t>
        </is>
      </c>
      <c r="B62" s="68" t="inlineStr">
        <is>
          <t>Auxvasse, MO</t>
        </is>
      </c>
      <c r="C62" s="68" t="inlineStr">
        <is>
          <t>Minipig supplier + bio-samples</t>
        </is>
      </c>
      <c r="D62" s="68" t="inlineStr">
        <is>
          <t>n/a (research minipigs)</t>
        </is>
      </c>
      <c r="E62" s="110" t="inlineStr">
        <is>
          <t>NO
(Durham: n/m)</t>
        </is>
      </c>
      <c r="F62" s="143" t="inlineStr">
        <is>
          <t>n/a (minipigs)</t>
        </is>
      </c>
      <c r="G62" s="68" t="inlineStr">
        <is>
          <t>Yes (minipigs)</t>
        </is>
      </c>
      <c r="H62" s="68" t="inlineStr">
        <is>
          <t>unknown</t>
        </is>
      </c>
      <c r="I62" s="68" t="inlineStr">
        <is>
          <t>None found (research minipig facility)</t>
        </is>
      </c>
      <c r="J62" s="68" t="inlineStr">
        <is>
          <t>Research minipig; APHIS VS channel — verify</t>
        </is>
      </c>
      <c r="K62" s="68" t="inlineStr">
        <is>
          <t>Research-scale program</t>
        </is>
      </c>
      <c r="L62" s="68" t="inlineStr">
        <is>
          <t>Minipig tissue / bio-samples (Sinclair, Yucatan, Hanford)</t>
        </is>
      </c>
      <c r="M62" s="68" t="inlineStr">
        <is>
          <t>n/a</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
(study 8-03/05)</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
· HACCP Small (10-499 employees)</t>
        </is>
      </c>
      <c r="E64" s="88" t="inlineStr">
        <is>
          <t>YES · ~96 mi
(Pikeville: ~45 mi)</t>
        </is>
      </c>
      <c r="F64" s="195" t="inlineStr">
        <is>
          <t>5,000+/wk (~7,500)</t>
        </is>
      </c>
      <c r="G64" s="83" t="inlineStr">
        <is>
          <t>⚠ BOAR/STAG flagged (FSIS)
MARKET + boar/stag
(sow: No, roaster: No)</t>
        </is>
      </c>
      <c r="H64" s="83" t="inlineStr">
        <is>
          <t>USDA ✓ M20608</t>
        </is>
      </c>
      <c r="I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4" s="83" t="inlineStr">
        <is>
          <t>Sister plant Villari Food Group is EXPORT-CERTIFIED for pork (FSIS, edible). APHIS by-product listing unverified</t>
        </is>
      </c>
      <c r="K64" s="83" t="inlineStr">
        <is>
          <t>⚠⚠ TWO humane-handling NOIEs — 11 May 2022 AND 8 May 2025 (repeat pattern, 3 yrs apart)</t>
        </is>
      </c>
      <c r="L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4" s="83" t="inlineStr">
        <is>
          <t>Unlikely at 1,500 hd/day</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BOAR/STAG RULE 9-28 (incumbent): FSIS flags boar/stag slaughter here — the client does not want boars mixed with our hogs; confirm current practice (separate days / never with our designated hogs).
CURRENT — leaf fat ONLY; tissue gate is HARD (client 2026-09-03). Not an organ candidate; keep the leaf-fat lane healthy.</t>
        </is>
      </c>
      <c r="R64" s="179" t="inlineStr">
        <is>
          <t>villarifood.com</t>
        </is>
      </c>
      <c r="S64" s="83" t="inlineStr">
        <is>
          <t>High
(FSIS/site 9-03)</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row>
    <row r="65" ht="139"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
· HACCP Small (10-499 employees)</t>
        </is>
      </c>
      <c r="E65" s="88" t="inlineStr">
        <is>
          <t>YES · ~97 mi
(Pikeville: ~45 mi)</t>
        </is>
      </c>
      <c r="F65" s="137" t="inlineStr">
        <is>
          <t>300-1,200/wk
(stated 400-1,000 —
spans two brackets; confirm)</t>
        </is>
      </c>
      <c r="G65" s="134" t="inlineStr">
        <is>
          <t>MARKET + ROASTER
(NOT roaster-only)</t>
        </is>
      </c>
      <c r="H65" s="83" t="inlineStr">
        <is>
          <t>USDA ✓ M18296A
(the study's 'TA-18296A' is the
Talmadge-Aiken designation of the
same establishment)</t>
        </is>
      </c>
      <c r="I65" s="83" t="inlineStr">
        <is>
          <t>None found (FSIS QERs searched through Q3 FY2026 — NOT a clean bill)</t>
        </is>
      </c>
      <c r="J65" s="83" t="inlineStr">
        <is>
          <t>TA = interstate/export eligible. Company claims Caribbean export (self-reported, UNVERIFIED). APHIS listing not found</t>
        </is>
      </c>
      <c r="K65" s="83" t="inlineStr">
        <is>
          <t>None found in the FSIS QERs through Q3 FY2026 (narrow negative — routine NRs are not published)</t>
        </is>
      </c>
      <c r="L65" s="83" t="inlineStr">
        <is>
          <t>Roaster line dresses whole-body — suits intact-block recovery; organs near-zero-value byproduct on their lines. Cold storage + Caribbean-export chill-chain discipline already on site.</t>
        </is>
      </c>
      <c r="M65" s="83" t="inlineStr">
        <is>
          <t>Their floor hosts THEIR crew —
see Model B column (B-T live)</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
(FSIS/site 9-03)</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row>
    <row r="66" ht="139" customHeight="1" s="59">
      <c r="A66" s="4" t="inlineStr">
        <is>
          <t>Caldwell Meat Processing Co.</t>
        </is>
      </c>
      <c r="B66" s="68" t="inlineStr">
        <is>
          <t>Maiden, NC (Lincoln)</t>
        </is>
      </c>
      <c r="C66" s="68" t="inlineStr">
        <is>
          <t>NC STATE-inspected slaughter + processing</t>
        </is>
      </c>
      <c r="D66" s="68" t="inlineStr">
        <is>
          <t>unknown — NO public figure exists for NC state plants (NASS withholds NC hog totals; NCDA publishes none)
· inference by business type: hog-only packer / sausage maker — plausibly 100-300/wk (Nahunta-type); ask</t>
        </is>
      </c>
      <c r="E66" s="110" t="inlineStr">
        <is>
          <t>NO · ~152 mi ≈
(Pikeville: ~227 mi)</t>
        </is>
      </c>
      <c r="F66" s="143" t="inlineStr">
        <is>
          <t>confirm
(state — no volume published)</t>
        </is>
      </c>
      <c r="G66" s="68" t="inlineStr">
        <is>
          <t>Yes — SWINE-ONLY
(boar/stag: ask — the NCDA species code does not distinguish boars)</t>
        </is>
      </c>
      <c r="H66" s="68" t="inlineStr">
        <is>
          <t>STATE only P-312
(NOT USDA — intrastate)</t>
        </is>
      </c>
      <c r="I66" s="68" t="inlineStr">
        <is>
          <t>State-inspected — never appears in FSIS data; absence is meaningless. Check NCDA state records.</t>
        </is>
      </c>
      <c r="J66" s="68" t="inlineStr">
        <is>
          <t>State-inspected — intrastate NC only; not export eligible as edible product</t>
        </is>
      </c>
      <c r="K66" s="68" t="inlineStr">
        <is>
          <t>None found (state plants never appear in FSIS data — absence is meaningless here) Customer reviews cite forgotten items incl. organ meats that were never made right — a process-discipline caution for any Model B-T arrangement.</t>
        </is>
      </c>
      <c r="L66" s="68" t="inlineStr">
        <is>
          <t>Hog-ONLY kill floor — every kill day is a hog day (the Nahunta structural pattern). Offal policy unverified.</t>
        </is>
      </c>
      <c r="M66" s="68" t="inlineStr">
        <is>
          <t>Plausible</t>
        </is>
      </c>
      <c r="N66" s="68" t="inlineStr">
        <is>
          <t>Implausible (state inspection blocks interstate edible movement)</t>
        </is>
      </c>
      <c r="O66" s="68" t="inlineStr">
        <is>
          <t>CONTACT: Kevin Caldwell (owner; BBB) · 828-428-8833
(828) 428-8833</t>
        </is>
      </c>
      <c r="P66" s="23" t="inlineStr">
        <is>
          <t>POSSIBLE</t>
        </is>
      </c>
      <c r="Q66" s="178" t="inlineStr">
        <is>
          <t>TIER 3 — swine-only state floor (Nahunta's structure) near Charlotte; park until a western crew exists, then visit first.</t>
        </is>
      </c>
      <c r="R66" s="179" t="inlineStr">
        <is>
          <t>no website — Facebook page; phone (828) 428-8833
facebook.com/p/Caldwells-Meat · BBB · Yelp · Tripadvisor (verified 2026-09-30)</t>
        </is>
      </c>
      <c r="S66" s="68" t="inlineStr">
        <is>
          <t>Med-High
(FSIS+NCDA 8-17)</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
SOCIAL/OTHER 9-30: Since 1968/69. MIXED REVIEWS: missing requested items, 'forgotten organ meats', a promise to 'make it right' never kept — a process-discipline caution for any Model B-T arrangement. One rave for the sausage.</t>
        </is>
      </c>
    </row>
    <row r="67" ht="192.6" customHeight="1" s="59">
      <c r="A67" s="4" t="inlineStr">
        <is>
          <t>McLaughlin's</t>
        </is>
      </c>
      <c r="B67" s="68" t="inlineStr">
        <is>
          <t>Mooresville, NC (Rowan)</t>
        </is>
      </c>
      <c r="C67" s="68" t="inlineStr">
        <is>
          <t>NC STATE-inspected slaughter + processing</t>
        </is>
      </c>
      <c r="D67" s="68" t="inlineStr">
        <is>
          <t>unknown — NO public figure exists for NC state plants (NASS withholds NC hog totals; NCDA publishes none)
· inference by business type: hog-only packer / sausage maker — plausibly 100-300/wk (Nahunta-type); ask</t>
        </is>
      </c>
      <c r="E67" s="88" t="inlineStr">
        <is>
          <t>YES · ~119 mi (borderline)
(Pikeville: ~201 mi)</t>
        </is>
      </c>
      <c r="F67" s="143" t="inlineStr">
        <is>
          <t>confirm
(state — no volume published)</t>
        </is>
      </c>
      <c r="G67" s="68" t="inlineStr">
        <is>
          <t>Yes — SWINE-ONLY
(boar/stag: ask — the NCDA species code does not distinguish boars)</t>
        </is>
      </c>
      <c r="H67" s="68" t="inlineStr">
        <is>
          <t>STATE only P-85
(NOT USDA — intrastate)</t>
        </is>
      </c>
      <c r="I67" s="68" t="inlineStr">
        <is>
          <t>State-inspected — not in FSIS data by construction</t>
        </is>
      </c>
      <c r="J67" s="68" t="inlineStr">
        <is>
          <t>State-inspected — intrastate NC only</t>
        </is>
      </c>
      <c r="K67" s="68" t="inlineStr">
        <is>
          <t>None found (state plant — not in FSIS data) 2026: a leadership change was announced on Facebook ('the new captain') — ask who runs the plant now; the state filing still names the McLaughlin family.</t>
        </is>
      </c>
      <c r="L67" s="68" t="inlineStr">
        <is>
          <t>MIXED: livermush CONSUMES THE LIVERS (~3,000 lb/wk in season) and sausage uses trim — livers and some viscera are their RAW MATERIAL. But pelvic / bariatric / thoracic blocks, aortas and leaf fat may still be waste streams — negotiable.</t>
        </is>
      </c>
      <c r="M67" s="68" t="inlineStr">
        <is>
          <t>Plausible</t>
        </is>
      </c>
      <c r="N67" s="68" t="inlineStr">
        <is>
          <t>Implausible</t>
        </is>
      </c>
      <c r="O67" s="68" t="inlineStr">
        <is>
          <t>CONTACT: Tom McLaughlin (NCDA county directory, 704-663-2038); OpenCorporates officers William H. McLaughlin Jr. (pres.) and Thomas B. McLaughlin (VP)
(704) 235-8003</t>
        </is>
      </c>
      <c r="P67" s="23" t="inlineStr">
        <is>
          <t>POSSIBLE</t>
        </is>
      </c>
      <c r="Q67" s="178" t="inlineStr">
        <is>
          <t>TIER 3 — self-supplied hog-only product plant (livermush consumes the livers; our blocks/aortas don't compete); western-crew play.</t>
        </is>
      </c>
      <c r="R67" s="179" t="inlineStr">
        <is>
          <t>mclaughlinsausage.com
New Facebook page (2026) · Yelp · OpenCorporates 0092835 (Current Active; ADM reinstated Apr-2023; annual report Apr-2026) (verified 2026-09-30)</t>
        </is>
      </c>
      <c r="S67" s="68" t="inlineStr">
        <is>
          <t>Med-High
(FSIS+NCDA 8-17)</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
Beebop r2 (9-28): exact address (16311 Mooresville Road) = 119.4 road / 106.1 radial miles from Durham — just inside; the actual crew base could push it over.
SOCIAL/OTHER 9-30: LEADERSHIP CHANGE 2026: two Facebook posts announce 'the new Captain of the McLaughlin's Sausage and Livermush ship' — name not retrievable; the state filing still shows the McLaughlin family. County directory confirms HOG-ONLY slaughter, retail inside NC. A family business since 1971 (federal grant 2024) can mean new openness — ask who runs it now.</t>
        </is>
      </c>
    </row>
    <row r="68" ht="139" customHeight="1" s="59">
      <c r="A68" s="4" t="inlineStr">
        <is>
          <t>Price's Custom Meat Cutting &amp; Abattoir</t>
        </is>
      </c>
      <c r="B68" s="68" t="inlineStr">
        <is>
          <t>Hickory, NC (Burke)</t>
        </is>
      </c>
      <c r="C68" s="68" t="inlineStr">
        <is>
          <t>NC STATE-inspected slaughter + processing</t>
        </is>
      </c>
      <c r="D68" s="68" t="inlineStr">
        <is>
          <t>unknown — NO public figure exists for NC state plants (NASS withholds NC hog totals; NCDA publishes none)
· inference by business type: hog-only packer / sausage maker — plausibly 100-300/wk (Nahunta-type); ask</t>
        </is>
      </c>
      <c r="E68" s="110" t="inlineStr">
        <is>
          <t>NO · ~150 mi ≈
(Pikeville: ~226 mi)</t>
        </is>
      </c>
      <c r="F68" s="139" t="inlineStr">
        <is>
          <t>0-300/wk (est. —
2 kill days/wk)</t>
        </is>
      </c>
      <c r="G68" s="68" t="inlineStr">
        <is>
          <t>Yes — SWINE-ONLY
(boar/stag: ask — the NCDA species code does not distinguish boars)</t>
        </is>
      </c>
      <c r="H68" s="68" t="inlineStr">
        <is>
          <t>STATE only P-307
(NOT USDA — intrastate)</t>
        </is>
      </c>
      <c r="I68" s="68" t="inlineStr">
        <is>
          <t>State-inspected — not in FSIS data by construction</t>
        </is>
      </c>
      <c r="J68" s="68" t="inlineStr">
        <is>
          <t>State-inspected — intrastate NC only</t>
        </is>
      </c>
      <c r="K68" s="68" t="inlineStr">
        <is>
          <t>None found (state plant — not in FSIS data)</t>
        </is>
      </c>
      <c r="L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68" s="68" t="inlineStr">
        <is>
          <t>Plausible</t>
        </is>
      </c>
      <c r="N68" s="68" t="inlineStr">
        <is>
          <t>Implausible</t>
        </is>
      </c>
      <c r="O68" s="68" t="inlineStr">
        <is>
          <t>CONTACT: Lee Kong (contact per Yahoo Local) · 828-397-5150
(828)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
facebook.com/p/Prices-Custom-Meat-Cutting (782 likes) · BBB · Yelp · Tripadvisor (verified 2026-09-30)</t>
        </is>
      </c>
      <c r="S68" s="68" t="inlineStr">
        <is>
          <t>Med-High
(FSIS+NCDA 8-17)</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
SOCIAL/OTHER 9-30: Founded 1994; family-owned; hours M-W 9-6, Th 8:30-5:30, F 9-6, Sat 8:30-5:30. A reviewer notes hogs processed by hand with 'excellent service'.</t>
        </is>
      </c>
    </row>
    <row r="69" ht="179.2" customHeight="1" s="59">
      <c r="A69" s="4" t="inlineStr">
        <is>
          <t>Contentnea Farms, LLC</t>
        </is>
      </c>
      <c r="B69" s="68" t="inlineStr">
        <is>
          <t>Walstonburg, NC (Greene)</t>
        </is>
      </c>
      <c r="C69" s="68" t="inlineStr">
        <is>
          <t>Talmadge-Aiken multi-species slaughter</t>
        </is>
      </c>
      <c r="D69" s="68" t="inlineStr">
        <is>
          <t>&lt;19/wk
(FSIS cat 1)
· HACCP Very Small (&lt;10 employees or &lt;$2.5M sales)</t>
        </is>
      </c>
      <c r="E69" s="88" t="inlineStr">
        <is>
          <t>YES · ~90 mi
(Pikeville: ~35 mi)</t>
        </is>
      </c>
      <c r="F69" s="139" t="inlineStr">
        <is>
          <t>0-300/wk (&lt;19)</t>
        </is>
      </c>
      <c r="G69" s="68" t="inlineStr">
        <is>
          <t>⚠ BOAR/STAG flagged (FSIS)
MARKET + SOW + boar/stag</t>
        </is>
      </c>
      <c r="H69" s="68" t="inlineStr">
        <is>
          <t>USDA ✓ M2583 — grant 10/29/2025
(2nd-newest swine grant in NC;
TA-2583 in the state TA directory)</t>
        </is>
      </c>
      <c r="I69" s="68" t="inlineStr">
        <is>
          <t>None found in the FSIS QERs through Q3 FY2026 (narrow negative — routine NRs are not published)</t>
        </is>
      </c>
      <c r="J69" s="68" t="inlineStr">
        <is>
          <t>Talmadge-Aiken — interstate/export eligible. APHIS listing unverified</t>
        </is>
      </c>
      <c r="K69" s="68" t="inlineStr">
        <is>
          <t>None found in the FSIS QERs through Q3 FY2026 (narrow negative — routine NRs are not published)</t>
        </is>
      </c>
      <c r="L69" s="68" t="inlineStr">
        <is>
          <t>unknown</t>
        </is>
      </c>
      <c r="M69" s="68" t="inlineStr">
        <is>
          <t>Plausible</t>
        </is>
      </c>
      <c r="N69" s="68" t="inlineStr">
        <is>
          <t>Plausible</t>
        </is>
      </c>
      <c r="O69" s="68" t="inlineStr">
        <is>
          <t>CONTACT: (Greene county directory not retrievable — ask)
(252) 717-9229</t>
        </is>
      </c>
      <c r="P69" s="23" t="inlineStr">
        <is>
          <t>CAUTION
(boar/stag)</t>
        </is>
      </c>
      <c r="Q69" s="178" t="inlineStr">
        <is>
          <t>BOAR/STAG RULE 9-28: FSIS flags boar/stag slaughter at this plant — AVOID unless the call confirms boars/stags are never run with our hogs (gate G4). TIER 3 — 35 mi from Pikeville but 90 road mi from Durham but &lt;19/wk; overflow/pilot for odd-lot sow or boar needs.</t>
        </is>
      </c>
      <c r="R69" s="179" t="inlineStr">
        <is>
          <t>contentneafarms.com
facebook.com/ContentneaFarms (9,918 likes; 1,371 'talking about') · instagram.com/contentnea_farms (357) · Birdeye 5.0/5 from 49 reviews · Wayne County Chamber (verified 2026-09-30)</t>
        </is>
      </c>
      <c r="S69" s="68" t="inlineStr">
        <is>
          <t>High
(FSIS+NCDA 8-17)</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
SOCIAL/OTHER 9-30: Very active retail brand with a Goldsboro location; processes beef, pork, goats, sheep, DEER and BEARS (seasonal load); delivers up to 60 mi. Reviews uniformly positive.</t>
        </is>
      </c>
    </row>
    <row r="70" ht="58.6" customHeight="1" s="59">
      <c r="A70" s="4" t="inlineStr">
        <is>
          <t>Assured Community Processing LLC</t>
        </is>
      </c>
      <c r="B70" s="68" t="inlineStr">
        <is>
          <t>Micro, NC (Johnston)</t>
        </is>
      </c>
      <c r="C70" s="68" t="inlineStr">
        <is>
          <t>USDA federal, FSIS 'Very Small'</t>
        </is>
      </c>
      <c r="D70" s="68" t="inlineStr">
        <is>
          <t>n/a — CLOSED</t>
        </is>
      </c>
      <c r="E70" s="88" t="inlineStr">
        <is>
          <t>YES · ~64 mi ≈
(Pikeville: ~40 mi)</t>
        </is>
      </c>
      <c r="F70" s="143" t="inlineStr">
        <is>
          <t>n/a — closed</t>
        </is>
      </c>
      <c r="G70" s="68" t="inlineStr">
        <is>
          <t>CONFIRM SWINE</t>
        </is>
      </c>
      <c r="H70" s="68" t="inlineStr">
        <is>
          <t>⚠ M2123 went FSIS-INACTIVE
11/10/2025</t>
        </is>
      </c>
      <c r="I70" s="68" t="inlineStr">
        <is>
          <t>None found in the FSIS QERs through Q3 FY2026 (narrow negative — routine NRs are not published)</t>
        </is>
      </c>
      <c r="J70" s="68" t="inlineStr">
        <is>
          <t>Federal grant — export structurally possible. Not on public export lists</t>
        </is>
      </c>
      <c r="K70" s="68" t="inlineStr">
        <is>
          <t>None found in the FSIS QERs through Q3 FY2026 (narrow negative — routine NRs are not published)</t>
        </is>
      </c>
      <c r="L70" s="68" t="inlineStr">
        <is>
          <t>unknown</t>
        </is>
      </c>
      <c r="M70" s="68" t="inlineStr">
        <is>
          <t>No</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
(FSIS+NCDA 8-17)</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88" t="inlineStr">
        <is>
          <t>YES · ~66 mi ≈
(Pikeville: ~137 mi)</t>
        </is>
      </c>
      <c r="F71" s="143" t="inlineStr">
        <is>
          <t>n/a — closed</t>
        </is>
      </c>
      <c r="G71" s="68" t="inlineStr">
        <is>
          <t>CONFIRM SWINE</t>
        </is>
      </c>
      <c r="H71" s="68" t="inlineStr">
        <is>
          <t>⚠ M32012 went FSIS-INACTIVE
6/24/2025</t>
        </is>
      </c>
      <c r="I71" s="68" t="inlineStr">
        <is>
          <t>None found in the FSIS QERs through Q3 FY2026 (narrow negative — routine NRs are not published)</t>
        </is>
      </c>
      <c r="J71" s="68" t="inlineStr">
        <is>
          <t>Federal grant. Not on public export lists</t>
        </is>
      </c>
      <c r="K71" s="68" t="inlineStr">
        <is>
          <t>None found in the FSIS QERs through Q3 FY2026 (narrow negative — routine NRs are not published)</t>
        </is>
      </c>
      <c r="L71" s="68" t="inlineStr">
        <is>
          <t>unknown</t>
        </is>
      </c>
      <c r="M71" s="68" t="inlineStr">
        <is>
          <t>No</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
(FSIS+NCDA 8-17)</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52.4" customHeight="1" s="59">
      <c r="A72" s="4" t="inlineStr">
        <is>
          <t>Flowers Slaughter House (George Flowers)</t>
        </is>
      </c>
      <c r="B72" s="68" t="inlineStr">
        <is>
          <t>Sims, NC (Wilson)</t>
        </is>
      </c>
      <c r="C72" s="68" t="inlineStr">
        <is>
          <t>USDA FEDERAL (not TA) — 'Very Small'</t>
        </is>
      </c>
      <c r="D72" s="68" t="inlineStr">
        <is>
          <t>~19-194/wk
(FSIS cat 2 ceiling)
· HACCP Very Small (&lt;10 employees or &lt;$2.5M sales)</t>
        </is>
      </c>
      <c r="E72" s="88" t="inlineStr">
        <is>
          <t>YES · ~63 mi
(Pikeville: ~45 mi)</t>
        </is>
      </c>
      <c r="F72" s="139" t="inlineStr">
        <is>
          <t>0-300/wk (cat-2 ≤194)</t>
        </is>
      </c>
      <c r="G72" s="68" t="inlineStr">
        <is>
          <t>⚠ BOAR/STAG flagged (FSIS)
MARKET + boar/stag
(sow: No, roaster: No)</t>
        </is>
      </c>
      <c r="H72" s="68" t="inlineStr">
        <is>
          <t>USDA ✓ M21747 + P21747
(grant 2022)</t>
        </is>
      </c>
      <c r="I72" s="68" t="inlineStr">
        <is>
          <t>None found in the FSIS QERs through Q3 FY2026 (narrow negative — routine NRs are not published)</t>
        </is>
      </c>
      <c r="J72" s="68" t="inlineStr">
        <is>
          <t>Federal (M21747). Not on public export lists</t>
        </is>
      </c>
      <c r="K72" s="68" t="inlineStr">
        <is>
          <t>None found in the FSIS QERs through Q3 FY2026 (narrow negative — routine NRs are not published)</t>
        </is>
      </c>
      <c r="L72" s="68" t="inlineStr">
        <is>
          <t>Small custom-oriented family floor — offal return on request is the norm in this class (inference). BOAR/STAG flag = the largest male anatomy in the region.</t>
        </is>
      </c>
      <c r="M72" s="68" t="inlineStr">
        <is>
          <t>Plausible</t>
        </is>
      </c>
      <c r="N72" s="68" t="inlineStr">
        <is>
          <t>Plausible</t>
        </is>
      </c>
      <c r="O72" s="68" t="inlineStr">
        <is>
          <t>CONTACT: Alan Sharp / Tim Boswell (NCDA county directory); legal entity Flowers Beef Slaughter LLC (BBB)
(252) 237-2982
Contacts: Alan Sharp / Tim Boswell
5154-A St. Rose Church Rd, Sims
Hours M-F 7-5, Sat 7-10am</t>
        </is>
      </c>
      <c r="P72" s="23" t="inlineStr">
        <is>
          <t>CAUTION
(boar/stag)</t>
        </is>
      </c>
      <c r="Q72" s="178" t="inlineStr">
        <is>
          <t>BOAR/STAG RULE 9-28: FSIS flags boar/stag slaughter at this plant — AVOID unless the call confirms boars/stags are never run with our hogs (gate G4). TIER 2 — Sims cluster redundancy 3 mi from CQP + the region's only boar/stag access. Not a standalone lane (cat 2).</t>
        </is>
      </c>
      <c r="R72" s="179" t="inlineStr">
        <is>
          <t>no website — Facebook page; phone (252) 237-2982
facebook.com/p/Flowers-Slaughterhouse-Page (6,582 likes, 32 check-ins) · Yelp · BBB · Yahoo Local (verified 2026-09-30)</t>
        </is>
      </c>
      <c r="S72" s="68" t="inlineStr">
        <is>
          <t>High
(FSIS+NCDA 8-17)</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
SOCIAL/OTHER 9-30: Reviews: reasonable prices, knowledgeable staff, fast turnaround. Custom processing for swine and beef 'for sale and not for sale' (inspected + custom work), plus wild game/lambs not for sale. County directory: slaughter HOGS only; sells inside NC. Use the LLC name on the NDA.</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88" t="inlineStr">
        <is>
          <t>YES · ~95 mi ≈</t>
        </is>
      </c>
      <c r="F73" s="143" t="inlineStr">
        <is>
          <t>confirm</t>
        </is>
      </c>
      <c r="G73" s="68" t="inlineStr">
        <is>
          <t>Yes (C among A-E)</t>
        </is>
      </c>
      <c r="H73" s="68" t="inlineStr">
        <is>
          <t>USDA ✓ Talmadge-Aiken
(interstate/export eligible)</t>
        </is>
      </c>
      <c r="I73" s="68" t="inlineStr">
        <is>
          <t>Not individually researched — Wayne Mays and Wilkes/Thomas Bros carry actions (see their own rows)</t>
        </is>
      </c>
      <c r="J73" s="68" t="inlineStr">
        <is>
          <t>All Talmadge-Aiken = federal-equivalent, so interstate/export eligible in structure. APHIS listing unverified for all</t>
        </is>
      </c>
      <c r="K73" s="68" t="inlineStr">
        <is>
          <t>None found in the FSIS QERs through Q3 FY2026 (narrow negative — routine NRs are not published)</t>
        </is>
      </c>
      <c r="L73" s="68" t="inlineStr">
        <is>
          <t>unknown</t>
        </is>
      </c>
      <c r="M73" s="68" t="inlineStr">
        <is>
          <t>Plausible (Model A / aggregation)</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
(study 8-03/05)</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88" t="inlineStr">
        <is>
          <t>YES · ~95 mi ≈</t>
        </is>
      </c>
      <c r="F74" s="143" t="inlineStr">
        <is>
          <t>confirm</t>
        </is>
      </c>
      <c r="G74" s="68" t="inlineStr">
        <is>
          <t>Yes</t>
        </is>
      </c>
      <c r="H74" s="68" t="inlineStr">
        <is>
          <t>STATE only
(NOT USDA — FLAG)</t>
        </is>
      </c>
      <c r="I74" s="68" t="inlineStr">
        <is>
          <t>State-inspected — not in FSIS data by construction</t>
        </is>
      </c>
      <c r="J74" s="68" t="inlineStr">
        <is>
          <t>State-inspected — intrastate NC only (FLAG for export)</t>
        </is>
      </c>
      <c r="K74" s="68" t="inlineStr">
        <is>
          <t>Not in FSIS data by construction</t>
        </is>
      </c>
      <c r="L74" s="68" t="inlineStr">
        <is>
          <t>unknown</t>
        </is>
      </c>
      <c r="M74" s="68" t="inlineStr">
        <is>
          <t>Plausible</t>
        </is>
      </c>
      <c r="N74" s="68" t="inlineStr">
        <is>
          <t>Implausible</t>
        </is>
      </c>
      <c r="O74" s="68" t="inlineStr">
        <is>
          <t>see notes →</t>
        </is>
      </c>
      <c r="P74" s="23" t="inlineStr">
        <is>
          <t>CAUTION</t>
        </is>
      </c>
      <c r="Q74" s="178" t="inlineStr">
        <is>
          <t>Context roll-up — not an individual candidate.</t>
        </is>
      </c>
      <c r="R74" s="179" t="inlineStr">
        <is>
          <t>—</t>
        </is>
      </c>
      <c r="S74" s="68" t="inlineStr">
        <is>
          <t>Med
(study 8-03/05)</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58.6" customHeight="1" s="59">
      <c r="A75" s="4" t="inlineStr">
        <is>
          <t>Frank Corriher Beef and Sausage</t>
        </is>
      </c>
      <c r="B75" s="68" t="inlineStr">
        <is>
          <t>China Grove, NC (Rowan)</t>
        </is>
      </c>
      <c r="C75" s="68" t="inlineStr">
        <is>
          <t>TA — AMBIGUOUS record</t>
        </is>
      </c>
      <c r="D75" s="68" t="inlineStr">
        <is>
          <t>unknown</t>
        </is>
      </c>
      <c r="E75" s="88" t="inlineStr">
        <is>
          <t>YES · ~112 mi ≈ (borderline)
(Pikeville: ~187 mi)</t>
        </is>
      </c>
      <c r="F75" s="143" t="inlineStr">
        <is>
          <t>confirm</t>
        </is>
      </c>
      <c r="G75" s="68" t="inlineStr">
        <is>
          <t>Ambiguous — see notes</t>
        </is>
      </c>
      <c r="H75" s="68" t="inlineStr">
        <is>
          <t>USDA ✓ TA-21022 / M21022</t>
        </is>
      </c>
      <c r="I75" s="68" t="inlineStr">
        <is>
          <t>None found</t>
        </is>
      </c>
      <c r="J75" s="68" t="inlineStr">
        <is>
          <t>TA/federal number exists — verify</t>
        </is>
      </c>
      <c r="K75" s="68" t="inlineStr">
        <is>
          <t>None found</t>
        </is>
      </c>
      <c r="L75" s="68" t="inlineStr">
        <is>
          <t>unknown</t>
        </is>
      </c>
      <c r="M75" s="68" t="inlineStr">
        <is>
          <t>Unknown</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
(study 8-03/05)</t>
        </is>
      </c>
      <c r="T75" s="68" t="inlineStr">
        <is>
          <t>DATA ANOMALY: NCDA lists Activities='Processing' but populates Slaughter Species='C' — every other processing-only plant leaves that blank. Either a stale slaughter grant or a data error. Worth ONE phone call.</t>
        </is>
      </c>
    </row>
    <row r="76" ht="45.2" customHeight="1" s="59">
      <c r="A76" s="4" t="inlineStr">
        <is>
          <t>Deer Shack Processing</t>
        </is>
      </c>
      <c r="B76" s="68" t="inlineStr">
        <is>
          <t>Mount Holly, NC (Gaston)</t>
        </is>
      </c>
      <c r="C76" s="68" t="inlineStr">
        <is>
          <t>CUSTOM-EXEMPT</t>
        </is>
      </c>
      <c r="D76" s="68" t="inlineStr">
        <is>
          <t>unknown</t>
        </is>
      </c>
      <c r="E76" s="110" t="inlineStr">
        <is>
          <t>NO · ~148 mi ≈
(Pikeville: ~223 mi)</t>
        </is>
      </c>
      <c r="F76" s="143" t="inlineStr">
        <is>
          <t>n/a — custom-exempt</t>
        </is>
      </c>
      <c r="G76" s="68" t="inlineStr">
        <is>
          <t>Yes — SWINE-ONLY</t>
        </is>
      </c>
      <c r="H76" s="68" t="inlineStr">
        <is>
          <t>CUSTOM-EXEMPT
(no inspection, no sale)</t>
        </is>
      </c>
      <c r="I76" s="68" t="inlineStr">
        <is>
          <t>Custom-exempt — outside FSIS enforcement</t>
        </is>
      </c>
      <c r="J76" s="68" t="inlineStr">
        <is>
          <t>Custom-exempt — not saleable, not exportable</t>
        </is>
      </c>
      <c r="K76" s="68" t="inlineStr">
        <is>
          <t>n/a</t>
        </is>
      </c>
      <c r="L76" s="68" t="inlineStr">
        <is>
          <t>n/a</t>
        </is>
      </c>
      <c r="M76" s="68" t="inlineStr">
        <is>
          <t>Not usable for a regulated chain</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
(study 8-03/05)</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
· HACCP Small (10-499 employees)</t>
        </is>
      </c>
      <c r="E77" s="88" t="inlineStr">
        <is>
          <t>YES · ~78 mi ≈</t>
        </is>
      </c>
      <c r="F77" s="143" t="inlineStr">
        <is>
          <t>n/a — beef only</t>
        </is>
      </c>
      <c r="G77" s="68" t="inlineStr">
        <is>
          <t>NO SWINE FLAGS in FSIS
— confirms BEEF ONLY</t>
        </is>
      </c>
      <c r="H77" s="68" t="inlineStr">
        <is>
          <t>USDA ✓ M6590
(Harpley's Meat Packing Inc.)</t>
        </is>
      </c>
      <c r="I77" s="68" t="inlineStr">
        <is>
          <t>n/a — beef plant, excluded</t>
        </is>
      </c>
      <c r="J77" s="68" t="inlineStr">
        <is>
          <t>n/a</t>
        </is>
      </c>
      <c r="K77" s="68" t="inlineStr">
        <is>
          <t>n/a</t>
        </is>
      </c>
      <c r="L77" s="68" t="inlineStr">
        <is>
          <t>n/a</t>
        </is>
      </c>
      <c r="M77" s="68" t="inlineStr">
        <is>
          <t>No</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
(FSIS+MPI 8-06)</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179.2" customHeight="1" s="59">
      <c r="A79" s="146" t="inlineStr">
        <is>
          <t>McLamb's Abattoir and Meats, Inc.</t>
        </is>
      </c>
      <c r="B79" s="83" t="inlineStr">
        <is>
          <t>Benson, NC (Johnston)</t>
        </is>
      </c>
      <c r="C79" s="83" t="inlineStr">
        <is>
          <t>NC STATE-inspected slaughter + processing</t>
        </is>
      </c>
      <c r="D79" s="83" t="inlineStr">
        <is>
          <t>unknown — NO public figure exists for NC state plants (NASS withholds NC hog totals; NCDA publishes none)
· inference by business type: multi-species custom / retail plant — typically 10-100 hogs/wk; call question 2 decides</t>
        </is>
      </c>
      <c r="E79" s="88" t="inlineStr">
        <is>
          <t>YES · ~58 mi
(Pikeville: ~37 mi)</t>
        </is>
      </c>
      <c r="F79" s="143" t="inlineStr">
        <is>
          <t>confirm
(state — no volume published)</t>
        </is>
      </c>
      <c r="G79" s="134" t="inlineStr">
        <is>
          <t>Multi-species incl. HOGS
(state species A,B,C,D,E)
(boar/stag: ask — the NCDA species code does not distinguish boars)</t>
        </is>
      </c>
      <c r="H79" s="83" t="inlineStr">
        <is>
          <t>STATE ✓ P-247
(NC state — APHIS-equivalent
for our harvest path)</t>
        </is>
      </c>
      <c r="I79" s="83" t="inlineStr">
        <is>
          <t>None found (state plants sit outside FSIS reporting — site-visit finding)</t>
        </is>
      </c>
      <c r="J79" s="83" t="inlineStr">
        <is>
          <t>NC state inspection = APHIS-accepted equivalent when WE harvest; export-eligible via ATM assembly</t>
        </is>
      </c>
      <c r="K79" s="83" t="inlineStr">
        <is>
          <t>Lee-family abattoir since ~2018 (Eddie, Shane and Kylie Lee) with a retail market added in 2022 — a young, growing operation; nothing adverse published.</t>
        </is>
      </c>
      <c r="L79" s="83" t="inlineStr">
        <is>
          <t>Plausible-untested — custom-oriented family floor; offal return is the norm in this class</t>
        </is>
      </c>
      <c r="M79" s="83" t="inlineStr">
        <is>
          <t>Nahunta playbook: relationship-first, our crew on site</t>
        </is>
      </c>
      <c r="N79" s="83" t="inlineStr">
        <is>
          <t>Plausible</t>
        </is>
      </c>
      <c r="O79" s="83" t="inlineStr">
        <is>
          <t>CONTACT: Shane Lee (NCDA county directory) — Lee family: Eddie (grandfather), Shane, Kylie Lee; BBB lists Danny Lee McLamb as president
(919) 894-2587
Operator: Shane Lee
623 Benson-Hardee Rd, Benson</t>
        </is>
      </c>
      <c r="P79" s="140" t="inlineStr">
        <is>
          <t>POSSIBLE</t>
        </is>
      </c>
      <c r="Q79" s="178" t="inlineStr">
        <is>
          <t>★ TIER 1 — closest unworked state-inspected floor on I-95 (58 road mi from Durham; 37 from Pikeville); the Nahunta playbook; one call closes the volume unknown.</t>
        </is>
      </c>
      <c r="R79" s="179" t="inlineStr">
        <is>
          <t>no website — phone (919) 894-2587
facebook.com/leesfreshmarket (Lee's Fresh Market) · Yelp lists the old 'Jerald McLamb's Abattoir' as CLOSED · Nextdoor · BBB profile · podcast interview with Kylie Lee (Best of Johnston County) (verified 2026-09-30)</t>
        </is>
      </c>
      <c r="S79" s="83" t="inlineStr">
        <is>
          <t>Med
(FSIS+NCDA 8-17)</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
SOCIAL/OTHER 9-30: NEW OWNERSHIP: the Lee family bought the 1978 abattoir ~2018, kept the McLamb name, opened Lee's Fresh Market in 2022 (retail front, same address/phone). County directory: slaughter calves, cattle, goats, hogs, lambs, sheep; hours 7-5; phones 919-894-2587 / 919-894-8553. A young, growing family business — the podcast is a free read on culture before the call.</t>
        </is>
      </c>
    </row>
    <row r="80" ht="139" customHeight="1" s="59">
      <c r="A80" s="146" t="inlineStr">
        <is>
          <t>Gale McLamb Meats</t>
        </is>
      </c>
      <c r="B80" s="83" t="inlineStr">
        <is>
          <t>Dunn, NC (Harnett)</t>
        </is>
      </c>
      <c r="C80" s="83" t="inlineStr">
        <is>
          <t>NC STATE-inspected slaughter + processing</t>
        </is>
      </c>
      <c r="D80" s="83" t="inlineStr">
        <is>
          <t>unknown — NO public figure exists for NC state plants (NASS withholds NC hog totals; NCDA publishes none)
· inference by business type: multi-species custom / retail plant — typically 10-100 hogs/wk; call question 2 decides</t>
        </is>
      </c>
      <c r="E80" s="88" t="inlineStr">
        <is>
          <t>YES · ~60 mi
(Pikeville: ~44 mi)</t>
        </is>
      </c>
      <c r="F80" s="143" t="inlineStr">
        <is>
          <t>confirm
(state — no volume published)</t>
        </is>
      </c>
      <c r="G80" s="134" t="inlineStr">
        <is>
          <t>Cattle + HOGS
(state species A,B,C)
(boar/stag: ask — the NCDA species code does not distinguish boars)</t>
        </is>
      </c>
      <c r="H80" s="83" t="inlineStr">
        <is>
          <t>STATE ✓ P-221
(NC state — APHIS-equivalent
for our harvest path)</t>
        </is>
      </c>
      <c r="I80" s="83" t="inlineStr">
        <is>
          <t>None found (state plants sit outside FSIS reporting)</t>
        </is>
      </c>
      <c r="J80" s="83" t="inlineStr">
        <is>
          <t>NC state inspection = APHIS-accepted equivalent when WE harvest</t>
        </is>
      </c>
      <c r="K80" s="83" t="inlineStr">
        <is>
          <t>Family plant since 1980 (Gale &amp; Linda McLamb + two sons). Nothing published either way. Facebook 92% recommend (17 reviews).</t>
        </is>
      </c>
      <c r="L80" s="83" t="inlineStr">
        <is>
          <t>Plausible-untested</t>
        </is>
      </c>
      <c r="M80" s="83" t="inlineStr">
        <is>
          <t>Nahunta playbook; Martin's-adjacent fallback</t>
        </is>
      </c>
      <c r="N80" s="83" t="inlineStr">
        <is>
          <t>Plausible</t>
        </is>
      </c>
      <c r="O80" s="83" t="inlineStr">
        <is>
          <t>CONTACT: Gale McLamb (NCDA county directory)
(910) 892-7279
4216 US 301 N, Dunn</t>
        </is>
      </c>
      <c r="P80" s="140" t="inlineStr">
        <is>
          <t>POSSIBLE</t>
        </is>
      </c>
      <c r="Q80" s="178" t="inlineStr">
        <is>
          <t>★ TIER 1 — pairs with McLamb's Benson as one I-95 trip (60 road mi from Durham; 44 from Pikeville); state-inspected, cattle+hogs since 1980.</t>
        </is>
      </c>
      <c r="R80" s="179" t="inlineStr">
        <is>
          <t>no website — phone (910) 892-7279
facebook.com/p/McLamb-Gale-Meats-Butchering (17 reviews, 92% recommend) · Yelp (1) · Tripadvisor · YellowPages (verified 2026-09-30)</t>
        </is>
      </c>
      <c r="S80" s="83" t="inlineStr">
        <is>
          <t>Med
(FSIS+NCDA 8-17)</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
SOCIAL/OTHER 9-30: Hours 8-5. Reviews: 'fresh meat cut fast, great prices', friendly; one missed-order complaint. Retail-butcher scale (quarters of beef, chickens). County directory: slaughter cattle + hogs; sells inside NC only.</t>
        </is>
      </c>
    </row>
    <row r="81" ht="72" customHeight="1" s="59">
      <c r="A81" s="146" t="inlineStr">
        <is>
          <t>SCR International Corp.</t>
        </is>
      </c>
      <c r="B81" s="83" t="inlineStr">
        <is>
          <t>Fairmont, NC (Robeson)</t>
        </is>
      </c>
      <c r="C81" s="83" t="inlineStr">
        <is>
          <t>USDA federal (T-A) whole-pig ROASTER house</t>
        </is>
      </c>
      <c r="D81" s="83" t="inlineStr">
        <is>
          <t>~19-194/wk
(FSIS cat 2)
· HACCP Very Small (&lt;10 employees or &lt;$2.5M sales)</t>
        </is>
      </c>
      <c r="E81" s="110" t="inlineStr">
        <is>
          <t>NO · ~131 mi ≈
(Pikeville: ~114 mi)</t>
        </is>
      </c>
      <c r="F81" s="139" t="inlineStr">
        <is>
          <t>0-300/wk (cat-2 ≤194)</t>
        </is>
      </c>
      <c r="G81" s="134" t="inlineStr">
        <is>
          <t>MARKET + SOW flags —
reality: roasters 10-110 lb
for the lechon/ethnic trade</t>
        </is>
      </c>
      <c r="H81" s="83" t="inlineStr">
        <is>
          <t>USDA ✓ M9199 + P9199
(TA-9199 in the state TA directory)</t>
        </is>
      </c>
      <c r="I81" s="83" t="inlineStr">
        <is>
          <t>None found</t>
        </is>
      </c>
      <c r="J81" s="83" t="inlineStr">
        <is>
          <t>Federal grant → harvest-path eligible in principle</t>
        </is>
      </c>
      <c r="K81" s="83" t="inlineStr">
        <is>
          <t>None found (no FTP documentation, no HH enforcement rows)</t>
        </is>
      </c>
      <c r="L81" s="83" t="inlineStr">
        <is>
          <t>WEAK — roasters dressed whole; small-pig anatomy wrong for surgical models; sow flag likely incidental</t>
        </is>
      </c>
      <c r="M81" s="83" t="inlineStr">
        <is>
          <t>No upside vs Parks</t>
        </is>
      </c>
      <c r="N81" s="83" t="inlineStr">
        <is>
          <t>Duplicates Parks' niche</t>
        </is>
      </c>
      <c r="O81" s="83" t="inlineStr">
        <is>
          <t>(910) 628-8267
alt (917) 698-3312
csmeatinternational@gmail.com</t>
        </is>
      </c>
      <c r="P81" s="140" t="inlineStr">
        <is>
          <t>CAUTION</t>
        </is>
      </c>
      <c r="Q81" s="178" t="inlineStr">
        <is>
          <t>OUT — a second Parks (roaster/lechon house) with no upside, ~131 road mi from Durham (114 from Pikeville), dead website.</t>
        </is>
      </c>
      <c r="R81" s="179" t="inlineStr">
        <is>
          <t>srcinternationalcorp.com (DNS-dead)</t>
        </is>
      </c>
      <c r="S81" s="83" t="inlineStr">
        <is>
          <t>Med
(FSIS+NCDA 8-17)</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88" t="inlineStr">
        <is>
          <t>YES · ~95 mi ≈</t>
        </is>
      </c>
      <c r="F82" s="143" t="inlineStr">
        <is>
          <t>confirm (pre-grant)</t>
        </is>
      </c>
      <c r="G82" s="134" t="inlineStr">
        <is>
          <t>unknown</t>
        </is>
      </c>
      <c r="H82" s="83" t="inlineStr">
        <is>
          <t>NOT in any 2026-08-10 directory
(state, TA, or custom)</t>
        </is>
      </c>
      <c r="I82" s="83" t="inlineStr">
        <is>
          <t>n/a</t>
        </is>
      </c>
      <c r="J82" s="83" t="inlineStr">
        <is>
          <t>n/a</t>
        </is>
      </c>
      <c r="K82" s="83" t="inlineStr">
        <is>
          <t>unknown</t>
        </is>
      </c>
      <c r="L82" s="83" t="inlineStr">
        <is>
          <t>unknown</t>
        </is>
      </c>
      <c r="M82" s="83" t="inlineStr">
        <is>
          <t>unknown</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
(FSIS+NCDA 8-17)</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139" customHeight="1" s="59">
      <c r="A83" s="146" t="inlineStr">
        <is>
          <t>Select Meats, Inc.</t>
        </is>
      </c>
      <c r="B83" s="83" t="inlineStr">
        <is>
          <t>Kannapolis, NC (Rowan)</t>
        </is>
      </c>
      <c r="C83" s="83" t="inlineStr">
        <is>
          <t>USDA federal (T-A) SLAUGHTER-ONLY plant</t>
        </is>
      </c>
      <c r="D83" s="83" t="inlineStr">
        <is>
          <t>~19-194/wk all species
(FSIS cat 2)
· HACCP Very Small (&lt;10 employees or &lt;$2.5M sales)</t>
        </is>
      </c>
      <c r="E83" s="88" t="inlineStr">
        <is>
          <t>YES · ~114 mi (borderline)
(Pikeville: ~190 mi)</t>
        </is>
      </c>
      <c r="F83" s="139" t="inlineStr">
        <is>
          <t>0-300/wk
(cat-2 ≤194, all species)</t>
        </is>
      </c>
      <c r="G83" s="134" t="inlineStr">
        <is>
          <t>MARKET only
(cattle + hogs; mgr Gerald Wood)</t>
        </is>
      </c>
      <c r="H83" s="83" t="inlineStr">
        <is>
          <t>USDA ✓ M10757
(TA-10757 in the state TA directory)</t>
        </is>
      </c>
      <c r="I83" s="83" t="inlineStr">
        <is>
          <t>None found</t>
        </is>
      </c>
      <c r="J83" s="83" t="inlineStr">
        <is>
          <t>Federal grant → harvest-path eligible</t>
        </is>
      </c>
      <c r="K83" s="83" t="inlineStr">
        <is>
          <t>None found in the FSIS QERs through Q3 FY2026 (narrow negative — routine NRs are not published); an animal-protection directory lists it with no footage or allegations.</t>
        </is>
      </c>
      <c r="L83" s="83" t="inlineStr">
        <is>
          <t>Plausible-unknown — slaughter-only custom plant, organ return typical but undocumented</t>
        </is>
      </c>
      <c r="M83" s="83" t="inlineStr">
        <is>
          <t>Could be a CQP-style Model A host IF the building supports it — near-zero public footprint</t>
        </is>
      </c>
      <c r="N83" s="83" t="inlineStr">
        <is>
          <t>Plausible</t>
        </is>
      </c>
      <c r="O83" s="83" t="inlineStr">
        <is>
          <t>CONTACT: Gerald Wood (NCDA county directory); BBB lists Herman Wood as president
(704) 202-9340 (FSIS)
alt (704) 933-7550 (NCDA&amp;CS)
Mgr: Gerald Wood</t>
        </is>
      </c>
      <c r="P83" s="140" t="inlineStr">
        <is>
          <t>POSSIBLE</t>
        </is>
      </c>
      <c r="Q83" s="178" t="inlineStr">
        <is>
          <t>TIER 3 — western sleeper: slaughter-only market-hog floor, but 115 road mi from Durham (190 from Pikeville), ~4 employees and a near-zero public footprint; one call resolves it.</t>
        </is>
      </c>
      <c r="R83" s="179" t="inlineStr">
        <is>
          <t>no website — phone (704) 202-9340
Yelp · BBB (no rating) · Chamber 5.0 (1 review) · Manta/D&amp;B: est. 1987, ~4 employees, ~$0.8M revenue · Farm Transparency Project: directory entry only, 'open and operating', no footage or allegations (verified 2026-09-30)</t>
        </is>
      </c>
      <c r="S83" s="83" t="inlineStr">
        <is>
          <t>Low-Med
(FSIS+NCDA 8-17)</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
SOCIAL/OTHER 9-30: Products: fresh turkeys, pork cracklins, lamb chops. ~4 employees is a volume signal — tens of hogs a week, not hundreds. County directory: slaughter cattle + hogs; sells inside AND outside NC (TA). Almost no online footprint — the call is the only way in.</t>
        </is>
      </c>
    </row>
    <row r="84" ht="139" customHeight="1" s="59">
      <c r="A84" s="146" t="inlineStr">
        <is>
          <t>Crawley's Abattoir</t>
        </is>
      </c>
      <c r="B84" s="83" t="inlineStr">
        <is>
          <t>Morganton, NC (Burke)</t>
        </is>
      </c>
      <c r="C84" s="83" t="inlineStr">
        <is>
          <t>NC STATE-inspected slaughter + processing</t>
        </is>
      </c>
      <c r="D84" s="83" t="inlineStr">
        <is>
          <t>unknown — NO public figure exists for NC state plants (NASS withholds NC hog totals; NCDA publishes none)
· inference by business type: multi-species custom / retail plant — typically 10-100 hogs/wk; call question 2 decides</t>
        </is>
      </c>
      <c r="E84" s="110" t="inlineStr">
        <is>
          <t>NO · ~170 mi ≈
(Pikeville: ~245 mi)</t>
        </is>
      </c>
      <c r="F84" s="143" t="inlineStr">
        <is>
          <t>confirm
(state — no volume published)</t>
        </is>
      </c>
      <c r="G84" s="134" t="inlineStr">
        <is>
          <t>HOGS + goats/sheep
(state species C, D, E)
(boar/stag: ask — the NCDA species code does not distinguish boars)</t>
        </is>
      </c>
      <c r="H84" s="83" t="inlineStr">
        <is>
          <t>STATE ✓ P-101
(NC state — APHIS-equivalent
for our harvest path)</t>
        </is>
      </c>
      <c r="I84" s="83" t="inlineStr">
        <is>
          <t>None found (state plants sit outside FSIS reporting)</t>
        </is>
      </c>
      <c r="J84" s="83" t="inlineStr">
        <is>
          <t>NC state inspection = APHIS-accepted equivalent when WE harvest</t>
        </is>
      </c>
      <c r="K84" s="83" t="inlineStr">
        <is>
          <t>Nothing published either way.</t>
        </is>
      </c>
      <c r="L84" s="83" t="inlineStr">
        <is>
          <t>Plausible-untested</t>
        </is>
      </c>
      <c r="M84" s="83" t="inlineStr">
        <is>
          <t>Western-crew / Model B only (distance)</t>
        </is>
      </c>
      <c r="N84" s="83" t="inlineStr">
        <is>
          <t>Plausible</t>
        </is>
      </c>
      <c r="O84" s="83" t="inlineStr">
        <is>
          <t>CONTACT: Xa Her (NCDA county directory) · 828-584-6356
(828) 584-6356</t>
        </is>
      </c>
      <c r="P84" s="140" t="inlineStr">
        <is>
          <t>POSSIBLE</t>
        </is>
      </c>
      <c r="Q84" s="178" t="inlineStr">
        <is>
          <t>Back-pool — passes no current tier; see Fit and notes for what a call would need to change.</t>
        </is>
      </c>
      <c r="R84" s="179" t="inlineStr">
        <is>
          <t>—
Butcher Bud 4.9/5 from 26 reviews · BBB · Yahoo Local · Facebook (specials by FB/e-mail) (verified 2026-09-30)</t>
        </is>
      </c>
      <c r="S84" s="83" t="inlineStr">
        <is>
          <t>Low-Med
(FSIS+NCDA 8-17)</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
SOCIAL/OTHER 9-30: 32 years in business; 'doing business with Crawley's for over 12 years… top notch'. County directory: slaughter goats, hogs, lambs, sheep; NO processing; sells inside NC only.</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88" t="inlineStr">
        <is>
          <t>YES · ~32 mi ≈</t>
        </is>
      </c>
      <c r="F85" s="139" t="inlineStr">
        <is>
          <t>0-300/wk (&lt;19 each)</t>
        </is>
      </c>
      <c r="G85" s="134" t="inlineStr">
        <is>
          <t>Mixed (market; some sow/boar)</t>
        </is>
      </c>
      <c r="H85" s="83" t="inlineStr">
        <is>
          <t>USDA ✓ — Blueridge Processing M2225 (Marion);
Circle S Meats M1916 (Rutherfordton);
Plantation Processing M790 (Marshville);
Cool Springs M1041 (Yadkinville)</t>
        </is>
      </c>
      <c r="I85" s="83" t="inlineStr">
        <is>
          <t>None found</t>
        </is>
      </c>
      <c r="J85" s="83" t="inlineStr">
        <is>
          <t>Federal grants → harvest-path eligible</t>
        </is>
      </c>
      <c r="K85" s="83" t="inlineStr">
        <is>
          <t>None found</t>
        </is>
      </c>
      <c r="L85" s="83" t="inlineStr">
        <is>
          <t>n/a at this volume</t>
        </is>
      </c>
      <c r="M85" s="83" t="inlineStr">
        <is>
          <t>No — too small, too far</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
(FSIS+NCDA 8-17)</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88" t="inlineStr">
        <is>
          <t>YES · ~95 mi ≈</t>
        </is>
      </c>
      <c r="F86" s="143" t="inlineStr">
        <is>
          <t>n/a</t>
        </is>
      </c>
      <c r="G86" s="134" t="inlineStr">
        <is>
          <t>n/a</t>
        </is>
      </c>
      <c r="H86" s="83" t="inlineStr">
        <is>
          <t>All confirmed on the FSIS INACTIVE
directory retrieved 2026-08-17</t>
        </is>
      </c>
      <c r="I86" s="83" t="inlineStr">
        <is>
          <t>n/a</t>
        </is>
      </c>
      <c r="J86" s="83" t="inlineStr">
        <is>
          <t>n/a</t>
        </is>
      </c>
      <c r="K86" s="83" t="inlineStr">
        <is>
          <t>n/a</t>
        </is>
      </c>
      <c r="L86" s="83" t="inlineStr">
        <is>
          <t>n/a</t>
        </is>
      </c>
      <c r="M86" s="83"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
(FSIS+NCDA 8-17)</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110" t="inlineStr">
        <is>
          <t>NO · ~231 mi ≈</t>
        </is>
      </c>
      <c r="F88" s="143" t="inlineStr">
        <is>
          <t>confirm</t>
        </is>
      </c>
      <c r="G88" s="68" t="inlineStr">
        <is>
          <t>CONFIRM — no species column in SC file</t>
        </is>
      </c>
      <c r="H88" s="68" t="inlineStr">
        <is>
          <t>USDA federal-equivalent
(interstate/export eligible)</t>
        </is>
      </c>
      <c r="I88" s="68" t="inlineStr">
        <is>
          <t>None found — and SC LEGALLY REFUSES to release humane records, so screening returns false negatives by construction</t>
        </is>
      </c>
      <c r="J88" s="68" t="inlineStr">
        <is>
          <t>Federal-equivalent — SC's ONLY export-eligible slaughter route. APHIS listing unverified</t>
        </is>
      </c>
      <c r="K88" s="68" t="inlineStr">
        <is>
          <t>None found</t>
        </is>
      </c>
      <c r="L88" s="68" t="inlineStr">
        <is>
          <t>unknown</t>
        </is>
      </c>
      <c r="M88" s="68" t="inlineStr">
        <is>
          <t>Plausible</t>
        </is>
      </c>
      <c r="N88" s="68" t="inlineStr">
        <is>
          <t>Plausible</t>
        </is>
      </c>
      <c r="O88" s="68" t="inlineStr">
        <is>
          <t>see notes →</t>
        </is>
      </c>
      <c r="P88" s="23" t="inlineStr">
        <is>
          <t>POSSIBLE</t>
        </is>
      </c>
      <c r="Q88" s="178" t="inlineStr">
        <is>
          <t>Context roll-up — not an individual candidate.</t>
        </is>
      </c>
      <c r="R88" s="179" t="inlineStr">
        <is>
          <t>—</t>
        </is>
      </c>
      <c r="S88" s="68" t="inlineStr">
        <is>
          <t>Med
(study 8-03/05)</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110" t="inlineStr">
        <is>
          <t>NO · ~231 mi ≈</t>
        </is>
      </c>
      <c r="F89" s="143" t="inlineStr">
        <is>
          <t>confirm</t>
        </is>
      </c>
      <c r="G89" s="68" t="inlineStr">
        <is>
          <t>CONFIRM — no species column</t>
        </is>
      </c>
      <c r="H89" s="68" t="inlineStr">
        <is>
          <t>STATE only
(NOT USDA — FLAG)</t>
        </is>
      </c>
      <c r="I89" s="68" t="inlineStr">
        <is>
          <t>SC law blocks release of humane-handling records — public screening is unreliable by construction</t>
        </is>
      </c>
      <c r="J89" s="112" t="inlineStr">
        <is>
          <t>⛔ State-inspected, non-NC — NOT accepted as equivalent. Needs USDA/FSIS to qualify for Path 1.</t>
        </is>
      </c>
      <c r="K89" s="68" t="inlineStr">
        <is>
          <t>SC LEGALLY REFUSES to release humane-handling records — screening returns false negatives by construction</t>
        </is>
      </c>
      <c r="L89" s="68" t="inlineStr">
        <is>
          <t>unknown</t>
        </is>
      </c>
      <c r="M89" s="68" t="inlineStr">
        <is>
          <t>Plausible</t>
        </is>
      </c>
      <c r="N89" s="68" t="inlineStr">
        <is>
          <t>Implausible</t>
        </is>
      </c>
      <c r="O89" s="68" t="inlineStr">
        <is>
          <t>see notes →</t>
        </is>
      </c>
      <c r="P89" s="23" t="inlineStr">
        <is>
          <t>CAUTION</t>
        </is>
      </c>
      <c r="Q89" s="178" t="inlineStr">
        <is>
          <t>Context roll-up — not an individual candidate.</t>
        </is>
      </c>
      <c r="R89" s="179" t="inlineStr">
        <is>
          <t>—</t>
        </is>
      </c>
      <c r="S89" s="68" t="inlineStr">
        <is>
          <t>Med
(study 8-03/05)</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
· HACCP Large (500+ employees)</t>
        </is>
      </c>
      <c r="E91" s="110" t="inlineStr">
        <is>
          <t>NO · ~325 mi ≈</t>
        </is>
      </c>
      <c r="F91" s="136" t="inlineStr">
        <is>
          <t>1,250-5,000/wk (~4,250)</t>
        </is>
      </c>
      <c r="G91" s="68" t="inlineStr">
        <is>
          <t>Yes — SOWS</t>
        </is>
      </c>
      <c r="H91" s="68" t="inlineStr">
        <is>
          <t>USDA ✓ M8314 + V8314</t>
        </is>
      </c>
      <c r="I91" s="25" t="inlineStr">
        <is>
          <t>⚠ Two TN OSHA machine-guarding actions (2018 complaint-driven, 2024 planned; same 1910.212(a)(1) standard 6 yrs apart)</t>
        </is>
      </c>
      <c r="J91" s="68" t="inlineStr">
        <is>
          <t>Federal (M8314). Not confirmed on public export lists</t>
        </is>
      </c>
      <c r="K91" s="68" t="inlineStr">
        <is>
          <t>⚠ Two TN OSHA machine-guarding actions 6 yrs apart (2018, 2024, same standard) — worker-welfare flag</t>
        </is>
      </c>
      <c r="L91" s="68" t="inlineStr">
        <is>
          <t>No existing organ programme — would have to be BUILT</t>
        </is>
      </c>
      <c r="M91" s="68" t="inlineStr">
        <is>
          <t>Possible</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
(study 8-03/05)</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
· HACCP Small (10-499 employees)</t>
        </is>
      </c>
      <c r="E92" s="110" t="inlineStr">
        <is>
          <t>NO · ~369 mi ≈</t>
        </is>
      </c>
      <c r="F92" s="136" t="inlineStr">
        <is>
          <t>1,250-5,000/wk (~1,500)</t>
        </is>
      </c>
      <c r="G92" s="133" t="inlineStr">
        <is>
          <t>MARKET + SOW
(not sow-only)</t>
        </is>
      </c>
      <c r="H92" s="68" t="inlineStr">
        <is>
          <t>USDA ✓ M9065 + P9065 + V9065</t>
        </is>
      </c>
      <c r="I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92" s="68" t="inlineStr">
        <is>
          <t>Federal (M9065). Not confirmed on public export lists</t>
        </is>
      </c>
      <c r="K92" s="68" t="inlineStr">
        <is>
          <t>Family-owned since 1937 BUT production hiring routes through 3 staffing agencies at $12-14/hr — against the tenure criterion</t>
        </is>
      </c>
      <c r="L92" s="68" t="inlineStr">
        <is>
          <t>unknown</t>
        </is>
      </c>
      <c r="M92" s="68" t="inlineStr">
        <is>
          <t>Possible</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
(study 8-03/05)</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58.6" customHeight="1" s="59">
      <c r="A93" s="4" t="inlineStr">
        <is>
          <t>Tyson (Hillshire / Jimmy Dean) — Newbern</t>
        </is>
      </c>
      <c r="B93" s="68" t="inlineStr">
        <is>
          <t>Newbern, TN (Dyer)</t>
        </is>
      </c>
      <c r="C93" s="68" t="inlineStr">
        <is>
          <t>Industrial — PRIMARILY SOWS</t>
        </is>
      </c>
      <c r="D93" s="68" t="inlineStr">
        <is>
          <t>~14,000/wk (2,800 hd/day)
· HACCP Large (500+ employees)</t>
        </is>
      </c>
      <c r="E93" s="110" t="inlineStr">
        <is>
          <t>NO · ~701 mi ≈</t>
        </is>
      </c>
      <c r="F93" s="195" t="inlineStr">
        <is>
          <t>5,000+/wk (~14,000)</t>
        </is>
      </c>
      <c r="G93" s="68" t="inlineStr">
        <is>
          <t>MARKET + SOW
(roaster: No, boar/stag: No)</t>
        </is>
      </c>
      <c r="H93" s="68" t="inlineStr">
        <is>
          <t>USDA ✓ M8080 + P8080
(FSIS lists The Hillshire Brands Company)</t>
        </is>
      </c>
      <c r="I93" s="68" t="inlineStr">
        <is>
          <t>Not individually researched</t>
        </is>
      </c>
      <c r="J93" s="68" t="inlineStr">
        <is>
          <t>Federal. Export status not researched</t>
        </is>
      </c>
      <c r="K93" s="68" t="inlineStr">
        <is>
          <t>Corporate industrial</t>
        </is>
      </c>
      <c r="L93" s="68" t="inlineStr">
        <is>
          <t>unknown</t>
        </is>
      </c>
      <c r="M93" s="68" t="inlineStr">
        <is>
          <t>Low plausibility</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
(study 8-03/05)</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110" t="inlineStr">
        <is>
          <t>NO · ~130 mi ≈ (borderline)</t>
        </is>
      </c>
      <c r="F94" s="143" t="inlineStr">
        <is>
          <t>confirm</t>
        </is>
      </c>
      <c r="G94" s="68" t="inlineStr">
        <is>
          <t>Yes — SOWS</t>
        </is>
      </c>
      <c r="H94" s="68" t="inlineStr">
        <is>
          <t>unknown — est. no. NOT captured</t>
        </is>
      </c>
      <c r="I94" s="68" t="inlineStr">
        <is>
          <t>None found in the FSIS QERs through Q3 FY2026 (narrow negative — routine NRs are not published)</t>
        </is>
      </c>
      <c r="J94" s="68" t="inlineStr">
        <is>
          <t>Establishment number not captured — inspection + export status UNKNOWN</t>
        </is>
      </c>
      <c r="K94" s="68" t="inlineStr">
        <is>
          <t>None found</t>
        </is>
      </c>
      <c r="L94" s="68" t="inlineStr">
        <is>
          <t>unknown</t>
        </is>
      </c>
      <c r="M94" s="68" t="inlineStr">
        <is>
          <t>Plausible (small family op)</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
(FSIS+MPI 8-06)</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110" t="inlineStr">
        <is>
          <t>NO · ~1202 mi ≈</t>
        </is>
      </c>
      <c r="F95" s="143" t="inlineStr">
        <is>
          <t>n/a</t>
        </is>
      </c>
      <c r="G95" s="68" t="inlineStr">
        <is>
          <t>n/a</t>
        </is>
      </c>
      <c r="H95" s="68" t="inlineStr">
        <is>
          <t>VDACS publishes NO online directory</t>
        </is>
      </c>
      <c r="I95" s="68" t="inlineStr">
        <is>
          <t>n/a</t>
        </is>
      </c>
      <c r="J95" s="68" t="inlineStr">
        <is>
          <t>n/a</t>
        </is>
      </c>
      <c r="K95" s="68" t="inlineStr">
        <is>
          <t>n/a</t>
        </is>
      </c>
      <c r="L95" s="68" t="inlineStr">
        <is>
          <t>n/a</t>
        </is>
      </c>
      <c r="M95" s="68" t="inlineStr">
        <is>
          <t>n/a</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
(study 8-03/05)</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72" customHeight="1" s="59">
      <c r="A97" s="4" t="inlineStr">
        <is>
          <t>Swaggerty Sausage Company</t>
        </is>
      </c>
      <c r="B97" s="68" t="inlineStr">
        <is>
          <t>Kodak, TN (Sevier)</t>
        </is>
      </c>
      <c r="C97" s="68" t="inlineStr">
        <is>
          <t>Captive SOW abattoir + sausage mfr (FSIS 'Large')</t>
        </is>
      </c>
      <c r="D97" s="68" t="inlineStr">
        <is>
          <t>~4,250/wk (850 hd/day EMI 2017; cat-4 confirms ≥2,000/wk)
· HACCP Large (500+ employees)</t>
        </is>
      </c>
      <c r="E97" s="110" t="inlineStr">
        <is>
          <t>NO · ~325 mi ≈</t>
        </is>
      </c>
      <c r="F97" s="136" t="inlineStr">
        <is>
          <t>1,250-5,000/wk (~4,250)</t>
        </is>
      </c>
      <c r="G97" s="68" t="inlineStr">
        <is>
          <t>Yes — SOW ONLY (FSIS flags: sow=TRUE, market=FALSE)</t>
        </is>
      </c>
      <c r="H97" s="68" t="inlineStr">
        <is>
          <t>USDA ✓ M8314 + V8314 (V = voluntary grant)</t>
        </is>
      </c>
      <c r="I97" s="68" t="inlineStr">
        <is>
          <t>See the Welfare &amp; culture column — enforcement detail is carried there for these rows</t>
        </is>
      </c>
      <c r="J97" s="68" t="inlineStr">
        <is>
          <t>Not verified — APHIS publishes no searchable list; confirm with APHIS VS</t>
        </is>
      </c>
      <c r="K97" s="68" t="inlineStr">
        <is>
          <t>NO suspension in ANY FSIS QER FY2024Q1-FY2026Q2 (no public record ≠ clean). Prior TN OSHA machine-guarding actions 2018 &amp; 2024</t>
        </is>
      </c>
      <c r="L97" s="68" t="inlineStr">
        <is>
          <t>No existing organ programme — would be built. V-grant is useful for non-amenable/research material</t>
        </is>
      </c>
      <c r="M97" s="68" t="inlineStr">
        <is>
          <t>Plausible — single site, family-owned, decision-maker reachable</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
(study 8-03/05)</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
· HACCP Small (10-499 employees)</t>
        </is>
      </c>
      <c r="E98" s="110" t="inlineStr">
        <is>
          <t>NO
(Durham: n/m)</t>
        </is>
      </c>
      <c r="F98" s="136" t="inlineStr">
        <is>
          <t>1,250-5,000/wk (~3,000)</t>
        </is>
      </c>
      <c r="G98" s="68" t="inlineStr">
        <is>
          <t>Yes — MARKET HOGS (butcher hogs 180-230 lb)</t>
        </is>
      </c>
      <c r="H98" s="68" t="inlineStr">
        <is>
          <t>USDA ✓ M21651 (slaughter)
Sister M21826+V21826 Chicago = Certification-Export</t>
        </is>
      </c>
      <c r="I98" s="68" t="inlineStr">
        <is>
          <t>See the Welfare &amp; culture column — enforcement detail is carried there for these rows</t>
        </is>
      </c>
      <c r="J98" s="68" t="inlineStr">
        <is>
          <t>Not verified — APHIS publishes no searchable list; confirm with APHIS VS</t>
        </is>
      </c>
      <c r="K98" s="68" t="inlineStr">
        <is>
          <t>NO suspension in any QER FY2024-FY2026 (no public record)</t>
        </is>
      </c>
      <c r="L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98" s="68" t="inlineStr">
        <is>
          <t>Plausible</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
(study 8-03/05)</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
· HACCP Small (10-499 employees)</t>
        </is>
      </c>
      <c r="E99" s="110" t="inlineStr">
        <is>
          <t>NO
(Durham: n/m)</t>
        </is>
      </c>
      <c r="F99" s="136" t="inlineStr">
        <is>
          <t>1,250-5,000/wk (~4,250)</t>
        </is>
      </c>
      <c r="G99" s="68" t="inlineStr">
        <is>
          <t>Yes — SOW ONLY</t>
        </is>
      </c>
      <c r="H99" s="68" t="inlineStr">
        <is>
          <t>USDA ✓ M1962 + P1962</t>
        </is>
      </c>
      <c r="I99" s="68" t="inlineStr">
        <is>
          <t>See the Welfare &amp; culture column — enforcement detail is carried there for these rows</t>
        </is>
      </c>
      <c r="J99" s="68" t="inlineStr">
        <is>
          <t>Not verified — APHIS publishes no searchable list; confirm with APHIS VS</t>
        </is>
      </c>
      <c r="K99" s="68" t="inlineStr">
        <is>
          <t>NO suspension in any QER FY2024-FY2026 (no public record)</t>
        </is>
      </c>
      <c r="L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9" s="68" t="inlineStr">
        <is>
          <t>⚠ May be REFUSED on channel conflict</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
(study 8-03/05)</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85.40000000000001"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
· HACCP Small (10-499 employees)</t>
        </is>
      </c>
      <c r="E100" s="110" t="inlineStr">
        <is>
          <t>NO
(Durham: n/m)</t>
        </is>
      </c>
      <c r="F100" s="195" t="inlineStr">
        <is>
          <t>5,000+/wk (~5,500)</t>
        </is>
      </c>
      <c r="G100" s="68" t="inlineStr">
        <is>
          <t>Yes — SOW ONLY</t>
        </is>
      </c>
      <c r="H100" s="68" t="inlineStr">
        <is>
          <t>USDA ✓ M5536 + P5536</t>
        </is>
      </c>
      <c r="I100" s="68" t="inlineStr">
        <is>
          <t>See the Welfare &amp; culture column — enforcement detail is carried there for these rows</t>
        </is>
      </c>
      <c r="J100" s="68" t="inlineStr">
        <is>
          <t>Not verified — APHIS publishes no searchable list; confirm with APHIS VS</t>
        </is>
      </c>
      <c r="K100" s="68" t="inlineStr">
        <is>
          <t>NO suspension in any QER FY2024-FY2026 (no public record)</t>
        </is>
      </c>
      <c r="L100" s="68" t="inlineStr">
        <is>
          <t>Same SSR medical-tissue infrastructure as Perry Way (ISO 22442-2, GMP rooms, Customization Center)</t>
        </is>
      </c>
      <c r="M100" s="68" t="inlineStr">
        <is>
          <t>⚠ Same competitor caveat</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
(study 8-03/05)</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
· HACCP Small (10-499 employees)</t>
        </is>
      </c>
      <c r="E101" s="110" t="inlineStr">
        <is>
          <t>NO
(Durham: n/m)</t>
        </is>
      </c>
      <c r="F101" s="136" t="inlineStr">
        <is>
          <t>1,250-5,000/wk (~3,500)</t>
        </is>
      </c>
      <c r="G101" s="68" t="inlineStr">
        <is>
          <t>Yes — MKT + SOW + boar</t>
        </is>
      </c>
      <c r="H101" s="68" t="inlineStr">
        <is>
          <t>USDA ✓ M6775 + V6775
✅ Certification-Export ON THE GRANT</t>
        </is>
      </c>
      <c r="I101" s="68" t="inlineStr">
        <is>
          <t>See the Welfare &amp; culture column — enforcement detail is carried there for these rows</t>
        </is>
      </c>
      <c r="J101" s="68" t="inlineStr">
        <is>
          <t>Not verified — APHIS publishes no searchable list; confirm with APHIS VS</t>
        </is>
      </c>
      <c r="K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101" s="68" t="inlineStr">
        <is>
          <t>unknown</t>
        </is>
      </c>
      <c r="M101" s="68" t="inlineStr">
        <is>
          <t>Plausible</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
(study 8-03/05)</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98.8"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
· HACCP Small (10-499 employees)</t>
        </is>
      </c>
      <c r="E102" s="110" t="inlineStr">
        <is>
          <t>NO
(Durham: n/m)</t>
        </is>
      </c>
      <c r="F102" s="136" t="inlineStr">
        <is>
          <t>1,250-5,000/wk
(cat-4 ≥1,944 — confirm)</t>
        </is>
      </c>
      <c r="G102" s="68" t="inlineStr">
        <is>
          <t>Yes — MKT + SOW + roaster</t>
        </is>
      </c>
      <c r="H102" s="68" t="inlineStr">
        <is>
          <t>USDA ✓ M325</t>
        </is>
      </c>
      <c r="I102" s="68" t="inlineStr">
        <is>
          <t>See the Welfare &amp; culture column — enforcement detail is carried there for these rows</t>
        </is>
      </c>
      <c r="J102" s="68" t="inlineStr">
        <is>
          <t>Not verified — APHIS publishes no searchable list; confirm with APHIS VS</t>
        </is>
      </c>
      <c r="K102" s="68" t="inlineStr">
        <is>
          <t>🚨 INH suspension 15 Nov 2023 — NOT reinstated until 12 Apr 2024, roughly FIVE MONTHS out. A long suspension; warrants scrutiny</t>
        </is>
      </c>
      <c r="L102" s="68" t="inlineStr">
        <is>
          <t>unknown</t>
        </is>
      </c>
      <c r="M102" s="68" t="inlineStr">
        <is>
          <t>Plausible</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
(study 8-03/05)</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58.6" customHeight="1" s="59">
      <c r="A104" s="4" t="inlineStr">
        <is>
          <t>Leidy's, LLC</t>
        </is>
      </c>
      <c r="B104" s="68" t="inlineStr">
        <is>
          <t>Souderton, PA</t>
        </is>
      </c>
      <c r="C104" s="68" t="inlineStr">
        <is>
          <t>USDA federal — MARKET hogs</t>
        </is>
      </c>
      <c r="D104" s="68" t="inlineStr">
        <is>
          <t>~6,750/wk (1,350 hd/day EMI 2017)
· HACCP Small (10-499 employees)</t>
        </is>
      </c>
      <c r="E104" s="110" t="inlineStr">
        <is>
          <t>NO
(Durham: n/m)</t>
        </is>
      </c>
      <c r="F104" s="195" t="inlineStr">
        <is>
          <t>5,000+/wk (~5,000-7,000)</t>
        </is>
      </c>
      <c r="G104" s="68" t="inlineStr">
        <is>
          <t>Yes — MARKET</t>
        </is>
      </c>
      <c r="H104" s="68" t="inlineStr">
        <is>
          <t>USDA ✓ M9520+P9520+V9520
✅ EXPORT-CERTIFIED</t>
        </is>
      </c>
      <c r="I104" s="68" t="inlineStr">
        <is>
          <t>See the Welfare &amp; culture column — enforcement detail is carried there for these rows</t>
        </is>
      </c>
      <c r="J104" s="68" t="inlineStr">
        <is>
          <t>Not verified — APHIS publishes no searchable list; confirm with APHIS VS</t>
        </is>
      </c>
      <c r="K104" s="68" t="inlineStr">
        <is>
          <t>No QER suspension FY2024-FY2026 (no public record)</t>
        </is>
      </c>
      <c r="L104" s="68" t="inlineStr">
        <is>
          <t>unknown</t>
        </is>
      </c>
      <c r="M104" s="68" t="inlineStr">
        <is>
          <t>Plausible</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
(study 8-03/05)</t>
        </is>
      </c>
      <c r="T104" s="68" t="inlineStr">
        <is>
          <t>MID-ATLANTIC and EXPORT-CERTIFIED — relevant to the Pennsylvania-abattoir lead from Animal Biotech. Closest large export-capable plant to the NC operation.</t>
        </is>
      </c>
    </row>
    <row r="105" ht="58.6" customHeight="1" s="59">
      <c r="A105" s="4" t="inlineStr">
        <is>
          <t>Tri Eagle Provisions</t>
        </is>
      </c>
      <c r="B105" s="68" t="inlineStr">
        <is>
          <t>Tippecanoe, IN</t>
        </is>
      </c>
      <c r="C105" s="68" t="inlineStr">
        <is>
          <t>USDA federal — market + roaster</t>
        </is>
      </c>
      <c r="D105" s="68" t="inlineStr">
        <is>
          <t>~5,500/wk (1,100 hd/day EMI 2017)
· HACCP Small (10-499 employees)</t>
        </is>
      </c>
      <c r="E105" s="110" t="inlineStr">
        <is>
          <t>NO
(Durham: n/m)</t>
        </is>
      </c>
      <c r="F105" s="195" t="inlineStr">
        <is>
          <t>5,000+/wk (~5,500)</t>
        </is>
      </c>
      <c r="G105" s="68" t="inlineStr">
        <is>
          <t>Yes — MKT + roaster</t>
        </is>
      </c>
      <c r="H105" s="68" t="inlineStr">
        <is>
          <t>USDA ✓ M17496</t>
        </is>
      </c>
      <c r="I105" s="68" t="inlineStr">
        <is>
          <t>See the Welfare &amp; culture column — enforcement detail is carried there for these rows</t>
        </is>
      </c>
      <c r="J105" s="68" t="inlineStr">
        <is>
          <t>Not verified — APHIS publishes no searchable list; confirm with APHIS VS</t>
        </is>
      </c>
      <c r="K105" s="68" t="inlineStr">
        <is>
          <t>No QER suspension FY2024-FY2026</t>
        </is>
      </c>
      <c r="L105" s="68" t="inlineStr">
        <is>
          <t>unknown</t>
        </is>
      </c>
      <c r="M105" s="68" t="inlineStr">
        <is>
          <t>Plausible</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
(study 8-03/05)</t>
        </is>
      </c>
      <c r="T105" s="68" t="inlineStr">
        <is>
          <t>DBAs Vin Lee Ron, Maple Creek Packing.</t>
        </is>
      </c>
    </row>
    <row r="106" ht="58.6" customHeight="1" s="59">
      <c r="A106" s="4" t="inlineStr">
        <is>
          <t>Verschoor Meats</t>
        </is>
      </c>
      <c r="B106" s="68" t="inlineStr">
        <is>
          <t>Sioux City, IA</t>
        </is>
      </c>
      <c r="C106" s="68" t="inlineStr">
        <is>
          <t>USDA federal — market + boar</t>
        </is>
      </c>
      <c r="D106" s="68" t="inlineStr">
        <is>
          <t>~6,000/wk (1,200 hd/day EMI 2017)
· HACCP Small (10-499 employees)</t>
        </is>
      </c>
      <c r="E106" s="110" t="inlineStr">
        <is>
          <t>NO
(Durham: n/m)</t>
        </is>
      </c>
      <c r="F106" s="195" t="inlineStr">
        <is>
          <t>5,000+/wk (~6,000)</t>
        </is>
      </c>
      <c r="G106" s="68" t="inlineStr">
        <is>
          <t>Yes — MKT + boar</t>
        </is>
      </c>
      <c r="H106" s="68" t="inlineStr">
        <is>
          <t>USDA ✓ M363</t>
        </is>
      </c>
      <c r="I106" s="68" t="inlineStr">
        <is>
          <t>See the Welfare &amp; culture column — enforcement detail is carried there for these rows</t>
        </is>
      </c>
      <c r="J106" s="68" t="inlineStr">
        <is>
          <t>Not verified — APHIS publishes no searchable list; confirm with APHIS VS</t>
        </is>
      </c>
      <c r="K106" s="68" t="inlineStr">
        <is>
          <t>No QER suspension FY2024-FY2026</t>
        </is>
      </c>
      <c r="L106" s="68" t="inlineStr">
        <is>
          <t>unknown</t>
        </is>
      </c>
      <c r="M106" s="68" t="inlineStr">
        <is>
          <t>Plausible</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
(study 8-03/05)</t>
        </is>
      </c>
      <c r="T106" s="68" t="inlineStr">
        <is>
          <t>Iowa option just above band.</t>
        </is>
      </c>
    </row>
    <row r="107" ht="58.6" customHeight="1" s="59">
      <c r="A107" s="4" t="inlineStr">
        <is>
          <t>Premium Minnesota Pork</t>
        </is>
      </c>
      <c r="B107" s="68" t="inlineStr">
        <is>
          <t>Luverne, MN</t>
        </is>
      </c>
      <c r="C107" s="68" t="inlineStr">
        <is>
          <t>USDA federal — market</t>
        </is>
      </c>
      <c r="D107" s="68" t="inlineStr">
        <is>
          <t>unknown — FSIS category 4 (≥2,000/wk)
· HACCP Small (10-499 employees)</t>
        </is>
      </c>
      <c r="E107" s="110" t="inlineStr">
        <is>
          <t>NO
(Durham: n/m)</t>
        </is>
      </c>
      <c r="F107" s="143" t="inlineStr">
        <is>
          <t>confirm (cat-4 ≥1,944)</t>
        </is>
      </c>
      <c r="G107" s="68" t="inlineStr">
        <is>
          <t>Yes — MARKET</t>
        </is>
      </c>
      <c r="H107" s="68" t="inlineStr">
        <is>
          <t>USDA ✓ M21069L (newer grant, 2022)</t>
        </is>
      </c>
      <c r="I107" s="68" t="inlineStr">
        <is>
          <t>See the Welfare &amp; culture column — enforcement detail is carried there for these rows</t>
        </is>
      </c>
      <c r="J107" s="68" t="inlineStr">
        <is>
          <t>Not verified — APHIS publishes no searchable list; confirm with APHIS VS</t>
        </is>
      </c>
      <c r="K107" s="68" t="inlineStr">
        <is>
          <t>No QER suspension FY2024-FY2026</t>
        </is>
      </c>
      <c r="L107" s="68" t="inlineStr">
        <is>
          <t>unknown</t>
        </is>
      </c>
      <c r="M107" s="68" t="inlineStr">
        <is>
          <t>Plausible</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
(study 8-03/05)</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
· HACCP Small (10-499 employees)</t>
        </is>
      </c>
      <c r="E109" s="110" t="inlineStr">
        <is>
          <t>NO
(Durham: n/m)</t>
        </is>
      </c>
      <c r="F109" s="136" t="inlineStr">
        <is>
          <t>1,250-5,000/wk (~2,250-2,430)</t>
        </is>
      </c>
      <c r="G109" s="68" t="inlineStr">
        <is>
          <t>Yes — SOW + BOAR ONLY (market_swine flag BLANK)</t>
        </is>
      </c>
      <c r="H109" s="68" t="inlineStr">
        <is>
          <t>USDA ✓ M372 (grant 2021)</t>
        </is>
      </c>
      <c r="I109" s="68" t="inlineStr">
        <is>
          <t>See the Welfare &amp; culture column — enforcement detail is carried there for these rows</t>
        </is>
      </c>
      <c r="J109" s="68" t="inlineStr">
        <is>
          <t>Not verified — APHIS publishes no searchable list; confirm with APHIS VS</t>
        </is>
      </c>
      <c r="K109" s="68" t="inlineStr">
        <is>
          <t>Not on the current FSIS enforcement page (that page covers only ~Aug 2025-Jul 2026 — NOT a clean record)</t>
        </is>
      </c>
      <c r="L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109" s="68" t="inlineStr">
        <is>
          <t>STRONG — sow+boar only, single small site, pre-rigor culture</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
(study 8-03/05)</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
· HACCP Small (10-499 employees)</t>
        </is>
      </c>
      <c r="E110" s="110" t="inlineStr">
        <is>
          <t>NO
(Durham: n/m)</t>
        </is>
      </c>
      <c r="F110" s="136" t="inlineStr">
        <is>
          <t>1,250-5,000/wk (~2,500-2,700)</t>
        </is>
      </c>
      <c r="G110" s="68" t="inlineStr">
        <is>
          <t>Yes — BOTH sow AND market (USDA flags both = Yes)</t>
        </is>
      </c>
      <c r="H110" s="68" t="inlineStr">
        <is>
          <t>USDA ✓ M7464 + P7464 (grant 2021; category refreshed 2025-06)</t>
        </is>
      </c>
      <c r="I110" s="68" t="inlineStr">
        <is>
          <t>See the Welfare &amp; culture column — enforcement detail is carried there for these rows</t>
        </is>
      </c>
      <c r="J110" s="68" t="inlineStr">
        <is>
          <t>Not verified — APHIS publishes no searchable list; confirm with APHIS VS</t>
        </is>
      </c>
      <c r="K110" s="68" t="inlineStr">
        <is>
          <t>Not on the current FSIS enforcement page (1-yr window only — not a clean record)</t>
        </is>
      </c>
      <c r="L110" s="68" t="inlineStr">
        <is>
          <t>None found</t>
        </is>
      </c>
      <c r="M110" s="68" t="inlineStr">
        <is>
          <t>Plausible — small, family-run, single site, already runs a poultry grant so used to multi-programme oversight</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
(study 8-03/05)</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
· HACCP Small (10-499 employees)</t>
        </is>
      </c>
      <c r="E111" s="110" t="inlineStr">
        <is>
          <t>NO
(Durham: n/m)</t>
        </is>
      </c>
      <c r="F111" s="143" t="inlineStr">
        <is>
          <t>confirm (band ≤1,944)</t>
        </is>
      </c>
      <c r="G111" s="68" t="inlineStr">
        <is>
          <t>Yes — SOW ONLY</t>
        </is>
      </c>
      <c r="H111" s="68" t="inlineStr">
        <is>
          <t>USDA ✓ M6785 (grant 2020)</t>
        </is>
      </c>
      <c r="I111" s="68" t="inlineStr">
        <is>
          <t>See the Welfare &amp; culture column — enforcement detail is carried there for these rows</t>
        </is>
      </c>
      <c r="J111" s="68" t="inlineStr">
        <is>
          <t>Not verified — APHIS publishes no searchable list; confirm with APHIS VS</t>
        </is>
      </c>
      <c r="K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11" s="68" t="inlineStr">
        <is>
          <t>None found</t>
        </is>
      </c>
      <c r="M111" s="68" t="inlineStr">
        <is>
          <t>WEAK-MEDIUM — big-corporate parent means legal/insurance friction for third-party staff on the kill floor</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
(study 8-03/05)</t>
        </is>
      </c>
      <c r="T111" s="68" t="inlineStr">
        <is>
          <t>⚠ VOLUME CORRECTED: FSIS slaughter_volume_category=3 for M6785 = 10,000–99,999 head/360 days = ~194–1,923/wk,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
· HACCP Small (10-499 employees)</t>
        </is>
      </c>
      <c r="E112" s="110" t="inlineStr">
        <is>
          <t>NO
(Durham: n/m)</t>
        </is>
      </c>
      <c r="F112" s="143" t="inlineStr">
        <is>
          <t>confirm (band ≤1,944)</t>
        </is>
      </c>
      <c r="G112" s="68" t="inlineStr">
        <is>
          <t>Yes — SOW ONLY</t>
        </is>
      </c>
      <c r="H112" s="68" t="inlineStr">
        <is>
          <t>USDA ✓ M952 (grant 2021)</t>
        </is>
      </c>
      <c r="I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112" s="68" t="inlineStr">
        <is>
          <t>Not verified — APHIS publishes no searchable list; confirm with APHIS VS</t>
        </is>
      </c>
      <c r="K112" s="68" t="inlineStr">
        <is>
          <t>Not on the current enforcement page — BUT corporate humane-handling systems are shared with Xenia, so treat the 2018 Xenia action as a COMPANY-LEVEL signal</t>
        </is>
      </c>
      <c r="L112" s="68" t="inlineStr">
        <is>
          <t>None found</t>
        </is>
      </c>
      <c r="M112" s="68" t="inlineStr">
        <is>
          <t>WEAK-MEDIUM (corporate)</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
(study 8-03/05)</t>
        </is>
      </c>
      <c r="T112" s="68" t="inlineStr">
        <is>
          <t>⚠ VOLUME CORRECTED to FSIS cat 3 (~194–1,923/wk);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19–194/wk (FSIS cat 2)
· HACCP Small (10-499 employees)</t>
        </is>
      </c>
      <c r="E113" s="110" t="inlineStr">
        <is>
          <t>NO
(Durham: n/m)</t>
        </is>
      </c>
      <c r="F113" s="139" t="inlineStr">
        <is>
          <t>0-300/wk (≤194)</t>
        </is>
      </c>
      <c r="G113" s="135" t="inlineStr">
        <is>
          <t>SOW</t>
        </is>
      </c>
      <c r="H113" s="68" t="inlineStr">
        <is>
          <t>USDA ✓ M6621 + P6621</t>
        </is>
      </c>
      <c r="I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113" s="68" t="inlineStr">
        <is>
          <t>Not verified — APHIS publishes no searchable list; confirm with APHIS VS</t>
        </is>
      </c>
      <c r="K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113" s="68" t="inlineStr">
        <is>
          <t>None found</t>
        </is>
      </c>
      <c r="M113" s="68" t="inlineStr">
        <is>
          <t>WEAK — placing our own harvesters inside a plant with an active repeat record for machine guarding and blocked egress is a direct worker-safety and insurance exposure</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
(study 8-03/05)</t>
        </is>
      </c>
      <c r="T113" s="68" t="inlineStr">
        <is>
          <t>⚠ VOLUME CONTRADICTION RESOLVED: FSIS slaughter_volume_category=2 = 1,000–9,999 head/360 days = ~19–194/wk.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
· HACCP Small (10-499 employees)</t>
        </is>
      </c>
      <c r="E114" s="110" t="inlineStr">
        <is>
          <t>NO
(Durham: n/m)</t>
        </is>
      </c>
      <c r="F114" s="136" t="inlineStr">
        <is>
          <t>1,250-5,000/wk (~1,875-2,025)</t>
        </is>
      </c>
      <c r="G114" s="68" t="inlineStr">
        <is>
          <t>Yes — MARKET + ROASTER, NO SOW</t>
        </is>
      </c>
      <c r="H114" s="68" t="inlineStr">
        <is>
          <t>USDA ✓ M9228 + P9228 + V9228
(V = VOLUNTARY grant)</t>
        </is>
      </c>
      <c r="I114" s="68" t="inlineStr">
        <is>
          <t>See the Welfare &amp; culture column — enforcement detail is carried there for these rows</t>
        </is>
      </c>
      <c r="J114" s="68" t="inlineStr">
        <is>
          <t>Not verified — APHIS publishes no searchable list; confirm with APHIS VS</t>
        </is>
      </c>
      <c r="K114" s="68" t="inlineStr">
        <is>
          <t>None found (limited-window caveat)</t>
        </is>
      </c>
      <c r="L114" s="68" t="inlineStr">
        <is>
          <t>⭐ The V GRANT IS THE KEY DETAIL: voluntary inspection is the mechanism USDA uses for NON-AMENABLE / NON-FOOD-USE product — so this plant already has the regulatory scaffolding for non-food biomedical harvest</t>
        </is>
      </c>
      <c r="M114" s="68" t="inlineStr">
        <is>
          <t>MEDIUM-STRONG — small, clean, traceable</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
(study 8-03/05)</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98.8"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
· HACCP Small (10-499 employees)</t>
        </is>
      </c>
      <c r="E115" s="110" t="inlineStr">
        <is>
          <t>NO
(Durham: n/m)</t>
        </is>
      </c>
      <c r="F115" s="137" t="inlineStr">
        <is>
          <t>750-1,200/wk (~1,000-1,200)</t>
        </is>
      </c>
      <c r="G115" s="68" t="inlineStr">
        <is>
          <t>Yes — MARKET + ROASTER + sheep. NO SOW</t>
        </is>
      </c>
      <c r="H115" s="68" t="inlineStr">
        <is>
          <t>USDA ✓ M7562 (grant 2021)</t>
        </is>
      </c>
      <c r="I115" s="68" t="inlineStr">
        <is>
          <t>See the Welfare &amp; culture column — enforcement detail is carried there for these rows</t>
        </is>
      </c>
      <c r="J115" s="68" t="inlineStr">
        <is>
          <t>Not verified — APHIS publishes no searchable list; confirm with APHIS VS</t>
        </is>
      </c>
      <c r="K115" s="68" t="inlineStr">
        <is>
          <t>None found (limited-window caveat). Positively framed in trade press — used by small farms 'who value personalized service and humane treatment'</t>
        </is>
      </c>
      <c r="L115" s="68" t="inlineStr">
        <is>
          <t>None found</t>
        </is>
      </c>
      <c r="M115" s="68" t="inlineStr">
        <is>
          <t>MEDIUM — small, relationship-driven, likely receptive</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
(study 8-03/05)</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85.40000000000001"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
· HACCP Small (10-499 employees)</t>
        </is>
      </c>
      <c r="E117" s="110" t="inlineStr">
        <is>
          <t>NO
(Durham: n/m)</t>
        </is>
      </c>
      <c r="F117" s="195" t="inlineStr">
        <is>
          <t>5,000+/wk (~5,000-7,000)</t>
        </is>
      </c>
      <c r="G117" s="68" t="inlineStr">
        <is>
          <t>Yes — MARKET</t>
        </is>
      </c>
      <c r="H117" s="68" t="inlineStr">
        <is>
          <t>USDA ✓ M9520+P9520+V9520
✅ EXPORT-CERTIFIED</t>
        </is>
      </c>
      <c r="I117" s="68" t="inlineStr">
        <is>
          <t>See the Welfare &amp; culture column — enforcement detail is carried there for these rows</t>
        </is>
      </c>
      <c r="J117" s="68" t="inlineStr">
        <is>
          <t>Not verified — APHIS publishes no searchable list; confirm with APHIS VS</t>
        </is>
      </c>
      <c r="K117" s="68" t="inlineStr">
        <is>
          <t>Not on the current FSIS enforcement page (1-yr window)</t>
        </is>
      </c>
      <c r="L117" s="68" t="inlineStr">
        <is>
          <t>None published</t>
        </is>
      </c>
      <c r="M117" s="68" t="inlineStr">
        <is>
          <t>Plausible — ASK WHETHER ABI OR LAMPIRE TECHNICIANS ALREADY HARVEST HERE; if so, a Model A precedent already exists</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
(study 8-03/05)</t>
        </is>
      </c>
      <c r="T117" s="68" t="inlineStr">
        <is>
          <t>★ BEST PA ENTRY POINT. ~5 MILES from Animal Biotech Industries' lab at Harleysville, and one of only TWO PA swine plants holding export certification. Also appears in the 'just above band' group — Medium-High/High boundary.</t>
        </is>
      </c>
    </row>
    <row r="118" ht="58.6" customHeight="1" s="59">
      <c r="A118" s="4" t="inlineStr">
        <is>
          <t>Clemens Food Group</t>
        </is>
      </c>
      <c r="B118" s="68" t="inlineStr">
        <is>
          <t>Hatfield, PA</t>
        </is>
      </c>
      <c r="C118" s="68" t="inlineStr">
        <is>
          <t>Large industrial market-hog packer</t>
        </is>
      </c>
      <c r="D118" s="68" t="inlineStr">
        <is>
          <t>~58,000-63,000/wk (11,700 hd/day)
· HACCP Large (500+ employees)</t>
        </is>
      </c>
      <c r="E118" s="110" t="inlineStr">
        <is>
          <t>NO
(Durham: n/m)</t>
        </is>
      </c>
      <c r="F118" s="143" t="inlineStr">
        <is>
          <t>confirm</t>
        </is>
      </c>
      <c r="G118" s="68" t="inlineStr">
        <is>
          <t>Yes — MARKET</t>
        </is>
      </c>
      <c r="H118" s="68" t="inlineStr">
        <is>
          <t>USDA ✓ M791+P791+V791
✅ EXPORT-CERTIFIED</t>
        </is>
      </c>
      <c r="I118" s="68" t="inlineStr">
        <is>
          <t>See the Welfare &amp; culture column — enforcement detail is carried there for these rows</t>
        </is>
      </c>
      <c r="J118" s="68" t="inlineStr">
        <is>
          <t>Not verified — APHIS publishes no searchable list; confirm with APHIS VS</t>
        </is>
      </c>
      <c r="K118" s="68" t="inlineStr">
        <is>
          <t>Not on the current enforcement page (1-yr window)</t>
        </is>
      </c>
      <c r="L118" s="68" t="inlineStr">
        <is>
          <t>None published</t>
        </is>
      </c>
      <c r="M118" s="68" t="inlineStr">
        <is>
          <t>Unlikely at this scale — corporate-level agreement required</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
(study 8-03/05)</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111" t="inlineStr">
        <is>
          <t>mixed — confirm
(Durham: n/m)</t>
        </is>
      </c>
      <c r="F119" s="143" t="inlineStr">
        <is>
          <t>confirm</t>
        </is>
      </c>
      <c r="G119" s="68" t="inlineStr">
        <is>
          <t>Yes — market + SOW + roaster (+boar at two)</t>
        </is>
      </c>
      <c r="H119" s="68" t="inlineStr">
        <is>
          <t>USDA ✓ — see notes</t>
        </is>
      </c>
      <c r="I119" s="68" t="inlineStr">
        <is>
          <t>See the Welfare &amp; culture column — enforcement detail is carried there for these rows</t>
        </is>
      </c>
      <c r="J119" s="68" t="inlineStr">
        <is>
          <t>Not verified — APHIS publishes no searchable list; confirm with APHIS VS</t>
        </is>
      </c>
      <c r="K119" s="68" t="inlineStr">
        <is>
          <t>Not on the current enforcement page (1-yr window)</t>
        </is>
      </c>
      <c r="L119" s="68" t="inlineStr">
        <is>
          <t>None published</t>
        </is>
      </c>
      <c r="M119" s="68" t="inlineStr">
        <is>
          <t>Plausible (small plants)</t>
        </is>
      </c>
      <c r="N119" s="68" t="inlineStr">
        <is>
          <t>Plausible</t>
        </is>
      </c>
      <c r="O119" s="68" t="inlineStr">
        <is>
          <t>see notes →</t>
        </is>
      </c>
      <c r="P119" s="23" t="inlineStr">
        <is>
          <t>POSSIBLE</t>
        </is>
      </c>
      <c r="Q119" s="178" t="inlineStr">
        <is>
          <t>Context roll-up — not an individual candidate.</t>
        </is>
      </c>
      <c r="R119" s="179" t="inlineStr">
        <is>
          <t>—</t>
        </is>
      </c>
      <c r="S119" s="68" t="inlineStr">
        <is>
          <t>Med
(study 8-03/05)</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110" t="inlineStr">
        <is>
          <t>NO
(Durham: n/m)</t>
        </is>
      </c>
      <c r="F120" s="143" t="inlineStr">
        <is>
          <t>n/a — buys, not kills</t>
        </is>
      </c>
      <c r="G120" s="68" t="inlineStr">
        <is>
          <t>n/a</t>
        </is>
      </c>
      <c r="H120" s="68" t="inlineStr">
        <is>
          <t>n/a — they BUY from PA abattoirs</t>
        </is>
      </c>
      <c r="I120" s="68" t="inlineStr">
        <is>
          <t>See the Welfare &amp; culture column — enforcement detail is carried there for these rows</t>
        </is>
      </c>
      <c r="J120" s="68" t="inlineStr">
        <is>
          <t>Not verified — APHIS publishes no searchable list; confirm with APHIS VS</t>
        </is>
      </c>
      <c r="K120" s="68" t="inlineStr">
        <is>
          <t>n/a</t>
        </is>
      </c>
      <c r="L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120" s="68" t="inlineStr">
        <is>
          <t>n/a</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
(study 8-03/05)</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206"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88" t="inlineStr">
        <is>
          <t>YES · ~73 mi ≈
(Pikeville: ~45 mi)</t>
        </is>
      </c>
      <c r="F122" s="143" t="inlineStr">
        <is>
          <t>n/a — dead</t>
        </is>
      </c>
      <c r="G122" s="68" t="inlineStr">
        <is>
          <t>n/a</t>
        </is>
      </c>
      <c r="H122" s="68" t="inlineStr">
        <is>
          <t>NO establishment record at Godwin — absent from every FSIS directory and every NCDA&amp;CS directory (the decisive test for an inspected plant). Parent KCS's own M760A (Altoona IA; DBAs 'Coastal Protein; Pine Ridge Farms') went inactive 9/3/2024 — context about the parent, NOT evidence about the Godwin site.</t>
        </is>
      </c>
      <c r="I122" s="68" t="inlineStr">
        <is>
          <t>See the Welfare &amp; culture column — enforcement detail is carried there for these rows</t>
        </is>
      </c>
      <c r="J122" s="68" t="inlineStr">
        <is>
          <t>Not verified — APHIS publishes no searchable list; confirm with APHIS VS</t>
        </is>
      </c>
      <c r="K122" s="68" t="inlineStr">
        <is>
          <t>n/a</t>
        </is>
      </c>
      <c r="L122" s="68" t="inlineStr">
        <is>
          <t>n/a</t>
        </is>
      </c>
      <c r="M122" s="68" t="inlineStr">
        <is>
          <t>No</t>
        </is>
      </c>
      <c r="N122" s="68" t="inlineStr">
        <is>
          <t>No</t>
        </is>
      </c>
      <c r="O122" s="68" t="inlineStr">
        <is>
          <t>—</t>
        </is>
      </c>
      <c r="P122" s="141" t="inlineStr">
        <is>
          <t>OUT / FLAG</t>
        </is>
      </c>
      <c r="Q122" s="178" t="inlineStr">
        <is>
          <t>Not a candidate — closed / no inspected operation (see notes).</t>
        </is>
      </c>
      <c r="R122" s="179" t="inlineStr">
        <is>
          <t>—</t>
        </is>
      </c>
      <c r="S122" s="68" t="inlineStr">
        <is>
          <t>High
(FSIS+NCDA 8-17)</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
Beebop r2 (9-28): fair correction — the Iowa M760A record cannot establish a North Carolina site's status. The Godwin conclusion rests on directory ABSENCE; a motor-carrier record and NCMPA associate membership keep the name alive but are not slaughter grants. Status: no inspected operation at Godwin; the business itself unresolved, on hold.</t>
        </is>
      </c>
    </row>
    <row r="123" ht="85.40000000000001" customHeight="1" s="59">
      <c r="A123" s="4" t="inlineStr">
        <is>
          <t>Gunnoe Sausage Co. — REFUTED</t>
        </is>
      </c>
      <c r="B123" s="68" t="inlineStr">
        <is>
          <t>Goode, VA</t>
        </is>
      </c>
      <c r="C123" s="68" t="inlineStr">
        <is>
          <t>NO ACTIVE FSIS ESTABLISHMENT</t>
        </is>
      </c>
      <c r="D123" s="68" t="inlineStr">
        <is>
          <t>n/a</t>
        </is>
      </c>
      <c r="E123" s="110" t="inlineStr">
        <is>
          <t>NO · ~130 mi ≈ (borderline)</t>
        </is>
      </c>
      <c r="F123" s="143" t="inlineStr">
        <is>
          <t>confirm</t>
        </is>
      </c>
      <c r="G123" s="68" t="inlineStr">
        <is>
          <t>n/a</t>
        </is>
      </c>
      <c r="H123" s="68" t="inlineStr">
        <is>
          <t>No active FSIS establishment found</t>
        </is>
      </c>
      <c r="I123" s="68" t="inlineStr">
        <is>
          <t>See the Welfare &amp; culture column — enforcement detail is carried there for these rows</t>
        </is>
      </c>
      <c r="J123" s="68" t="inlineStr">
        <is>
          <t>Not verified — APHIS publishes no searchable list; confirm with APHIS VS</t>
        </is>
      </c>
      <c r="K123" s="68" t="inlineStr">
        <is>
          <t>n/a</t>
        </is>
      </c>
      <c r="L123" s="68" t="inlineStr">
        <is>
          <t>n/a</t>
        </is>
      </c>
      <c r="M123" s="68"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
(study 8-03/05)</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
(Durham: n/m)</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110" t="inlineStr">
        <is>
          <t>NO
(Durham: n/m)</t>
        </is>
      </c>
      <c r="F125" s="143" t="inlineStr">
        <is>
          <t>n/a — closed</t>
        </is>
      </c>
      <c r="G125" s="68" t="inlineStr">
        <is>
          <t>n/a</t>
        </is>
      </c>
      <c r="H125" s="68" t="inlineStr">
        <is>
          <t>n/a</t>
        </is>
      </c>
      <c r="I125" s="68" t="inlineStr">
        <is>
          <t>See the Welfare &amp; culture column — enforcement detail is carried there for these rows</t>
        </is>
      </c>
      <c r="J125" s="68" t="inlineStr">
        <is>
          <t>Not verified — APHIS publishes no searchable list; confirm with APHIS VS</t>
        </is>
      </c>
      <c r="K125" s="68" t="inlineStr">
        <is>
          <t>n/a</t>
        </is>
      </c>
      <c r="L125" s="68" t="inlineStr">
        <is>
          <t>n/a</t>
        </is>
      </c>
      <c r="M125" s="68"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
(study 8-03/05)</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206"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
· HACCP Very Small (&lt;10 employees or &lt;$2.5M sales)
· hog kill CAPPED by NASS 2025: Virginia's 16 federal plants killed 7,841 hogs in the WHOLE year (≈150/wk statewide) — the FSIS band counts ALL species</t>
        </is>
      </c>
      <c r="E126" s="110" t="inlineStr">
        <is>
          <t>NO · ~233 mi ≈</t>
        </is>
      </c>
      <c r="F126" s="143" t="inlineStr">
        <is>
          <t>confirm (anomaly)</t>
        </is>
      </c>
      <c r="G126" s="68" t="inlineStr">
        <is>
          <t>⚠ BOAR/STAG flagged (FSIS)
Yes — MKT+SOW+boar+beef</t>
        </is>
      </c>
      <c r="H126" s="68" t="inlineStr">
        <is>
          <t>USDA ✓ M33940</t>
        </is>
      </c>
      <c r="I126" s="68" t="inlineStr">
        <is>
          <t>See the Welfare &amp; culture column — enforcement detail is carried there for these rows</t>
        </is>
      </c>
      <c r="J126" s="68" t="inlineStr">
        <is>
          <t>Not verified — APHIS publishes no searchable list; confirm with APHIS VS</t>
        </is>
      </c>
      <c r="K126" s="68" t="inlineStr">
        <is>
          <t>🚨 INH suspension 04 Dec 2024 → reinstated 06 Mar 2025</t>
        </is>
      </c>
      <c r="L126" s="68" t="inlineStr">
        <is>
          <t>unknown</t>
        </is>
      </c>
      <c r="M126" s="68" t="inlineStr">
        <is>
          <t>Structurally suits Model A (custom processor)</t>
        </is>
      </c>
      <c r="N126" s="68" t="inlineStr">
        <is>
          <t>unknown</t>
        </is>
      </c>
      <c r="O126" s="68" t="inlineStr">
        <is>
          <t>(540) 439-7227
11746 AG Industrial Dr, Bealeton VA 22712</t>
        </is>
      </c>
      <c r="P126" s="23" t="inlineStr">
        <is>
          <t>CAUTION</t>
        </is>
      </c>
      <c r="Q126" s="178" t="inlineStr">
        <is>
          <t>BOAR/STAG RULE 9-28: FSIS flags boar/stag slaughter at this plant — AVOID unless the call confirms boars/stags are never run with our hogs (gate G4). Back-pool — passes no current tier; see Fit and notes for what a call would need to change.</t>
        </is>
      </c>
      <c r="R126" s="179" t="inlineStr">
        <is>
          <t>—</t>
        </is>
      </c>
      <c r="S126" s="68" t="inlineStr">
        <is>
          <t>Low
(study 8-03/05)</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110" t="inlineStr">
        <is>
          <t>NO
(Durham: n/m)</t>
        </is>
      </c>
      <c r="F129" s="143" t="inlineStr">
        <is>
          <t>n/a — collector</t>
        </is>
      </c>
      <c r="G129" s="53" t="inlineStr">
        <is>
          <t>n/a (works on others' hog lines)</t>
        </is>
      </c>
      <c r="H129" s="53" t="inlineStr">
        <is>
          <t>n/a — collects at USDA-inspected plants</t>
        </is>
      </c>
      <c r="I129" s="53" t="inlineStr">
        <is>
          <t>Not researched — they are operators, not slaughter plants</t>
        </is>
      </c>
      <c r="J129" s="53" t="inlineStr">
        <is>
          <t>Not verified — ask directly; they run an established export-grade pharma supply chain</t>
        </is>
      </c>
      <c r="K129" s="53" t="inlineStr">
        <is>
          <t>Pharma-grade operation; heparin API feeds regulated medicine supply</t>
        </is>
      </c>
      <c r="L129" s="53" t="inlineStr">
        <is>
          <t>⭐ THIS IS THE POINT: they recover porcine MUCOSA under written protocol, with their OWN CREWS, on someone else's kill floor, paying for line position</t>
        </is>
      </c>
      <c r="M129" s="53" t="inlineStr">
        <is>
          <t>They ARE Model A — at industrial scale, already proven</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
(study 8-03/05)</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110" t="inlineStr">
        <is>
          <t>NO
(Durham: n/m)</t>
        </is>
      </c>
      <c r="F130" s="143" t="inlineStr">
        <is>
          <t>n/a — collector</t>
        </is>
      </c>
      <c r="G130" s="53" t="inlineStr">
        <is>
          <t>n/a (works on others' hog lines)</t>
        </is>
      </c>
      <c r="H130" s="53" t="inlineStr">
        <is>
          <t>USDA ✓ V27254
(voluntary grant, Certification–Export;
FSIS lists 'Oversea Dewied International LLC')</t>
        </is>
      </c>
      <c r="I130" s="53" t="inlineStr">
        <is>
          <t>Not researched — they are operators, not slaughter plants</t>
        </is>
      </c>
      <c r="J130" s="53" t="inlineStr">
        <is>
          <t>Not verified — ask directly; casings are widely exported so export documentation experience is likely</t>
        </is>
      </c>
      <c r="K130" s="53" t="inlineStr">
        <is>
          <t>Long-established casings house; merged with Oversea Casing 2018</t>
        </is>
      </c>
      <c r="L130" s="53" t="inlineStr">
        <is>
          <t>⭐ Same model: own crews recovering ONE tissue (intestine/casings) under written protocol inside third-party plants</t>
        </is>
      </c>
      <c r="M130" s="53" t="inlineStr">
        <is>
          <t>They ARE Model A — at industrial scale, already proven</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
(study 8-03/05)</t>
        </is>
      </c>
      <c r="T130" s="49" t="inlineStr">
        <is>
          <t>NOT A SUPPLIER TO US — a MODEL and an INFORMATION SOURCE, same as SPL. Casings collectors negotiate line access at hundreds of plants; they know the commercial terms, the HACCP arrangements and which plants say yes. Interview them (Action 0c).</t>
        </is>
      </c>
    </row>
    <row r="131" ht="139" customHeight="1" s="59">
      <c r="A131" s="138" t="inlineStr">
        <is>
          <t>Quaqua Creek Farm, LLC</t>
        </is>
      </c>
      <c r="B131" s="68" t="inlineStr">
        <is>
          <t>Ruffin, NC (Rockingham Co.)</t>
        </is>
      </c>
      <c r="C131" s="68" t="inlineStr">
        <is>
          <t>NC state-inspected slaughter + processing</t>
        </is>
      </c>
      <c r="D131" s="68" t="inlineStr">
        <is>
          <t>unknown — NO public figure exists for NC state plants (NASS withholds NC hog totals; NCDA publishes none)
· inference by business type: multi-species custom / retail plant — typically 10-100 hogs/wk; call question 2 decides</t>
        </is>
      </c>
      <c r="E131" s="88" t="inlineStr">
        <is>
          <t>YES · ~67 mi
(Pikeville: n/m)</t>
        </is>
      </c>
      <c r="F131" s="143" t="inlineStr">
        <is>
          <t>confirm
(state plant — no band)</t>
        </is>
      </c>
      <c r="G131" s="68" t="inlineStr">
        <is>
          <t>Calves, cattle, SWINE, sheep, goats
(NCDA species A,B,C,D,E)
(boar/stag: ask — the NCDA species code does not distinguish boars)</t>
        </is>
      </c>
      <c r="H131" s="68" t="inlineStr">
        <is>
          <t>STATE ✓ P-375
(NCDA&amp;CS directory 2026-09-18)</t>
        </is>
      </c>
      <c r="I131" s="25" t="inlineStr">
        <is>
          <t>n/a — state plant sits outside FSIS reporting (welfare = site-visit finding)</t>
        </is>
      </c>
      <c r="J131" s="68" t="inlineStr">
        <is>
          <t>Eligible — NC state inspection is the APHIS-accepted equivalent for our harvest path</t>
        </is>
      </c>
      <c r="K131" s="68" t="inlineStr">
        <is>
          <t>No record either way; small farm-plant; visit finding</t>
        </is>
      </c>
      <c r="L131" s="68" t="inlineStr">
        <is>
          <t>unknown — call question 3</t>
        </is>
      </c>
      <c r="M131" s="68" t="inlineStr">
        <is>
          <t>possible — small floor, ~67 road mi from Durham</t>
        </is>
      </c>
      <c r="N131" s="68" t="inlineStr">
        <is>
          <t>possible only if the crew is stable — unknown</t>
        </is>
      </c>
      <c r="O131" s="68" t="inlineStr">
        <is>
          <t>CONTACT: (contact name not in any directory retrieved — ask)
336-939-2656 · 429 Estes Road, Ruffin, NC 27326</t>
        </is>
      </c>
      <c r="P131" s="23" t="inlineStr">
        <is>
          <t>POSSIBLE</t>
        </is>
      </c>
      <c r="Q131"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31" s="179" t="inlineStr">
        <is>
          <t>Not confirmed (Beebop 9-28: no company site found)
A Feb-2025 post on 'The Messenger of Madison-Mayodan' (local news page) about 'QuaQua Creek Custom Processing' — text not retrievable · Bizapedia LLC entry (CAPTCHA-blocked) (verified 2026-09-30)</t>
        </is>
      </c>
      <c r="S131" s="68" t="inlineStr">
        <is>
          <t>Medium (NCDA 9-18 + Beebop)</t>
        </is>
      </c>
      <c r="T131"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
SOCIAL/OTHER 9-30: No company website, no reviews found; the Rockingham county directory (undated) does not list it — the P-375 grant is newer than that file. Corporate status unverified. Everything rests on the call.</t>
        </is>
      </c>
    </row>
    <row r="132" ht="112.2" customHeight="1" s="59">
      <c r="A132" s="138" t="inlineStr">
        <is>
          <t>Cool Springs Farm and Meat, LLC
(CSMP Farm Store)</t>
        </is>
      </c>
      <c r="B132" s="68" t="inlineStr">
        <is>
          <t>Yadkinville, NC (Yadkin Co.)</t>
        </is>
      </c>
      <c r="C132" s="68" t="inlineStr">
        <is>
          <t>USDA-inspected (also does custom-exempt work)</t>
        </is>
      </c>
      <c r="D132" s="68" t="inlineStr">
        <is>
          <t>&lt;19/wk (FSIS cat 1)
· HACCP Very Small (&lt;10 employees or &lt;$2.5M sales)</t>
        </is>
      </c>
      <c r="E132" s="88" t="inlineStr">
        <is>
          <t>YES · ~107 mi
(Pikeville: n/m)</t>
        </is>
      </c>
      <c r="F132" s="139" t="inlineStr">
        <is>
          <t>0-300/wk (&lt;19)</t>
        </is>
      </c>
      <c r="G132" s="68" t="inlineStr">
        <is>
          <t>MARKET swine flag (FSIS) + cattle, sheep
(NCDA species A-E)</t>
        </is>
      </c>
      <c r="H132" s="68" t="inlineStr">
        <is>
          <t>USDA ✓ M1041 (NCDA lists TA-1041)
grant 10/28/2024</t>
        </is>
      </c>
      <c r="I132" s="25" t="inlineStr">
        <is>
          <t>None found (grant under 2 years old)</t>
        </is>
      </c>
      <c r="J132" s="68" t="inlineStr">
        <is>
          <t>Eligible (federal)</t>
        </is>
      </c>
      <c r="K132" s="68" t="inlineStr">
        <is>
          <t>No record; family business since 1971 (the federal grant dates from Oct-2024); visit finding.</t>
        </is>
      </c>
      <c r="L132" s="68" t="inlineStr">
        <is>
          <t>unknown</t>
        </is>
      </c>
      <c r="M132" s="68" t="inlineStr">
        <is>
          <t>pilot-scale only — cat-1 ceiling &lt;19 animals/wk, ALL species</t>
        </is>
      </c>
      <c r="N132" s="68" t="inlineStr">
        <is>
          <t>unlikely — too small to justify training</t>
        </is>
      </c>
      <c r="O132" s="68" t="inlineStr">
        <is>
          <t>CONTACT: Justin Atkinson (NCDA county directory, 336-463-5548) · csmp@coolspringsmeats.com
336-835-5377 · 1041 Disher Road, Yadkinville, NC 27055</t>
        </is>
      </c>
      <c r="P132" s="140" t="inlineStr">
        <is>
          <t>WATCH</t>
        </is>
      </c>
      <c r="Q132" s="178" t="inlineStr">
        <is>
          <t>In business since 1971 with a live retail store; its Oct-2024 federal grant is the newest western swine grant — but a cat-1 floor (&lt;19 animals/week, all species) is pilot scale, 107 road miles from Durham. A scale check only if a western lane opens. Promoted from the western micro-plant roll-up (row 85); Beebop ranks it #8.</t>
        </is>
      </c>
      <c r="R132" s="179" t="inlineStr">
        <is>
          <t>csmpfarmstore.com (verified live 2026-09-28)
facebook.com/coolspringsmeatprocessing (13 reviews, 100% recommend) · instagram.com/csmpnc · Nextdoor · Yelp · csmpfarmstore.com (verified 2026-09-30)</t>
        </is>
      </c>
      <c r="S132" s="68" t="inlineStr">
        <is>
          <t>High (FSIS 9-03 + NCDA 9-18)</t>
        </is>
      </c>
      <c r="T132"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
SOCIAL/OTHER 9-30: IN BUSINESS SINCE 1971 — the Oct-2024 date is the federal grant, not the business (correcting the 'family business since 1971 (federal grant 2024)' note). Hours M-F 6-5, Sat 8-12; new retail store; half/whole hogs, orders ready in 2-4 weeks. County directory: slaughter calves, cattle, goats, hogs, lambs, sheep.</t>
        </is>
      </c>
    </row>
    <row r="133" ht="98.8" customHeight="1" s="59">
      <c r="A133" s="138" t="inlineStr">
        <is>
          <t>Smithfield Fresh Meats Corp. — Clinton plant</t>
        </is>
      </c>
      <c r="B133" s="68" t="inlineStr">
        <is>
          <t>Clinton, NC (Sampson Co.)</t>
        </is>
      </c>
      <c r="C133" s="68" t="inlineStr">
        <is>
          <t>USDA federal — industrial pork plant</t>
        </is>
      </c>
      <c r="D133" s="68" t="inlineStr">
        <is>
          <t>&gt;5,000/wk (FSIS cat 4; plant scale far above the band floor)
· HACCP Large (500+ employees)</t>
        </is>
      </c>
      <c r="E133" s="88" t="inlineStr">
        <is>
          <t>YES · ~89 mi
(Pikeville: n/m)</t>
        </is>
      </c>
      <c r="F133" s="195" t="inlineStr">
        <is>
          <t>5,000+ /wk</t>
        </is>
      </c>
      <c r="G133" s="68" t="inlineStr">
        <is>
          <t>market hogs (industrial line)</t>
        </is>
      </c>
      <c r="H133" s="68" t="inlineStr">
        <is>
          <t>USDA ✓ M413</t>
        </is>
      </c>
      <c r="I133" s="25" t="inlineStr">
        <is>
          <t>Not checked this pass (corporate plant; audited systems)</t>
        </is>
      </c>
      <c r="J133" s="68" t="inlineStr">
        <is>
          <t>Federal — eligible in principle; the corporate by-products channel decides</t>
        </is>
      </c>
      <c r="K133" s="68" t="inlineStr">
        <is>
          <t>Corporate plant; audited welfare systems</t>
        </is>
      </c>
      <c r="L133" s="68" t="inlineStr">
        <is>
          <t>corporate by-products / biologics channel (Smithfield BioScience) — not a floor we could host on</t>
        </is>
      </c>
      <c r="M133" s="68" t="inlineStr">
        <is>
          <t>NO — industrial line, no hosting</t>
        </is>
      </c>
      <c r="N133" s="68" t="inlineStr">
        <is>
          <t>only via a biomedical by-products agreement</t>
        </is>
      </c>
      <c r="O133" s="68" t="inlineStr">
        <is>
          <t>910-592-2104 (plant) — route via Smithfield BioScience (National Direct tab)</t>
        </is>
      </c>
      <c r="P133" s="23" t="inlineStr">
        <is>
          <t>CAUTION</t>
        </is>
      </c>
      <c r="Q133"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133" s="179" t="inlineStr">
        <is>
          <t>smithfieldfoods.com (corporate)</t>
        </is>
      </c>
      <c r="S133" s="68" t="inlineStr">
        <is>
          <t>High (FSIS 9-03)</t>
        </is>
      </c>
      <c r="T133" s="68" t="inlineStr">
        <is>
          <t>Added 2026-09-28 from the Beebop plan. Sister rows: Smithfield Tar Heel (row 25) and Smithfield BioScience (row 49).</t>
        </is>
      </c>
    </row>
    <row r="134" ht="152.4" customHeight="1" s="59">
      <c r="A134" s="138" t="inlineStr">
        <is>
          <t>Schrock's Slaughter House</t>
        </is>
      </c>
      <c r="B134" s="68" t="inlineStr">
        <is>
          <t>Gladys, VA (Campbell Co.)</t>
        </is>
      </c>
      <c r="C134" s="68" t="inlineStr">
        <is>
          <t>USDA-inspected (Virginia)</t>
        </is>
      </c>
      <c r="D134" s="68" t="inlineStr">
        <is>
          <t>&lt;19/wk (FSIS cat 1)
· HACCP Very Small (&lt;10 employees or &lt;$2.5M sales)
· hog kill CAPPED by NASS 2025: Virginia's 16 federal plants killed 7,841 hogs in the WHOLE year (≈150/wk statewide) — the FSIS band counts ALL species</t>
        </is>
      </c>
      <c r="E134" s="88" t="inlineStr">
        <is>
          <t>YES · ~95 mi
(Pikeville: n/m)</t>
        </is>
      </c>
      <c r="F134" s="139" t="inlineStr">
        <is>
          <t>0-300/wk (&lt;19)</t>
        </is>
      </c>
      <c r="G134" s="68" t="inlineStr">
        <is>
          <t>swine flagged; website is beef-first</t>
        </is>
      </c>
      <c r="H134" s="68" t="inlineStr">
        <is>
          <t>USDA ✓ M44217
grant 8/21/2015</t>
        </is>
      </c>
      <c r="I134" s="25" t="inlineStr">
        <is>
          <t>None found (not in the QER shortlist search)</t>
        </is>
      </c>
      <c r="J134" s="68" t="inlineStr">
        <is>
          <t>Eligible (federal grant — a VA STATE grant would not be)</t>
        </is>
      </c>
      <c r="K134" s="68" t="inlineStr">
        <is>
          <t>No record; visit finding</t>
        </is>
      </c>
      <c r="L134" s="68" t="inlineStr">
        <is>
          <t>unknown</t>
        </is>
      </c>
      <c r="M134" s="68" t="inlineStr">
        <is>
          <t>pilot-scale only</t>
        </is>
      </c>
      <c r="N134" s="68" t="inlineStr">
        <is>
          <t>no</t>
        </is>
      </c>
      <c r="O134" s="68" t="inlineStr">
        <is>
          <t>434-283-5400 · 4141 Pigeon Run Road, Gladys, VA 24554</t>
        </is>
      </c>
      <c r="P134" s="140" t="inlineStr">
        <is>
          <t>WATCH</t>
        </is>
      </c>
      <c r="Q134" s="178" t="inlineStr">
        <is>
          <t>Beebop's #10 and the only Virginia plant inside 120 road miles of Durham — but cat 1 (&lt;19 animals/week) and a beef-first website. A one-question call (do you still kill hogs, how many) is all it merits.</t>
        </is>
      </c>
      <c r="R134" s="179" t="inlineStr">
        <is>
          <t>schrockssh.com (verified live 2026-09-28)</t>
        </is>
      </c>
      <c r="S134" s="68" t="inlineStr">
        <is>
          <t>High (FSIS 9-03)</t>
        </is>
      </c>
      <c r="T134" s="68" t="inlineStr">
        <is>
          <t>The southern-VA census (2026-09-03) found only cat-1 plants; this is one of them.</t>
        </is>
      </c>
    </row>
    <row r="135" ht="72" customHeight="1" s="59">
      <c r="A135" s="138" t="inlineStr">
        <is>
          <t>Neese Country Sausage, Inc. — Burlington (M8341)</t>
        </is>
      </c>
      <c r="B135" s="68" t="inlineStr">
        <is>
          <t>Burlington, NC (Alamance Co.)</t>
        </is>
      </c>
      <c r="C135" s="68" t="inlineStr">
        <is>
          <t>exited slaughter — FSIS INACTIVE</t>
        </is>
      </c>
      <c r="D135" s="68" t="inlineStr">
        <is>
          <t>n/a</t>
        </is>
      </c>
      <c r="E135" s="88" t="inlineStr">
        <is>
          <t>YES · ~33 mi
(Pikeville: n/m)</t>
        </is>
      </c>
      <c r="F135" s="143" t="inlineStr">
        <is>
          <t>n/a</t>
        </is>
      </c>
      <c r="G135" s="68" t="inlineStr">
        <is>
          <t>sow kill (historic; cat 1)</t>
        </is>
      </c>
      <c r="H135" s="68" t="inlineStr">
        <is>
          <t>⚠ INACTIVE — M8341 (Burlington) and M8341A (Greensboro) inactive effective 2026-07-02 (FSIS Inactive Directory)</t>
        </is>
      </c>
      <c r="I135" s="25" t="inlineStr">
        <is>
          <t>n/a</t>
        </is>
      </c>
      <c r="J135" s="68" t="inlineStr">
        <is>
          <t>n/a</t>
        </is>
      </c>
      <c r="K135" s="68" t="inlineStr">
        <is>
          <t>n/a</t>
        </is>
      </c>
      <c r="L135" s="68" t="inlineStr">
        <is>
          <t>n/a</t>
        </is>
      </c>
      <c r="M135" s="68" t="inlineStr">
        <is>
          <t>NO</t>
        </is>
      </c>
      <c r="N135" s="68" t="inlineStr">
        <is>
          <t>NO</t>
        </is>
      </c>
      <c r="O135" s="68" t="inlineStr">
        <is>
          <t>336-227-0211 (historic)</t>
        </is>
      </c>
      <c r="P135" s="141" t="inlineStr">
        <is>
          <t>OUT / FLAG</t>
        </is>
      </c>
      <c r="Q135" s="178" t="inlineStr">
        <is>
          <t>Beebop's #20 rests on a stale federal listing: both Neese grants went inactive on 2026-07-02. Dead lead — recorded so nobody re-researches it.</t>
        </is>
      </c>
      <c r="R135" s="179" t="inlineStr">
        <is>
          <t>neesesausage.com (brand site)</t>
        </is>
      </c>
      <c r="S135" s="68" t="inlineStr">
        <is>
          <t>High (FSIS inactive directory 9-03)</t>
        </is>
      </c>
      <c r="T135" s="68" t="inlineStr">
        <is>
          <t>Also in the 2025-26 closures roll-up (row 86).
Beebop r2 (9-28): a June-2026 trade report (meatpoultry.com) says the brand returns under new ownership — a business transition, not evidence that the Burlington kill floor operates; a secondary directory still shows it active because mirrors lag. The FSIS inactive record (2026-07-02) is primary and stands. RECHECK the MPI directory in Q4-2026 for a new grant.</t>
        </is>
      </c>
    </row>
    <row r="136" ht="72" customHeight="1" s="59">
      <c r="A136" s="138" t="inlineStr">
        <is>
          <t>AAA Abattoir</t>
        </is>
      </c>
      <c r="B136" s="68" t="inlineStr">
        <is>
          <t>Graham, NC (Alamance Co.)</t>
        </is>
      </c>
      <c r="C136" s="68" t="inlineStr">
        <is>
          <t>custom-exempt (no continuous inspection)</t>
        </is>
      </c>
      <c r="D136" s="68" t="inlineStr">
        <is>
          <t>n/a</t>
        </is>
      </c>
      <c r="E136" s="88" t="inlineStr">
        <is>
          <t>YES · ~32 mi
(Pikeville: n/m)</t>
        </is>
      </c>
      <c r="F136" s="143" t="inlineStr">
        <is>
          <t>n/a</t>
        </is>
      </c>
      <c r="G136" s="68" t="inlineStr">
        <is>
          <t>swine listed (NCDA species C)</t>
        </is>
      </c>
      <c r="H136" s="68" t="inlineStr">
        <is>
          <t>CUSTOM-EXEMPT (NCDA&amp;CS directory 2026-09-18)</t>
        </is>
      </c>
      <c r="I136" s="25" t="inlineStr">
        <is>
          <t>n/a</t>
        </is>
      </c>
      <c r="J136" s="68" t="inlineStr">
        <is>
          <t>NONE — custom-exempt product cannot be sold; no EU path</t>
        </is>
      </c>
      <c r="K136" s="68" t="inlineStr">
        <is>
          <t>n/a</t>
        </is>
      </c>
      <c r="L136" s="68" t="inlineStr">
        <is>
          <t>n/a</t>
        </is>
      </c>
      <c r="M136" s="68" t="inlineStr">
        <is>
          <t>NO</t>
        </is>
      </c>
      <c r="N136" s="68" t="inlineStr">
        <is>
          <t>NO</t>
        </is>
      </c>
      <c r="O136" s="68" t="inlineStr">
        <is>
          <t>717-405-8137 · 2301 Austin Quarter Road, Graham, NC 27253</t>
        </is>
      </c>
      <c r="P136" s="141" t="inlineStr">
        <is>
          <t>OUT / FLAG</t>
        </is>
      </c>
      <c r="Q136" s="178" t="inlineStr">
        <is>
          <t>Custom-exempt = fails hard gate G1 (no ante-/post-mortem inspection, no resale). Listed only because Beebop's plan carries it (rank #21) — do not call for supply. Very local (32 mi) but custom-only.</t>
        </is>
      </c>
      <c r="R136" s="179" t="inlineStr">
        <is>
          <t>n/a</t>
        </is>
      </c>
      <c r="S136" s="68" t="inlineStr">
        <is>
          <t>High (NCDA 9-18)</t>
        </is>
      </c>
      <c r="T136" s="68" t="inlineStr">
        <is>
          <t>Added 2026-09-28 for the record; 10 more custom-exempt swine plants from the 9-18 directory are listed on Sources &amp; Confidence, not here.</t>
        </is>
      </c>
    </row>
    <row r="137" ht="72" customHeight="1" s="59">
      <c r="A137" s="138" t="inlineStr">
        <is>
          <t>Coletown</t>
        </is>
      </c>
      <c r="B137" s="68" t="inlineStr">
        <is>
          <t>Lexington, NC (Davidson Co.)</t>
        </is>
      </c>
      <c r="C137" s="68" t="inlineStr">
        <is>
          <t>custom-exempt (no continuous inspection)</t>
        </is>
      </c>
      <c r="D137" s="68" t="inlineStr">
        <is>
          <t>n/a</t>
        </is>
      </c>
      <c r="E137" s="88" t="inlineStr">
        <is>
          <t>YES · ~90 mi
(Pikeville: n/m)</t>
        </is>
      </c>
      <c r="F137" s="143" t="inlineStr">
        <is>
          <t>n/a</t>
        </is>
      </c>
      <c r="G137" s="68" t="inlineStr">
        <is>
          <t>swine listed (NCDA species C)</t>
        </is>
      </c>
      <c r="H137" s="68" t="inlineStr">
        <is>
          <t>CUSTOM-EXEMPT (NCDA&amp;CS directory 2026-09-18)</t>
        </is>
      </c>
      <c r="I137" s="25" t="inlineStr">
        <is>
          <t>n/a</t>
        </is>
      </c>
      <c r="J137" s="68" t="inlineStr">
        <is>
          <t>NONE — custom-exempt product cannot be sold; no EU path</t>
        </is>
      </c>
      <c r="K137" s="68" t="inlineStr">
        <is>
          <t>n/a</t>
        </is>
      </c>
      <c r="L137" s="68" t="inlineStr">
        <is>
          <t>n/a</t>
        </is>
      </c>
      <c r="M137" s="68" t="inlineStr">
        <is>
          <t>NO</t>
        </is>
      </c>
      <c r="N137" s="68" t="inlineStr">
        <is>
          <t>NO</t>
        </is>
      </c>
      <c r="O137" s="68" t="inlineStr">
        <is>
          <t>336-596-0826 · 4611 NC Highway 47, Lexington, NC 27292</t>
        </is>
      </c>
      <c r="P137" s="141" t="inlineStr">
        <is>
          <t>OUT / FLAG</t>
        </is>
      </c>
      <c r="Q137" s="178" t="inlineStr">
        <is>
          <t>Custom-exempt = fails hard gate G1 (no ante-/post-mortem inspection, no resale). Listed only because Beebop's plan carries it (rank #22) — do not call for supply. Custom-only; deer-season workload; pork listed alongside game.</t>
        </is>
      </c>
      <c r="R137" s="179" t="inlineStr">
        <is>
          <t>n/a</t>
        </is>
      </c>
      <c r="S137" s="68" t="inlineStr">
        <is>
          <t>High (NCDA 9-18)</t>
        </is>
      </c>
      <c r="T137" s="68" t="inlineStr">
        <is>
          <t>Added 2026-09-28 for the record; 10 more custom-exempt swine plants from the 9-18 directory are listed on Sources &amp; Confidence, not here.</t>
        </is>
      </c>
    </row>
    <row r="138" ht="85.40000000000001" customHeight="1" s="59">
      <c r="A138" s="138" t="inlineStr">
        <is>
          <t>Homestead Custom Meat Processing (mobile)</t>
        </is>
      </c>
      <c r="B138" s="68" t="inlineStr">
        <is>
          <t>Archdale, NC (Randolph Co. — MOBILE service, no fixed plant)</t>
        </is>
      </c>
      <c r="C138" s="68" t="inlineStr">
        <is>
          <t>custom-exempt (no continuous inspection)</t>
        </is>
      </c>
      <c r="D138" s="68" t="inlineStr">
        <is>
          <t>n/a</t>
        </is>
      </c>
      <c r="E138" s="88" t="inlineStr">
        <is>
          <t>YES · ~70 mi
(Pikeville: n/m)</t>
        </is>
      </c>
      <c r="F138" s="143" t="inlineStr">
        <is>
          <t>n/a</t>
        </is>
      </c>
      <c r="G138" s="68" t="inlineStr">
        <is>
          <t>swine listed (NCDA species C)</t>
        </is>
      </c>
      <c r="H138" s="68" t="inlineStr">
        <is>
          <t>CUSTOM / mobile — not a listed plant</t>
        </is>
      </c>
      <c r="I138" s="25" t="inlineStr">
        <is>
          <t>n/a</t>
        </is>
      </c>
      <c r="J138" s="68" t="inlineStr">
        <is>
          <t>NONE — custom-exempt product cannot be sold; no EU path</t>
        </is>
      </c>
      <c r="K138" s="68" t="inlineStr">
        <is>
          <t>n/a</t>
        </is>
      </c>
      <c r="L138" s="68" t="inlineStr">
        <is>
          <t>n/a</t>
        </is>
      </c>
      <c r="M138" s="68" t="inlineStr">
        <is>
          <t>NO</t>
        </is>
      </c>
      <c r="N138" s="68" t="inlineStr">
        <is>
          <t>NO</t>
        </is>
      </c>
      <c r="O138" s="68" t="inlineStr">
        <is>
          <t>336-689-6232 · 6192 Muddy Creek Road, Archdale, NC 27263</t>
        </is>
      </c>
      <c r="P138" s="141" t="inlineStr">
        <is>
          <t>OUT / FLAG</t>
        </is>
      </c>
      <c r="Q138" s="178" t="inlineStr">
        <is>
          <t>Custom-exempt = fails hard gate G1 (no ante-/post-mortem inspection, no resale). Listed only because Beebop's plan carries it (rank #23) — do not call for supply. Mobile on-farm service (Facebook); a 440 lb customer pig documented; no fixed site, no inspection.</t>
        </is>
      </c>
      <c r="R138" s="179" t="inlineStr">
        <is>
          <t>n/a</t>
        </is>
      </c>
      <c r="S138" s="68" t="inlineStr">
        <is>
          <t>High (NCDA 9-18)</t>
        </is>
      </c>
      <c r="T138" s="68" t="inlineStr">
        <is>
          <t>Added 2026-09-28 for the record; 10 more custom-exempt swine plants from the 9-18 directory are listed on Sources &amp; Confidence, not here.</t>
        </is>
      </c>
    </row>
    <row r="139" ht="72" customHeight="1" s="59">
      <c r="A139" s="138" t="inlineStr">
        <is>
          <t>Miller Meat Processing</t>
        </is>
      </c>
      <c r="B139" s="68" t="inlineStr">
        <is>
          <t>Seaboard, NC (Northampton Co.)</t>
        </is>
      </c>
      <c r="C139" s="68" t="inlineStr">
        <is>
          <t>custom-exempt (no continuous inspection)</t>
        </is>
      </c>
      <c r="D139" s="68" t="inlineStr">
        <is>
          <t>n/a</t>
        </is>
      </c>
      <c r="E139" s="88" t="inlineStr">
        <is>
          <t>YES · ~103 mi
(Pikeville: n/m)</t>
        </is>
      </c>
      <c r="F139" s="143" t="inlineStr">
        <is>
          <t>n/a</t>
        </is>
      </c>
      <c r="G139" s="68" t="inlineStr">
        <is>
          <t>swine listed (NCDA species C)</t>
        </is>
      </c>
      <c r="H139" s="68" t="inlineStr">
        <is>
          <t>CUSTOM-EXEMPT (NCDA&amp;CS directory 2026-09-18)</t>
        </is>
      </c>
      <c r="I139" s="25" t="inlineStr">
        <is>
          <t>n/a</t>
        </is>
      </c>
      <c r="J139" s="68" t="inlineStr">
        <is>
          <t>NONE — custom-exempt product cannot be sold; no EU path</t>
        </is>
      </c>
      <c r="K139" s="68" t="inlineStr">
        <is>
          <t>n/a</t>
        </is>
      </c>
      <c r="L139" s="68" t="inlineStr">
        <is>
          <t>n/a</t>
        </is>
      </c>
      <c r="M139" s="68" t="inlineStr">
        <is>
          <t>NO</t>
        </is>
      </c>
      <c r="N139" s="68" t="inlineStr">
        <is>
          <t>NO</t>
        </is>
      </c>
      <c r="O139" s="68" t="inlineStr">
        <is>
          <t>252-589-0004 · 2381 Big Johns Store Road, Seaboard, NC 27876</t>
        </is>
      </c>
      <c r="P139" s="141" t="inlineStr">
        <is>
          <t>OUT / FLAG</t>
        </is>
      </c>
      <c r="Q139" s="178" t="inlineStr">
        <is>
          <t>Custom-exempt = fails hard gate G1 (no ante-/post-mortem inspection, no resale). Listed only because Beebop's plan carries it (rank #24) — do not call for supply. Custom-only; game-processing listing.</t>
        </is>
      </c>
      <c r="R139" s="179" t="inlineStr">
        <is>
          <t>n/a</t>
        </is>
      </c>
      <c r="S139" s="68" t="inlineStr">
        <is>
          <t>High (NCDA 9-18)</t>
        </is>
      </c>
      <c r="T139" s="68" t="inlineStr">
        <is>
          <t>Added 2026-09-28 for the record; 10 more custom-exempt swine plants from the 9-18 directory are listed on Sources &amp; Confidence, not here.</t>
        </is>
      </c>
    </row>
    <row r="140" ht="58.6" customHeight="1" s="59">
      <c r="A140" s="138" t="inlineStr">
        <is>
          <t>Firsthand Foods</t>
        </is>
      </c>
      <c r="B140" s="68" t="inlineStr">
        <is>
          <t>Durham, NC</t>
        </is>
      </c>
      <c r="C140" s="68" t="inlineStr">
        <is>
          <t>Referral / network contact (not a plant)</t>
        </is>
      </c>
      <c r="D140" s="68" t="inlineStr">
        <is>
          <t>n/a</t>
        </is>
      </c>
      <c r="E140" s="88" t="inlineStr">
        <is>
          <t>YES · ~2 mi
(Pikeville: n/m)</t>
        </is>
      </c>
      <c r="F140" s="143" t="inlineStr">
        <is>
          <t>n/a</t>
        </is>
      </c>
      <c r="G140" s="68" t="inlineStr">
        <is>
          <t>n/a</t>
        </is>
      </c>
      <c r="H140" s="68" t="inlineStr">
        <is>
          <t>n/a (not a slaughter plant)</t>
        </is>
      </c>
      <c r="I140" s="25" t="inlineStr">
        <is>
          <t>n/a</t>
        </is>
      </c>
      <c r="J140" s="68" t="inlineStr">
        <is>
          <t>n/a</t>
        </is>
      </c>
      <c r="K140" s="68" t="inlineStr">
        <is>
          <t>n/a</t>
        </is>
      </c>
      <c r="L140" s="68" t="inlineStr">
        <is>
          <t>n/a</t>
        </is>
      </c>
      <c r="M140" s="68" t="inlineStr">
        <is>
          <t>n/a</t>
        </is>
      </c>
      <c r="N140" s="68" t="inlineStr">
        <is>
          <t>n/a</t>
        </is>
      </c>
      <c r="O140" s="68" t="inlineStr">
        <is>
          <t>919-599-0804 · 2210 East Pettigrew Street, Durham, NC 27703</t>
        </is>
      </c>
      <c r="P140" s="145" t="inlineStr">
        <is>
          <t>REFERRAL</t>
        </is>
      </c>
      <c r="Q140" s="178" t="inlineStr">
        <is>
          <t>Local pasture-raised meat hub coordinating small producers and processors: ask which plants kill their pigs and who controls organ rights. Zero-cost referral call (Beebop #26).</t>
        </is>
      </c>
      <c r="R140" s="179" t="inlineStr">
        <is>
          <t>firsthandfoods.com (live)</t>
        </is>
      </c>
      <c r="S140" s="68" t="inlineStr">
        <is>
          <t>High (Beebop 9-28; sites verified)</t>
        </is>
      </c>
      <c r="T140" s="68" t="inlineStr">
        <is>
          <t>Referral lane added 2026-09-28 from the Beebop plan — introductions and intel only.</t>
        </is>
      </c>
    </row>
    <row r="141" ht="58.6" customHeight="1" s="59">
      <c r="A141" s="138" t="inlineStr">
        <is>
          <t>Heritage Farms Cheshire Pork</t>
        </is>
      </c>
      <c r="B141" s="68" t="inlineStr">
        <is>
          <t>Goldsboro, NC</t>
        </is>
      </c>
      <c r="C141" s="68" t="inlineStr">
        <is>
          <t>Referral / network contact (not a plant)</t>
        </is>
      </c>
      <c r="D141" s="68" t="inlineStr">
        <is>
          <t>n/a</t>
        </is>
      </c>
      <c r="E141" s="88" t="inlineStr">
        <is>
          <t>YES · ~86 mi
(Pikeville: n/m)</t>
        </is>
      </c>
      <c r="F141" s="143" t="inlineStr">
        <is>
          <t>n/a</t>
        </is>
      </c>
      <c r="G141" s="68" t="inlineStr">
        <is>
          <t>n/a</t>
        </is>
      </c>
      <c r="H141" s="68" t="inlineStr">
        <is>
          <t>n/a (not a slaughter plant)</t>
        </is>
      </c>
      <c r="I141" s="25" t="inlineStr">
        <is>
          <t>n/a</t>
        </is>
      </c>
      <c r="J141" s="68" t="inlineStr">
        <is>
          <t>n/a</t>
        </is>
      </c>
      <c r="K141" s="68" t="inlineStr">
        <is>
          <t>n/a</t>
        </is>
      </c>
      <c r="L141" s="68" t="inlineStr">
        <is>
          <t>n/a</t>
        </is>
      </c>
      <c r="M141" s="68" t="inlineStr">
        <is>
          <t>n/a</t>
        </is>
      </c>
      <c r="N141" s="68" t="inlineStr">
        <is>
          <t>n/a</t>
        </is>
      </c>
      <c r="O141" s="68" t="inlineStr">
        <is>
          <t>919-222-9496 · 340 Dollard Town Road, Goldsboro, NC 27534</t>
        </is>
      </c>
      <c r="P141" s="145" t="inlineStr">
        <is>
          <t>REFERRAL</t>
        </is>
      </c>
      <c r="Q141" s="178" t="inlineStr">
        <is>
          <t>Heritage-breed pork brand ~10 mi from Pikeville: the question is which plant kills Cheshire pigs and whether intact blocks can be reserved at slaughter (Beebop #27).</t>
        </is>
      </c>
      <c r="R141" s="179" t="inlineStr">
        <is>
          <t>cheshirepork.com (live)</t>
        </is>
      </c>
      <c r="S141" s="68" t="inlineStr">
        <is>
          <t>High (Beebop 9-28; sites verified)</t>
        </is>
      </c>
      <c r="T141" s="68" t="inlineStr">
        <is>
          <t>Referral lane added 2026-09-28 from the Beebop plan — introductions and intel only.</t>
        </is>
      </c>
    </row>
    <row r="142" ht="45.2" customHeight="1" s="59">
      <c r="A142" s="138" t="inlineStr">
        <is>
          <t>Carolina Packers</t>
        </is>
      </c>
      <c r="B142" s="68" t="inlineStr">
        <is>
          <t>Smithfield, NC</t>
        </is>
      </c>
      <c r="C142" s="68" t="inlineStr">
        <is>
          <t>Referral / network contact (not a plant)</t>
        </is>
      </c>
      <c r="D142" s="68" t="inlineStr">
        <is>
          <t>n/a</t>
        </is>
      </c>
      <c r="E142" s="88" t="inlineStr">
        <is>
          <t>YES · ~58 mi
(Pikeville: n/m)</t>
        </is>
      </c>
      <c r="F142" s="143" t="inlineStr">
        <is>
          <t>n/a</t>
        </is>
      </c>
      <c r="G142" s="68" t="inlineStr">
        <is>
          <t>n/a</t>
        </is>
      </c>
      <c r="H142" s="68" t="inlineStr">
        <is>
          <t>TA-19836 — processing only</t>
        </is>
      </c>
      <c r="I142" s="25" t="inlineStr">
        <is>
          <t>n/a</t>
        </is>
      </c>
      <c r="J142" s="68" t="inlineStr">
        <is>
          <t>n/a</t>
        </is>
      </c>
      <c r="K142" s="68" t="inlineStr">
        <is>
          <t>n/a</t>
        </is>
      </c>
      <c r="L142" s="68" t="inlineStr">
        <is>
          <t>n/a</t>
        </is>
      </c>
      <c r="M142" s="68" t="inlineStr">
        <is>
          <t>n/a</t>
        </is>
      </c>
      <c r="N142" s="68" t="inlineStr">
        <is>
          <t>n/a</t>
        </is>
      </c>
      <c r="O142" s="68" t="inlineStr">
        <is>
          <t>919-934-2181 · 2999 South Brightleaf Boulevard, Smithfield, NC 27577</t>
        </is>
      </c>
      <c r="P142" s="145" t="inlineStr">
        <is>
          <t>REFERRAL</t>
        </is>
      </c>
      <c r="Q142" s="178" t="inlineStr">
        <is>
          <t>Bright Leaf hot-dog maker; processing only (TA-19836, no slaughter) — an upstream-introduction call, not capacity (Beebop #28).</t>
        </is>
      </c>
      <c r="R142" s="179" t="inlineStr">
        <is>
          <t>carolinapackers.com (live)</t>
        </is>
      </c>
      <c r="S142" s="68" t="inlineStr">
        <is>
          <t>High (Beebop 9-28; sites verified)</t>
        </is>
      </c>
      <c r="T142" s="68" t="inlineStr">
        <is>
          <t>Referral lane added 2026-09-28 from the Beebop plan — introductions and intel only.</t>
        </is>
      </c>
    </row>
    <row r="143" ht="45.2" customHeight="1" s="59">
      <c r="A143" s="138" t="inlineStr">
        <is>
          <t>NC Choices, Sarah Blacklin</t>
        </is>
      </c>
      <c r="B143" s="68" t="inlineStr">
        <is>
          <t>Raleigh, NC</t>
        </is>
      </c>
      <c r="C143" s="68" t="inlineStr">
        <is>
          <t>Referral / network contact (not a plant)</t>
        </is>
      </c>
      <c r="D143" s="68" t="inlineStr">
        <is>
          <t>n/a</t>
        </is>
      </c>
      <c r="E143" s="88" t="inlineStr">
        <is>
          <t>YES · ~24 mi
(Pikeville: n/m)</t>
        </is>
      </c>
      <c r="F143" s="143" t="inlineStr">
        <is>
          <t>n/a</t>
        </is>
      </c>
      <c r="G143" s="68" t="inlineStr">
        <is>
          <t>n/a</t>
        </is>
      </c>
      <c r="H143" s="68" t="inlineStr">
        <is>
          <t>n/a (not a slaughter plant)</t>
        </is>
      </c>
      <c r="I143" s="25" t="inlineStr">
        <is>
          <t>n/a</t>
        </is>
      </c>
      <c r="J143" s="68" t="inlineStr">
        <is>
          <t>n/a</t>
        </is>
      </c>
      <c r="K143" s="68" t="inlineStr">
        <is>
          <t>n/a</t>
        </is>
      </c>
      <c r="L143" s="68" t="inlineStr">
        <is>
          <t>n/a</t>
        </is>
      </c>
      <c r="M143" s="68" t="inlineStr">
        <is>
          <t>n/a</t>
        </is>
      </c>
      <c r="N143" s="68" t="inlineStr">
        <is>
          <t>n/a</t>
        </is>
      </c>
      <c r="O143" s="68" t="inlineStr">
        <is>
          <t>919-928-4771 · 840 Oval Drive, Raleigh, NC 27606</t>
        </is>
      </c>
      <c r="P143" s="145" t="inlineStr">
        <is>
          <t>REFERRAL</t>
        </is>
      </c>
      <c r="Q143" s="178" t="inlineStr">
        <is>
          <t>NC State / CEFS niche-meat network — best placed to name operators open to a paid harvest partnership and newly active plants (Beebop #29).</t>
        </is>
      </c>
      <c r="R143" s="179" t="inlineStr">
        <is>
          <t>ncchoices.com (live)</t>
        </is>
      </c>
      <c r="S143" s="68" t="inlineStr">
        <is>
          <t>High (Beebop 9-28; sites verified)</t>
        </is>
      </c>
      <c r="T143" s="68" t="inlineStr">
        <is>
          <t>Referral lane added 2026-09-28 from the Beebop plan — introductions and intel only.</t>
        </is>
      </c>
    </row>
    <row r="144" ht="58.6" customHeight="1" s="59">
      <c r="A144" s="138" t="inlineStr">
        <is>
          <t>NC Meat and Poultry Inspection Division</t>
        </is>
      </c>
      <c r="B144" s="68" t="inlineStr">
        <is>
          <t>Raleigh, NC</t>
        </is>
      </c>
      <c r="C144" s="68" t="inlineStr">
        <is>
          <t>Referral / network contact (not a plant)</t>
        </is>
      </c>
      <c r="D144" s="68" t="inlineStr">
        <is>
          <t>n/a</t>
        </is>
      </c>
      <c r="E144" s="88" t="inlineStr">
        <is>
          <t>YES · ~25 mi
(Pikeville: n/m)</t>
        </is>
      </c>
      <c r="F144" s="143" t="inlineStr">
        <is>
          <t>n/a</t>
        </is>
      </c>
      <c r="G144" s="68" t="inlineStr">
        <is>
          <t>n/a</t>
        </is>
      </c>
      <c r="H144" s="68" t="inlineStr">
        <is>
          <t>n/a (not a slaughter plant)</t>
        </is>
      </c>
      <c r="I144" s="25" t="inlineStr">
        <is>
          <t>n/a</t>
        </is>
      </c>
      <c r="J144" s="68" t="inlineStr">
        <is>
          <t>n/a</t>
        </is>
      </c>
      <c r="K144" s="68" t="inlineStr">
        <is>
          <t>n/a</t>
        </is>
      </c>
      <c r="L144" s="68" t="inlineStr">
        <is>
          <t>n/a</t>
        </is>
      </c>
      <c r="M144" s="68" t="inlineStr">
        <is>
          <t>n/a</t>
        </is>
      </c>
      <c r="N144" s="68" t="inlineStr">
        <is>
          <t>n/a</t>
        </is>
      </c>
      <c r="O144" s="68" t="inlineStr">
        <is>
          <t>919-707-3180 · 2 West Edenton Street, Raleigh, NC 27601</t>
        </is>
      </c>
      <c r="P144" s="145" t="inlineStr">
        <is>
          <t>REFERRAL</t>
        </is>
      </c>
      <c r="Q144" s="178" t="inlineStr">
        <is>
          <t>The state inspection division: confirms newly active or changed swine plants and the specimen-collection rules for our model (Beebop #30). Source of the 09-18 directory.</t>
        </is>
      </c>
      <c r="R144" s="179" t="inlineStr">
        <is>
          <t>ncagr.gov/divisions/meat-poultry-inspection</t>
        </is>
      </c>
      <c r="S144" s="68" t="inlineStr">
        <is>
          <t>High (Beebop 9-28; sites verified)</t>
        </is>
      </c>
      <c r="T144" s="68" t="inlineStr">
        <is>
          <t>Referral lane added 2026-09-28 from the Beebop plan — introductions and intel only.</t>
        </is>
      </c>
    </row>
    <row r="145" ht="139" customHeight="1" s="59">
      <c r="A145" s="138" t="inlineStr">
        <is>
          <t>Farmington Meat Processing, LLC</t>
        </is>
      </c>
      <c r="B145" s="68" t="inlineStr">
        <is>
          <t>Mocksville, NC (Davie Co.)</t>
        </is>
      </c>
      <c r="C145" s="68" t="inlineStr">
        <is>
          <t>NC state-inspected slaughter + processing</t>
        </is>
      </c>
      <c r="D145" s="68" t="inlineStr">
        <is>
          <t>unknown — NO public figure exists for NC state plants (NASS withholds NC hog totals; NCDA publishes none)
· inference by business type: multi-species custom / retail plant — typically 10-100 hogs/wk; call question 2 decides</t>
        </is>
      </c>
      <c r="E145" s="88" t="inlineStr">
        <is>
          <t>YES · ~103 mi
(91.7 radial; Pikeville: n/m)</t>
        </is>
      </c>
      <c r="F145" s="143" t="inlineStr">
        <is>
          <t>confirm
(state plant — no band)</t>
        </is>
      </c>
      <c r="G145" s="68" t="inlineStr">
        <is>
          <t>Calves, cattle, SWINE, sheep, goats
(NCDA species A,B,C,D,E)
(boar/stag: ask — the NCDA species code does not distinguish boars)</t>
        </is>
      </c>
      <c r="H145" s="68" t="inlineStr">
        <is>
          <t>STATE ✓ P-381
(NCDA&amp;CS directory 2026-09-18)</t>
        </is>
      </c>
      <c r="I145" s="25" t="inlineStr">
        <is>
          <t>n/a — state plant sits outside FSIS reporting (welfare = site-visit finding)</t>
        </is>
      </c>
      <c r="J145" s="68" t="inlineStr">
        <is>
          <t>Eligible — NC state inspection is the APHIS-accepted equivalent for our harvest path</t>
        </is>
      </c>
      <c r="K145" s="68" t="inlineStr">
        <is>
          <t>No record either way; small custom-model business; visit finding 5.0/5 on 20 reviews; 9,100 Facebook followers.</t>
        </is>
      </c>
      <c r="L145" s="68" t="inlineStr">
        <is>
          <t>unknown — call question 3</t>
        </is>
      </c>
      <c r="M145" s="68" t="inlineStr">
        <is>
          <t>possible — small floor, ~103 road mi from Durham (western lane)</t>
        </is>
      </c>
      <c r="N145" s="68" t="inlineStr">
        <is>
          <t>unknown</t>
        </is>
      </c>
      <c r="O145" s="68" t="inlineStr">
        <is>
          <t>CONTACT: (Davie county directory not retrievable — ask)
(336) 998-7092 · 135 Nikkis Way, Mocksville, NC 27028</t>
        </is>
      </c>
      <c r="P145" s="23" t="inlineStr">
        <is>
          <t>POSSIBLE</t>
        </is>
      </c>
      <c r="Q145" s="178" t="inlineStr">
        <is>
          <t>Beebop r2 ranks it #5: state P-381 slaughter with swine (NCDA 9-18) and Facebook/Instagram pig-processing descriptions that match the address and phone. Promoted from the state roll-up (row 74). A small custom-model business is not evidence of scale — a three-question call resolves it.</t>
        </is>
      </c>
      <c r="R145" s="179" t="inlineStr">
        <is>
          <t>facebook.com/FarmingtonMeat · instagram.com/farmington_meat_processing (Beebop r2)
facebook.com/FarmingtonMeat (9,125 likes) · instagram.com/farmington_meat_processing (1,207 followers) · Yelp · Nextdoor · 5.0/5 from 20 reviews (Chamber) (verified 2026-09-30)</t>
        </is>
      </c>
      <c r="S145" s="68" t="inlineStr">
        <is>
          <t>Medium (NCDA 9-18 + Beebop r2)</t>
        </is>
      </c>
      <c r="T145" s="68" t="inlineStr">
        <is>
          <t>Do not confuse with FSIS 'Farmington Meat Co. Inc.' M1993 — a processing-only entity. Added 2026-09-28 from the Beebop round-2 cross-check.
SOCIAL/OTHER 9-30: Retail store Wed-Fri 9-6, Sat 9-2 (kill days likely early week). Processes deer, cows, goats, pigs — DEER SEASON is a seasonal load. Active, well-liked business.</t>
        </is>
      </c>
    </row>
    <row r="146" ht="152.4" customHeight="1" s="59">
      <c r="A146" s="138" t="inlineStr">
        <is>
          <t>Easternview Farms LLC</t>
        </is>
      </c>
      <c r="B146" s="68" t="inlineStr">
        <is>
          <t>Drakes Branch, VA (Charlotte Co.)</t>
        </is>
      </c>
      <c r="C146" s="68" t="inlineStr">
        <is>
          <t>USDA-inspected (Virginia) — also custom + voluntary grants</t>
        </is>
      </c>
      <c r="D146" s="68" t="inlineStr">
        <is>
          <t>&lt;19/wk (FSIS cat 1)
· HACCP Very Small (&lt;10 employees or &lt;$2.5M sales)
· hog kill CAPPED by NASS 2025: Virginia's 16 federal plants killed 7,841 hogs in the WHOLE year (≈150/wk statewide) — the FSIS band counts ALL species</t>
        </is>
      </c>
      <c r="E146" s="88" t="inlineStr">
        <is>
          <t>YES · ~76 mi
(65.2 radial; Pikeville: n/m)</t>
        </is>
      </c>
      <c r="F146" s="139" t="inlineStr">
        <is>
          <t>0-300/wk (&lt;19)</t>
        </is>
      </c>
      <c r="G146" s="68" t="inlineStr">
        <is>
          <t>⚠ BOAR/STAG flagged (FSIS)
MARKET + SOW + boar/stag (FSIS flags); custom-exempt slaughter also = Yes</t>
        </is>
      </c>
      <c r="H146" s="68" t="inlineStr">
        <is>
          <t>USDA ✓ M1908 + V1908
grant 5/14/2024</t>
        </is>
      </c>
      <c r="I146" s="25" t="inlineStr">
        <is>
          <t>None found (grant under 2 years old)</t>
        </is>
      </c>
      <c r="J146" s="68" t="inlineStr">
        <is>
          <t>Eligible (federal grant — a VA STATE grant would not be)</t>
        </is>
      </c>
      <c r="K146" s="68" t="inlineStr">
        <is>
          <t>No record; farm-based operator; visit finding</t>
        </is>
      </c>
      <c r="L146" s="68" t="inlineStr">
        <is>
          <t>unknown — site advertises pork processing and animal sourcing</t>
        </is>
      </c>
      <c r="M146" s="68" t="inlineStr">
        <is>
          <t>pilot-scale only — cat-1 ceiling &lt;19 animals/wk, ALL species</t>
        </is>
      </c>
      <c r="N146" s="68" t="inlineStr">
        <is>
          <t>unlikely — too small to justify training</t>
        </is>
      </c>
      <c r="O146" s="68" t="inlineStr">
        <is>
          <t>CONTACT: (owners unnamed on site) · 434-208-8602
434-208-8602 · 1040 Deuprees Store Road, Drakes Branch, VA 23937</t>
        </is>
      </c>
      <c r="P146" s="140" t="inlineStr">
        <is>
          <t>WATCH</t>
        </is>
      </c>
      <c r="Q146" s="178" t="inlineStr">
        <is>
          <t>BOAR/STAG RULE 9-28: FSIS flags boar/stag slaughter at this plant — AVOID unless the call confirms boars/stags are never run with our hogs (gate G4). Beebop r2 ranks it #6: the closest Virginia plant to Durham (76 road mi) with its own site describing on-site slaughter and M1908. Verified in the FSIS pull: federal slaughter, cat 1, market + sow flags, plus a V (voluntary/non-amenable) grant — the research-species mechanism. Pilot scale; cheap call.</t>
        </is>
      </c>
      <c r="R146" s="179" t="inlineStr">
        <is>
          <t>easternviewfarmsllc.com (Beebop r2)
facebook.com/easternviewfarmsmeatprocessing (1,837 likes) · easternviewfarmsllc.com · Tripadvisor · Creatures directory (verified 2026-09-30)</t>
        </is>
      </c>
      <c r="S146" s="68" t="inlineStr">
        <is>
          <t>High (FSIS 9-03 + MPI)</t>
        </is>
      </c>
      <c r="T146" s="68" t="inlineStr">
        <is>
          <t>Not individually listed before — the southern-VA census (9-03) treated the cat-1 plants as a group. Added 2026-09-28.
SOCIAL/OTHER 9-30: Site: USDA grant Feb-2024 (FSIS shows 5/14/2024); processes beef, pork, deer, goat, sheep 'USDA or custom'; reviews positive on cuts, packaging, service.</t>
        </is>
      </c>
    </row>
    <row r="147" ht="152.4" customHeight="1" s="59">
      <c r="A147" s="138" t="inlineStr">
        <is>
          <t>The Butcher's Block</t>
        </is>
      </c>
      <c r="B147" s="68" t="inlineStr">
        <is>
          <t>Dry Fork, VA (Pittsylvania Co.)</t>
        </is>
      </c>
      <c r="C147" s="68" t="inlineStr">
        <is>
          <t>USDA-inspected (Virginia) — also custom-exempt work</t>
        </is>
      </c>
      <c r="D147" s="68" t="inlineStr">
        <is>
          <t>&lt;19/wk (FSIS cat 1)
· HACCP Very Small (&lt;10 employees or &lt;$2.5M sales)
· hog kill CAPPED by NASS 2025: Virginia's 16 federal plants killed 7,841 hogs in the WHOLE year (≈150/wk statewide) — the FSIS band counts ALL species</t>
        </is>
      </c>
      <c r="E147" s="88" t="inlineStr">
        <is>
          <t>YES · ~74 mi
(60.5 radial; Pikeville: n/m)</t>
        </is>
      </c>
      <c r="F147" s="139" t="inlineStr">
        <is>
          <t>0-300/wk (&lt;19)</t>
        </is>
      </c>
      <c r="G147" s="68" t="inlineStr">
        <is>
          <t>⚠ BOAR/STAG flagged (FSIS)
MARKET + SOW + ROASTER + boar/stag (all four FSIS classes); custom-exempt also = Yes</t>
        </is>
      </c>
      <c r="H147" s="68" t="inlineStr">
        <is>
          <t>USDA ✓ M763
grant 2/13/2024</t>
        </is>
      </c>
      <c r="I147" s="25" t="inlineStr">
        <is>
          <t>None found (grant under 2 years old)</t>
        </is>
      </c>
      <c r="J147" s="68" t="inlineStr">
        <is>
          <t>Eligible (federal grant)</t>
        </is>
      </c>
      <c r="K147" s="68" t="inlineStr">
        <is>
          <t>No record; visit finding</t>
        </is>
      </c>
      <c r="L147" s="68" t="inlineStr">
        <is>
          <t>unknown</t>
        </is>
      </c>
      <c r="M147" s="68" t="inlineStr">
        <is>
          <t>pilot-scale only — cat 1</t>
        </is>
      </c>
      <c r="N147" s="68" t="inlineStr">
        <is>
          <t>unlikely — too small</t>
        </is>
      </c>
      <c r="O147" s="68" t="inlineStr">
        <is>
          <t>CONTACT: Andy and Samantha Thomas (owners) · 434-432-2345
434-432-2345 · 4655 Dry Fork Road, Dry Fork, VA 24549</t>
        </is>
      </c>
      <c r="P147" s="140" t="inlineStr">
        <is>
          <t>WATCH</t>
        </is>
      </c>
      <c r="Q147" s="178" t="inlineStr">
        <is>
          <t>BOAR/STAG RULE 9-28: FSIS flags boar/stag slaughter at this plant — AVOID unless the call confirms boars/stags are never run with our hogs (gate G4). Beebop r2 lead: 74 road miles from Durham with all four hog classes flagged in the FSIS pull — but cat 1 (&lt;19 animals/week). Namesake shops elsewhere are different businesses. A one-call scale check.</t>
        </is>
      </c>
      <c r="R147" s="179" t="inlineStr">
        <is>
          <t>facebook.com/p/The-Butchers-Block-100057234168268 (Beebop r2)
facebook.com/p/The-Butchers-Block (3,282 followers) · 4.7/5 from 26 reviews · BBB · butchersblockva.com · Farmshare processor listing (verified 2026-09-30)</t>
        </is>
      </c>
      <c r="S147" s="68" t="inlineStr">
        <is>
          <t>High (FSIS 9-03 + MPI)</t>
        </is>
      </c>
      <c r="T147" s="68" t="inlineStr">
        <is>
          <t>Added 2026-09-28 from the Beebop round-2 cross-check; FSIS MPI grant date 2/13/2024.
SOCIAL/OTHER 9-30: Family-owned; 'extremely nice and friendly', 'second to none' service; a Facebook post marks the USDA-inspection milestone ('a process in the making').</t>
        </is>
      </c>
    </row>
    <row r="148" ht="152.4" customHeight="1" s="59">
      <c r="A148" s="138" t="inlineStr">
        <is>
          <t>KC Farms Meats, LLC</t>
        </is>
      </c>
      <c r="B148" s="68" t="inlineStr">
        <is>
          <t>Ferrum, VA (Franklin Co.)</t>
        </is>
      </c>
      <c r="C148" s="68" t="inlineStr">
        <is>
          <t>USDA-inspected on-farm (Virginia) — also custom-exempt work</t>
        </is>
      </c>
      <c r="D148" s="68" t="inlineStr">
        <is>
          <t>&lt;19/wk (FSIS cat 1)
· HACCP Very Small (&lt;10 employees or &lt;$2.5M sales)
· hog kill CAPPED by NASS 2025: Virginia's 16 federal plants killed 7,841 hogs in the WHOLE year (≈150/wk statewide) — the FSIS band counts ALL species</t>
        </is>
      </c>
      <c r="E148" s="88" t="inlineStr">
        <is>
          <t>YES · ~117 mi (borderline)
(90.8 radial; Pikeville: n/m)</t>
        </is>
      </c>
      <c r="F148" s="139" t="inlineStr">
        <is>
          <t>0-300/wk (&lt;19)</t>
        </is>
      </c>
      <c r="G148" s="68" t="inlineStr">
        <is>
          <t>MARKET + SOW flags (FSIS); own site markets beef</t>
        </is>
      </c>
      <c r="H148" s="68" t="inlineStr">
        <is>
          <t>USDA ✓ M1502
grant 2/13/2024</t>
        </is>
      </c>
      <c r="I148" s="25" t="inlineStr">
        <is>
          <t>None found (grant under 2 years old)</t>
        </is>
      </c>
      <c r="J148" s="68" t="inlineStr">
        <is>
          <t>Eligible (federal grant)</t>
        </is>
      </c>
      <c r="K148" s="68" t="inlineStr">
        <is>
          <t>No record; visit finding</t>
        </is>
      </c>
      <c r="L148" s="68" t="inlineStr">
        <is>
          <t>unknown — beef-first marketing</t>
        </is>
      </c>
      <c r="M148" s="68" t="inlineStr">
        <is>
          <t>pilot-scale only — cat 1; 117 road mi</t>
        </is>
      </c>
      <c r="N148" s="68" t="inlineStr">
        <is>
          <t>no</t>
        </is>
      </c>
      <c r="O148" s="68" t="inlineStr">
        <is>
          <t>540-365-2697 · 13963 Franklin Street, Ferrum, VA 24088</t>
        </is>
      </c>
      <c r="P148" s="140" t="inlineStr">
        <is>
          <t>WATCH</t>
        </is>
      </c>
      <c r="Q148" s="178" t="inlineStr">
        <is>
          <t>Beebop r2 low-priority lead: FSIS flags market + sow swine, but the company site emphasizes beef and the plant is cat 1 at 117 road miles. Only a one-question call (do you kill hogs at all).</t>
        </is>
      </c>
      <c r="R148" s="179" t="inlineStr">
        <is>
          <t>kcfarmsva.com/kc-farms-meats (Beebop r2)</t>
        </is>
      </c>
      <c r="S148" s="68" t="inlineStr">
        <is>
          <t>High (FSIS 9-03 + MPI)</t>
        </is>
      </c>
      <c r="T148" s="68" t="inlineStr">
        <is>
          <t>Added 2026-09-28 from the Beebop round-2 cross-check.</t>
        </is>
      </c>
    </row>
  </sheetData>
  <autoFilter ref="A4:T4"/>
  <mergeCells count="22">
    <mergeCell ref="A40:T40"/>
    <mergeCell ref="A24:T24"/>
    <mergeCell ref="A1:T1"/>
    <mergeCell ref="A103:T103"/>
    <mergeCell ref="A61:T61"/>
    <mergeCell ref="A78:T78"/>
    <mergeCell ref="A87:T87"/>
    <mergeCell ref="A128:T128"/>
    <mergeCell ref="A90:T90"/>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W27"/>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2" t="n"/>
    </row>
    <row r="2" ht="31.8" customHeight="1" s="59">
      <c r="A2" s="180" t="inlineStr">
        <is>
          <t>Codes, scoring definitions and weights: see the INSTRUCTIONS tab (sections 5-6). Yellow weight cells below are editable; scores recompute on open. 2026-09-28: PROX measured from the DURHAM origin, ANAT against the 140-220 lb target and CAPPED AT 2 where FSIS flags boar/stag slaughter (client rule: no mixing) — Piedmont, Flowers and EcoFriendly moved down on that rule; column W shows Beebop's v2.1 call rank (set before the rule).</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58.6"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(v2.1, 9-28)</t>
        </is>
      </c>
    </row>
    <row r="6" ht="219.4" customHeight="1" s="59">
      <c r="A6" s="153" t="inlineStr">
        <is>
          <t>Larry's Sausage Co.
Fayetteville, NC</t>
        </is>
      </c>
      <c r="B6" s="154" t="inlineStr">
        <is>
          <t>USDA ✓ M8305 (T-A)</t>
        </is>
      </c>
      <c r="C6" s="185" t="inlineStr">
        <is>
          <t>NC-East</t>
        </is>
      </c>
      <c r="D6" s="185" t="inlineStr">
        <is>
          <t>87 (Durham)
65 (Pikeville)</t>
        </is>
      </c>
      <c r="E6" s="154" t="inlineStr">
        <is>
          <t>SOW only — mature anatomy;
gated by the anatomical-spec decision</t>
        </is>
      </c>
      <c r="F6" s="154" t="inlineStr">
        <is>
          <t>19-194/wk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1</v>
      </c>
      <c r="O6" s="185" t="n">
        <v>3</v>
      </c>
      <c r="P6" s="185" t="n">
        <v>5</v>
      </c>
      <c r="Q6" s="185" t="n">
        <v>5</v>
      </c>
      <c r="R6" s="185" t="n">
        <v>5</v>
      </c>
      <c r="S6" s="162">
        <f>ROUND(SUMPRODUCT($K$3:$R$3,K6:R6),1)</f>
        <v/>
      </c>
      <c r="T6" s="162">
        <f>ROUND(SUMPRODUCT($K$4:$R$4,K6:R6),1)</f>
        <v/>
      </c>
      <c r="U6" s="187" t="inlineStr">
        <is>
          <t>2</t>
        </is>
      </c>
      <c r="V6"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6" s="198" t="inlineStr">
        <is>
          <t>— (sow)</t>
        </is>
      </c>
    </row>
    <row r="7" ht="152.4" customHeight="1" s="59">
      <c r="A7" s="153" t="inlineStr">
        <is>
          <t>McLamb's Abattoir &amp; Meats
Benson, NC</t>
        </is>
      </c>
      <c r="B7" s="154" t="inlineStr">
        <is>
          <t>STATE ✓ P-247 (NC)</t>
        </is>
      </c>
      <c r="C7" s="185" t="inlineStr">
        <is>
          <t>NC-East</t>
        </is>
      </c>
      <c r="D7" s="185" t="inlineStr">
        <is>
          <t>58 (Durham)
37 (Pikeville)</t>
        </is>
      </c>
      <c r="E7" s="154" t="inlineStr">
        <is>
          <t>Multi-species incl. hogs
(state species A,B,C,D,E) — boar/stag: ASK (state code does not distinguish)</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5</v>
      </c>
      <c r="S7" s="162">
        <f>ROUND(SUMPRODUCT($K$3:$R$3,K7:R7),1)</f>
        <v/>
      </c>
      <c r="T7" s="162">
        <f>ROUND(SUMPRODUCT($K$4:$R$4,K7:R7),1)</f>
        <v/>
      </c>
      <c r="U7" s="186" t="inlineStr">
        <is>
          <t>1</t>
        </is>
      </c>
      <c r="V7" s="154" t="inlineStr">
        <is>
          <t>9-30 SOCIAL: under Lee-family ownership since ~2018 (Shane Lee is the name to ask for); retail market added 2022 — a growing, young operation. RELN 4 → 5. 9-28: Beebop's #2; confirm the contracting entity (Lee's Fresh Market shares address/phone). 58 road mi from Durham.
Top unworked NC state plant: the Nahunta playbook 58 road miles from Durham (37 from the old anchor). Operator Shane Lee. One call closes the volume unknown. (919) 894-2587.</t>
        </is>
      </c>
      <c r="W7" s="198" t="n">
        <v>2</v>
      </c>
    </row>
    <row r="8" ht="58.6" customHeight="1" s="59">
      <c r="A8" s="153" t="inlineStr">
        <is>
          <t>Gale McLamb Meats
Dunn, NC</t>
        </is>
      </c>
      <c r="B8" s="154" t="inlineStr">
        <is>
          <t>STATE ✓ P-221 (NC)</t>
        </is>
      </c>
      <c r="C8" s="185" t="inlineStr">
        <is>
          <t>NC-East</t>
        </is>
      </c>
      <c r="D8" s="185" t="inlineStr">
        <is>
          <t>60 (Durham)
44 (Pikeville)</t>
        </is>
      </c>
      <c r="E8" s="154" t="inlineStr">
        <is>
          <t>Cattle + hogs
(state species A,B,C) — boar/stag: ASK (state code does not distinguish)</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c r="W8" s="198" t="n">
        <v>3</v>
      </c>
    </row>
    <row r="9" ht="250" customHeight="1" s="59">
      <c r="A9" s="153" t="inlineStr">
        <is>
          <t>Piedmont Custom Meats
Gibsonville, NC</t>
        </is>
      </c>
      <c r="B9" s="154" t="inlineStr">
        <is>
          <t>USDA ✓ M7975 (T-A)</t>
        </is>
      </c>
      <c r="C9" s="185" t="inlineStr">
        <is>
          <t>NC-West</t>
        </is>
      </c>
      <c r="D9" s="185" t="inlineStr">
        <is>
          <t>48 (Durham)
116 (Pikeville)</t>
        </is>
      </c>
      <c r="E9" s="154" t="inlineStr">
        <is>
          <t>⚠ BOAR/STAG flagged — ALL FOUR hog classes —
only NC plant so flagged</t>
        </is>
      </c>
      <c r="F9" s="154" t="inlineStr">
        <is>
          <t>19-194/wk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5</v>
      </c>
      <c r="L9" s="185" t="n">
        <v>5</v>
      </c>
      <c r="M9" s="185" t="n">
        <v>4</v>
      </c>
      <c r="N9" s="185" t="n">
        <v>2</v>
      </c>
      <c r="O9" s="185" t="n">
        <v>3</v>
      </c>
      <c r="P9" s="185" t="n">
        <v>5</v>
      </c>
      <c r="Q9" s="185" t="n">
        <v>5</v>
      </c>
      <c r="R9" s="185" t="n">
        <v>3</v>
      </c>
      <c r="S9" s="162">
        <f>ROUND(SUMPRODUCT($K$3:$R$3,K9:R9),1)</f>
        <v/>
      </c>
      <c r="T9" s="162">
        <f>ROUND(SUMPRODUCT($K$4:$R$4,K9:R9),1)</f>
        <v/>
      </c>
      <c r="U9" s="187" t="inlineStr">
        <is>
          <t>2</t>
        </is>
      </c>
      <c r="V9" s="154" t="inlineStr">
        <is>
          <t>9-30 SOCIAL: customer rating middling (3.3/5, 38 reviews); a former kill-floor worker's 'demand higher pay' and supply complaints at the Asheboro site — a culture question for the visit, not a gate. 9-28 BOAR/STAG RULE: FSIS flags boar/stag slaughter here — the client will not mix boars with our hogs. ANAT capped at 2 (was 5); tier 2. GATE on the call: are boars / stags ever run with market hogs, or only on separate days? If never with ours, this can revert. 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(~194/wk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c r="W9" s="198" t="n">
        <v>1</v>
      </c>
    </row>
    <row r="10" ht="179.2" customHeight="1" s="59">
      <c r="A10" s="153" t="inlineStr">
        <is>
          <t>Flowers Slaughter House
Sims, NC</t>
        </is>
      </c>
      <c r="B10" s="154" t="inlineStr">
        <is>
          <t>USDA ✓ M21747</t>
        </is>
      </c>
      <c r="C10" s="185" t="inlineStr">
        <is>
          <t>NC-East</t>
        </is>
      </c>
      <c r="D10" s="185" t="inlineStr">
        <is>
          <t>63 (Durham)
45 (Pikeville)</t>
        </is>
      </c>
      <c r="E10" s="154" t="inlineStr">
        <is>
          <t>⚠ BOAR/STAG flagged — Market + BOAR/STAG
(largest male anatomy in region)</t>
        </is>
      </c>
      <c r="F10" s="154" t="inlineStr">
        <is>
          <t>19-194/wk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4</v>
      </c>
      <c r="L10" s="185" t="n">
        <v>4</v>
      </c>
      <c r="M10" s="185" t="n">
        <v>3</v>
      </c>
      <c r="N10" s="185" t="n">
        <v>2</v>
      </c>
      <c r="O10" s="185" t="n">
        <v>3</v>
      </c>
      <c r="P10" s="185" t="n">
        <v>4</v>
      </c>
      <c r="Q10" s="185" t="n">
        <v>5</v>
      </c>
      <c r="R10" s="185" t="n">
        <v>4</v>
      </c>
      <c r="S10" s="162">
        <f>ROUND(SUMPRODUCT($K$3:$R$3,K10:R10),1)</f>
        <v/>
      </c>
      <c r="T10" s="162">
        <f>ROUND(SUMPRODUCT($K$4:$R$4,K10:R10),1)</f>
        <v/>
      </c>
      <c r="U10" s="187" t="inlineStr">
        <is>
          <t>2</t>
        </is>
      </c>
      <c r="V10" s="154" t="inlineStr">
        <is>
          <t>9-30 SOCIAL: contacts Alan Sharp / Tim Boswell; legal entity Flowers Beef Slaughter LLC; 6,500-follower page, reviews good. 9-28 BOAR/STAG RULE: FSIS flags boar/stag slaughter here — the client will not mix boars with our hogs. ANAT capped at 2 (was 4); tier 2. GATE on the call: are boars / stags ever run with market hogs, or only on separate days? If never with ours, this can revert. Cluster play, not a standalone lane: redundancy for Sims + the region's only boar/stag access. Contacts Alan Sharp / Tim Boswell, (252) 237-2982.</t>
        </is>
      </c>
      <c r="W10" s="199" t="n">
        <v>5</v>
      </c>
    </row>
    <row r="11" ht="98.8" customHeight="1" s="59">
      <c r="A11" s="153" t="inlineStr">
        <is>
          <t>Acre Station Meat Farm
Pinetown, NC</t>
        </is>
      </c>
      <c r="B11" s="154" t="inlineStr">
        <is>
          <t>USDA ✓ M19904 (T-A)</t>
        </is>
      </c>
      <c r="C11" s="185" t="inlineStr">
        <is>
          <t>NC-East</t>
        </is>
      </c>
      <c r="D11" s="185" t="inlineStr">
        <is>
          <t>143 (Durham)
88 (Pikeville)</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2</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9-30 SOCIAL: contact Richard Huettmann; the plant BUYS its own hogs — organ ownership is not a farmer-consent problem here. Quality/relationship add at Nahunta-like culture; hogs share the week with cattle/sheep/goats, and it is the farthest eastern option (~2 hr). (252) 927-3700.</t>
        </is>
      </c>
      <c r="W11" s="199" t="inlineStr">
        <is>
          <t>—</t>
        </is>
      </c>
    </row>
    <row r="12" ht="165.8" customHeight="1" s="59">
      <c r="A12" s="153" t="inlineStr">
        <is>
          <t>Bass Farms (Bass Farm Sausage)
Spring Hope, NC</t>
        </is>
      </c>
      <c r="B12" s="154" t="inlineStr">
        <is>
          <t>USDA ✓ M3521 (T-A)
grant 2/17/2026 — newest in NC</t>
        </is>
      </c>
      <c r="C12" s="185" t="inlineStr">
        <is>
          <t>NC-North</t>
        </is>
      </c>
      <c r="D12" s="185" t="inlineStr">
        <is>
          <t>61 (Durham)
40 (Pikeville)</t>
        </is>
      </c>
      <c r="E12" s="154" t="inlineStr">
        <is>
          <t>SOW only — mature anatomy</t>
        </is>
      </c>
      <c r="F12" s="154" t="inlineStr">
        <is>
          <t>19-194/wk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4</v>
      </c>
      <c r="L12" s="185" t="n">
        <v>2</v>
      </c>
      <c r="M12" s="185" t="n">
        <v>3</v>
      </c>
      <c r="N12" s="185" t="n">
        <v>1</v>
      </c>
      <c r="O12" s="185" t="n">
        <v>2</v>
      </c>
      <c r="P12" s="185" t="n">
        <v>4</v>
      </c>
      <c r="Q12" s="185" t="n">
        <v>5</v>
      </c>
      <c r="R12" s="185" t="n">
        <v>4</v>
      </c>
      <c r="S12" s="162">
        <f>ROUND(SUMPRODUCT($K$3:$R$3,K12:R12),1)</f>
        <v/>
      </c>
      <c r="T12" s="162">
        <f>ROUND(SUMPRODUCT($K$4:$R$4,K12:R12),1)</f>
        <v/>
      </c>
      <c r="U12" s="188" t="inlineStr">
        <is>
          <t>3</t>
        </is>
      </c>
      <c r="V12" s="154" t="inlineStr">
        <is>
          <t>9-28 UPDATE: Tier 2 → 3. Sow-only against the 140-220 lb target (ANAT 3 → 1). Its FSIS band rise (cat 1 → 2) still marks a growing plant 61 mi from Durham — park, don't drop.
★ UPGRADED AGAIN 2026-09-03: FSIS now shows slaughter volume category 2 (19-194 sows/wk) — up from category 1 three weeks ago; the $2.2M expansion is showing up in USDA's own data. Still a mature-anatomy add-on rather than a lane, but a GROWING one, 20-40 min from Sims. President Kenneth Edwards. (252) 478-4147.</t>
        </is>
      </c>
      <c r="W12" s="199" t="inlineStr">
        <is>
          <t>— (sow)</t>
        </is>
      </c>
    </row>
    <row r="13" ht="232.8" customHeight="1" s="59">
      <c r="A13" s="153" t="inlineStr">
        <is>
          <t>Williamsburg Packing Co.
Kingstree, SC</t>
        </is>
      </c>
      <c r="B13" s="154" t="inlineStr">
        <is>
          <t>USDA ✓ M4005 + P4005 + V4005</t>
        </is>
      </c>
      <c r="C13" s="185" t="inlineStr">
        <is>
          <t>SC</t>
        </is>
      </c>
      <c r="D13" s="185" t="inlineStr">
        <is>
          <t>213 (Durham)
190 (Pikeville)</t>
        </is>
      </c>
      <c r="E13" s="154" t="inlineStr">
        <is>
          <t>⚠ BOAR/STAG flagged — ALL FOUR hog classes
(market + sow + roaster + boar/stag —
fresh FSIS flags 2026-09-03)</t>
        </is>
      </c>
      <c r="F13" s="154" t="inlineStr">
        <is>
          <t>cat 3 is ALL SPECIES (poultry + cattle) — NASS caps all of SC at 14,070 hogs/yr; likely 50-200/wk</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2</v>
      </c>
      <c r="O13" s="185" t="n">
        <v>2</v>
      </c>
      <c r="P13" s="185" t="n">
        <v>4</v>
      </c>
      <c r="Q13" s="185" t="n">
        <v>5</v>
      </c>
      <c r="R13" s="185" t="n">
        <v>2</v>
      </c>
      <c r="S13" s="162">
        <f>ROUND(SUMPRODUCT($K$3:$R$3,K13:R13),1)</f>
        <v/>
      </c>
      <c r="T13" s="162">
        <f>ROUND(SUMPRODUCT($K$4:$R$4,K13:R13),1)</f>
        <v/>
      </c>
      <c r="U13" s="188" t="inlineStr">
        <is>
          <t>3</t>
        </is>
      </c>
      <c r="V13" s="154" t="inlineStr">
        <is>
          <t>9-30 SOCIAL: half-day hours (7:30-noon) — consistent with a small hog count. 9-28 BOAR/STAG RULE: FSIS flags boar/stag slaughter here — the client will not mix boars with our hogs. ANAT capped at 2 (was 4); tier 3. GATE on the call: are boars / stags ever run with market hogs, or only on separate days? If never with ours, this can revert. 9-28 VOLUME: Tier 2 → 3. NASS 2025: South Carolina's 8 federal plants killed 14,070 hogs all year — the 'only non-incumbent cat-3' was an all-species artifact. ONE call decides it: actual hogs/week (the cat-3 band is a multi-species aggregate, so the hog number could disappoint). If the hog share is real, this is the only outside-the-base volume play in reach — as Model B-T. (843) 355-6447.</t>
        </is>
      </c>
      <c r="W13" s="199" t="inlineStr">
        <is>
          <t>—</t>
        </is>
      </c>
    </row>
    <row r="14" ht="206" customHeight="1" s="59">
      <c r="A14" s="153" t="inlineStr">
        <is>
          <t>Contentnea Farms
Walstonburg, NC</t>
        </is>
      </c>
      <c r="B14" s="154" t="inlineStr">
        <is>
          <t>USDA ✓ M2583 (T-A)
grant 10/29/2025</t>
        </is>
      </c>
      <c r="C14" s="185" t="inlineStr">
        <is>
          <t>NC-East</t>
        </is>
      </c>
      <c r="D14" s="185" t="inlineStr">
        <is>
          <t>90 (Durham)
35 (Pikeville)</t>
        </is>
      </c>
      <c r="E14" s="154" t="inlineStr">
        <is>
          <t>⚠ BOAR/STAG flagged — 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4</v>
      </c>
      <c r="L14" s="185" t="n">
        <v>2</v>
      </c>
      <c r="M14" s="185" t="n">
        <v>3</v>
      </c>
      <c r="N14" s="185" t="n">
        <v>2</v>
      </c>
      <c r="O14" s="185" t="n">
        <v>1</v>
      </c>
      <c r="P14" s="185" t="n">
        <v>4</v>
      </c>
      <c r="Q14" s="185" t="n">
        <v>5</v>
      </c>
      <c r="R14" s="185" t="n">
        <v>3</v>
      </c>
      <c r="S14" s="162">
        <f>ROUND(SUMPRODUCT($K$3:$R$3,K14:R14),1)</f>
        <v/>
      </c>
      <c r="T14" s="162">
        <f>ROUND(SUMPRODUCT($K$4:$R$4,K14:R14),1)</f>
        <v/>
      </c>
      <c r="U14" s="188" t="inlineStr">
        <is>
          <t>3</t>
        </is>
      </c>
      <c r="V14" s="154" t="inlineStr">
        <is>
          <t>9-30 SOCIAL: 9,900 followers, 5.0/5 on 49 reviews; also processes deer and bears (seasonal). 9-28 BOAR/STAG RULE: FSIS flags boar/stag slaughter here — the client will not mix boars with our hogs. ANAT capped at 2 (was 4); tier 3. GATE on the call: are boars / stags ever run with market hogs, or only on separate days? If never with ours, this can revert. 9-28: Beebop ranks it #4 (active booking site, TA-2583) — but its FSIS band is cat 1 (&lt;19/wk): a cheap call, pilot-scale at best. Tier unchanged.
35 mi from Pikeville but 90 from Durham, and &lt;19/wk: overflow/pilot for odd-lot sow or boar needs only. (252) 717-9229.</t>
        </is>
      </c>
      <c r="W14" s="200" t="n">
        <v>10</v>
      </c>
    </row>
    <row r="15" ht="232.8" customHeight="1" s="59">
      <c r="A15" s="153" t="inlineStr">
        <is>
          <t>Select Meats
Kannapolis, NC</t>
        </is>
      </c>
      <c r="B15" s="154" t="inlineStr">
        <is>
          <t>USDA ✓ M10757 (T-A)</t>
        </is>
      </c>
      <c r="C15" s="185" t="inlineStr">
        <is>
          <t>NC-West</t>
        </is>
      </c>
      <c r="D15" s="185" t="inlineStr">
        <is>
          <t>114 (Durham)
190 (Pikeville)</t>
        </is>
      </c>
      <c r="E15" s="154" t="inlineStr">
        <is>
          <t>MARKET only</t>
        </is>
      </c>
      <c r="F15" s="154" t="inlineStr">
        <is>
          <t>19-194/wk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4</v>
      </c>
      <c r="L15" s="185" t="n">
        <v>3</v>
      </c>
      <c r="M15" s="185" t="n">
        <v>2</v>
      </c>
      <c r="N15" s="185" t="n">
        <v>5</v>
      </c>
      <c r="O15" s="185" t="n">
        <v>3</v>
      </c>
      <c r="P15" s="185" t="n">
        <v>4</v>
      </c>
      <c r="Q15" s="185" t="n">
        <v>5</v>
      </c>
      <c r="R15" s="185" t="n">
        <v>2</v>
      </c>
      <c r="S15" s="162">
        <f>ROUND(SUMPRODUCT($K$3:$R$3,K15:R15),1)</f>
        <v/>
      </c>
      <c r="T15" s="162">
        <f>ROUND(SUMPRODUCT($K$4:$R$4,K15:R15),1)</f>
        <v/>
      </c>
      <c r="U15" s="186" t="inlineStr">
        <is>
          <t>1</t>
        </is>
      </c>
      <c r="V15" s="154" t="inlineStr">
        <is>
          <t>9-30 SOCIAL: contact Gerald Wood; ~4 employees per business listings (volume: tens/wk); animal-protection directory shows no allegations. 9-28 BOAR/STAG RULE: Tier 2 → 1. The cleanest class profile in reach — FSIS flags MARKET hogs only (no sow, no roaster, no boar/stag), federal, cat 2, ~115 road mi from Durham. One call resolves volume. 9-28 UPDATE: Tier 3 → 2. From the Durham origin it is ~115 road miles — INSIDE the radius (it was ~190 from Pikeville). Market-only, cat 2, one call resolves it; Beebop ranks it #17 with the same boundary caveat.
The western sleeper — one phone call resolves it, at 115 road mi from Durham it is inside the radius (190 from Pikeville) to matter. (704) 202-9340 / (704) 933-7550.</t>
        </is>
      </c>
      <c r="W15" s="200" t="n">
        <v>6</v>
      </c>
    </row>
    <row r="16" ht="139" customHeight="1" s="59">
      <c r="A16" s="153" t="inlineStr">
        <is>
          <t>Wilkes Abattoir (Apple Brandy)
N. Wilkesboro, NC</t>
        </is>
      </c>
      <c r="B16" s="154" t="inlineStr">
        <is>
          <t>USDA ✓ M19511 (T-A)</t>
        </is>
      </c>
      <c r="C16" s="185" t="inlineStr">
        <is>
          <t>NC-West</t>
        </is>
      </c>
      <c r="D16" s="185" t="inlineStr">
        <is>
          <t>134 (Durham)
209 (Pikeville)</t>
        </is>
      </c>
      <c r="E16" s="154" t="inlineStr">
        <is>
          <t>⚠ BOAR/STAG flagged — 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2</v>
      </c>
      <c r="L16" s="185" t="n">
        <v>4</v>
      </c>
      <c r="M16" s="185" t="n">
        <v>4</v>
      </c>
      <c r="N16" s="185" t="n">
        <v>2</v>
      </c>
      <c r="O16" s="185" t="n">
        <v>3</v>
      </c>
      <c r="P16" s="185" t="n">
        <v>3</v>
      </c>
      <c r="Q16" s="185" t="n">
        <v>5</v>
      </c>
      <c r="R16" s="185" t="n">
        <v>3</v>
      </c>
      <c r="S16" s="162">
        <f>ROUND(SUMPRODUCT($K$3:$R$3,K16:R16),1)</f>
        <v/>
      </c>
      <c r="T16" s="162">
        <f>ROUND(SUMPRODUCT($K$4:$R$4,K16:R16),1)</f>
        <v/>
      </c>
      <c r="U16" s="188" t="inlineStr">
        <is>
          <t>3</t>
        </is>
      </c>
      <c r="V16" s="154" t="inlineStr">
        <is>
          <t>9-30 SOCIAL: owner Seth Church. 9-28 BOAR/STAG RULE: FSIS flags boar/stag slaughter here — the client will not mix boars with our hogs. ANAT capped at 2 (was 4); tier 3. GATE on the call: are boars / stags ever run with market hogs, or only on separate days? If never with ours, this can revert. Highest confirmed hog share in the west (~half the kill) — but 134 road mi from Durham (209 from Pikeville). Model B-T only. (336) 667-1346.</t>
        </is>
      </c>
      <c r="W16" s="200" t="inlineStr">
        <is>
          <t>—</t>
        </is>
      </c>
    </row>
    <row r="17" ht="112.2" customHeight="1" s="59">
      <c r="A17" s="153" t="inlineStr">
        <is>
          <t>Western state trio: Caldwell P-312 ·
Price's P-307 · McLaughlin's P-85</t>
        </is>
      </c>
      <c r="B17" s="154" t="inlineStr">
        <is>
          <t>STATE ✓ (NC)
Maiden / Hickory / Mooresville</t>
        </is>
      </c>
      <c r="C17" s="185" t="inlineStr">
        <is>
          <t>NC-West</t>
        </is>
      </c>
      <c r="D17" s="185" t="inlineStr">
        <is>
          <t>152 (Durham)
201-227 (Pikeville)</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2</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9-30 SOCIAL: McLaughlin's announced a new 'captain' in 2026 (ask who runs it; hog-only confirmed); Caldwell's reviews cite forgotten items incl. organ meats never made right — a B-T discipline caution; Price's contact Lee Kong. A future 'western mini-Nahunta' — park until a western crew or B-T supervision loop is justified; then visit Caldwell first.</t>
        </is>
      </c>
      <c r="W17" s="200" t="inlineStr">
        <is>
          <t>—</t>
        </is>
      </c>
    </row>
    <row r="18" ht="98.8" customHeight="1" s="59">
      <c r="A18" s="153" t="inlineStr">
        <is>
          <t>Key Packing Co.
Robbins, NC</t>
        </is>
      </c>
      <c r="B18" s="154" t="inlineStr">
        <is>
          <t>STATE ✓ P-48 (NC)</t>
        </is>
      </c>
      <c r="C18" s="185" t="inlineStr">
        <is>
          <t>NC-Central</t>
        </is>
      </c>
      <c r="D18" s="185" t="inlineStr">
        <is>
          <t>70 (Durham)
116 (Pikeville)</t>
        </is>
      </c>
      <c r="E18" s="154" t="inlineStr">
        <is>
          <t>Multi-species incl. hogs
(A,B,C,D,E) — boar/stag: ASK (state code does not distinguish)</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9-30 SOCIAL: contacts Gilbert and Elizabeth Key; 4.8/5 on 84 reviews, 100% on Facebook — the best-reviewed plant in the set. 70 road mi from Durham (116 from Pikeville); the best-reviewed plant in the set (4.8/5 on 84 reviews); behind the I-95 pair on every axis. (910) 464-3507.</t>
        </is>
      </c>
      <c r="W18" s="200" t="n">
        <v>7</v>
      </c>
    </row>
    <row r="19" ht="112.2" customHeight="1" s="59">
      <c r="A19" s="153" t="inlineStr">
        <is>
          <t>Hemingway Locker Plant
Hemingway, SC</t>
        </is>
      </c>
      <c r="B19" s="154" t="inlineStr">
        <is>
          <t>USDA ✓ M34181</t>
        </is>
      </c>
      <c r="C19" s="185" t="inlineStr">
        <is>
          <t>SC</t>
        </is>
      </c>
      <c r="D19" s="185" t="inlineStr">
        <is>
          <t>201 (Durham)
180 (Pikeville)</t>
        </is>
      </c>
      <c r="E19" s="154" t="inlineStr">
        <is>
          <t>MARKET hogs</t>
        </is>
      </c>
      <c r="F19" s="154" t="inlineStr">
        <is>
          <t>cat 2 (19-194/wk all species); SC statewide 14,070 hogs/yr across 8 plants (NASS 2025)</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2</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c r="W19" s="200" t="inlineStr">
        <is>
          <t>—</t>
        </is>
      </c>
    </row>
    <row r="20" ht="45.2" customHeight="1" s="59">
      <c r="A20" s="153" t="inlineStr">
        <is>
          <t>SCR International
Fairmont, NC</t>
        </is>
      </c>
      <c r="B20" s="154" t="inlineStr">
        <is>
          <t>USDA ✓ M9199 (T-A)</t>
        </is>
      </c>
      <c r="C20" s="185" t="inlineStr">
        <is>
          <t>NC-East</t>
        </is>
      </c>
      <c r="D20" s="185" t="inlineStr">
        <is>
          <t>131 (Durham)
114 (Pikeville)</t>
        </is>
      </c>
      <c r="E20" s="154" t="inlineStr">
        <is>
          <t>Roasters 10-110 lb
(lechon/ethnic trade)</t>
        </is>
      </c>
      <c r="F20" s="154" t="inlineStr">
        <is>
          <t>19-194/wk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2</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c r="W20" s="201" t="inlineStr">
        <is>
          <t>—</t>
        </is>
      </c>
    </row>
    <row r="21" ht="72" customHeight="1" s="59">
      <c r="A21" s="153" t="inlineStr">
        <is>
          <t>Quaqua Creek Farm
Ruffin, NC (Rockingham)</t>
        </is>
      </c>
      <c r="B21" s="154" t="inlineStr">
        <is>
          <t>NC STATE P-375 (NCDA directory 2026-09-18)</t>
        </is>
      </c>
      <c r="C21" s="185" t="inlineStr">
        <is>
          <t>NC-North</t>
        </is>
      </c>
      <c r="D21" s="185" t="inlineStr">
        <is>
          <t>67 (Durham)
n/m (Pikeville)</t>
        </is>
      </c>
      <c r="E21" s="154" t="inlineStr">
        <is>
          <t>Species A-E incl. swine (state code C); hog share unknown — boar/stag: ASK (state code does not distinguish)</t>
        </is>
      </c>
      <c r="F21" s="154" t="inlineStr">
        <is>
          <t>unknown — state plants publish no band</t>
        </is>
      </c>
      <c r="G21" s="154" t="inlineStr">
        <is>
          <t>NC state = APHIS-accepted for our harvest path</t>
        </is>
      </c>
      <c r="H21" s="154" t="inlineStr">
        <is>
          <t>Small state floor ~1 h from Durham; hosting unknown</t>
        </is>
      </c>
      <c r="I21" s="154" t="inlineStr">
        <is>
          <t>Unknown crew; family plant</t>
        </is>
      </c>
      <c r="J21" s="154" t="inlineStr">
        <is>
          <t>No federal record (state plant — site-visit finding)</t>
        </is>
      </c>
      <c r="K21" s="185" t="n">
        <v>4</v>
      </c>
      <c r="L21" s="185" t="n">
        <v>3</v>
      </c>
      <c r="M21" s="185" t="n">
        <v>3</v>
      </c>
      <c r="N21" s="185" t="n">
        <v>3</v>
      </c>
      <c r="O21" s="185" t="n">
        <v>1</v>
      </c>
      <c r="P21" s="185" t="n">
        <v>4</v>
      </c>
      <c r="Q21" s="185" t="n">
        <v>5</v>
      </c>
      <c r="R21" s="185" t="n">
        <v>3</v>
      </c>
      <c r="S21" s="162">
        <f>ROUND(SUMPRODUCT($K$3:$R$3,K21:R21),1)</f>
        <v/>
      </c>
      <c r="T21" s="162">
        <f>ROUND(SUMPRODUCT($K$4:$R$4,K21:R21),1)</f>
        <v/>
      </c>
      <c r="U21" s="188" t="inlineStr">
        <is>
          <t>3</t>
        </is>
      </c>
      <c r="V21" s="154" t="n"/>
      <c r="W21" s="200" t="n">
        <v>8</v>
      </c>
    </row>
    <row r="22" ht="45.2" customHeight="1" s="59">
      <c r="A22" s="153" t="inlineStr">
        <is>
          <t>Cool Springs Farm and Meat
Yadkinville, NC (Yadkin)</t>
        </is>
      </c>
      <c r="B22" s="154" t="inlineStr">
        <is>
          <t>USDA M1041 (grant 10/28/2024; NCDA TA-1041)</t>
        </is>
      </c>
      <c r="C22" s="185" t="inlineStr">
        <is>
          <t>NC-West</t>
        </is>
      </c>
      <c r="D22" s="185" t="inlineStr">
        <is>
          <t>107 (Durham)
n/m (Pikeville)</t>
        </is>
      </c>
      <c r="E22" s="154" t="inlineStr">
        <is>
          <t>MARKET swine flag (FSIS) + cattle/sheep</t>
        </is>
      </c>
      <c r="F22" s="154" t="inlineStr">
        <is>
          <t>&lt;19/wk (cat 1) — pilot scale</t>
        </is>
      </c>
      <c r="G22" s="154" t="inlineStr">
        <is>
          <t>Federal</t>
        </is>
      </c>
      <c r="H22" s="154" t="inlineStr">
        <is>
          <t>New small floor; also runs custom work — ask which hogs are inspected</t>
        </is>
      </c>
      <c r="I22" s="154" t="inlineStr">
        <is>
          <t>Family business since 1971 (federal grant 2024); crew unknown</t>
        </is>
      </c>
      <c r="J22" s="154" t="inlineStr">
        <is>
          <t>None found (grant &lt;2 yrs)</t>
        </is>
      </c>
      <c r="K22" s="185" t="n">
        <v>4</v>
      </c>
      <c r="L22" s="185" t="n">
        <v>3</v>
      </c>
      <c r="M22" s="185" t="n">
        <v>2</v>
      </c>
      <c r="N22" s="185" t="n">
        <v>4</v>
      </c>
      <c r="O22" s="185" t="n">
        <v>1</v>
      </c>
      <c r="P22" s="185" t="n">
        <v>4</v>
      </c>
      <c r="Q22" s="185" t="n">
        <v>5</v>
      </c>
      <c r="R22" s="185" t="n">
        <v>3</v>
      </c>
      <c r="S22" s="162">
        <f>ROUND(SUMPRODUCT($K$3:$R$3,K22:R22),1)</f>
        <v/>
      </c>
      <c r="T22" s="162">
        <f>ROUND(SUMPRODUCT($K$4:$R$4,K22:R22),1)</f>
        <v/>
      </c>
      <c r="U22" s="188" t="inlineStr">
        <is>
          <t>3</t>
        </is>
      </c>
      <c r="V22" s="154" t="inlineStr">
        <is>
          <t xml:space="preserve">9-30 SOCIAL: in business since 1971 (Oct-2024 is the federal grant); contact Justin Atkinson. </t>
        </is>
      </c>
      <c r="W22" s="200" t="inlineStr">
        <is>
          <t>follow-up</t>
        </is>
      </c>
    </row>
    <row r="23" ht="112.2" customHeight="1" s="59">
      <c r="A23" s="153" t="inlineStr">
        <is>
          <t>Mitchell's Butchery (M.L. Mitchell &amp; Son)
Walnut Cove, NC (Stokes)</t>
        </is>
      </c>
      <c r="B23" s="154" t="inlineStr">
        <is>
          <t>USDA M46822 / NCDA TA-46822</t>
        </is>
      </c>
      <c r="C23" s="185" t="inlineStr">
        <is>
          <t>NC-West</t>
        </is>
      </c>
      <c r="D23" s="185" t="inlineStr">
        <is>
          <t>85 (Durham)
160 (Pikeville)</t>
        </is>
      </c>
      <c r="E23" s="154" t="inlineStr">
        <is>
          <t>⚠ BOAR/STAG flagged — MARKET + SOW + boar/stag (FSIS)</t>
        </is>
      </c>
      <c r="F23" s="154" t="inlineStr">
        <is>
          <t>&lt;19/wk (cat 1)</t>
        </is>
      </c>
      <c r="G23" s="154" t="inlineStr">
        <is>
          <t>Federal</t>
        </is>
      </c>
      <c r="H23" s="154" t="inlineStr">
        <is>
          <t>Small floor; family business with a live site + Instagram text line</t>
        </is>
      </c>
      <c r="I23" s="154" t="inlineStr">
        <is>
          <t>Unknown; sister plant (Chop Shop, King) closed 7/2026</t>
        </is>
      </c>
      <c r="J23" s="154" t="inlineStr">
        <is>
          <t>FAILED-STUN / conscious-cut record on the roster — WELF 1; a discussion item, not an auto-exclusion</t>
        </is>
      </c>
      <c r="K23" s="185" t="n">
        <v>4</v>
      </c>
      <c r="L23" s="185" t="n">
        <v>3</v>
      </c>
      <c r="M23" s="185" t="n">
        <v>3</v>
      </c>
      <c r="N23" s="185" t="n">
        <v>2</v>
      </c>
      <c r="O23" s="185" t="n">
        <v>1</v>
      </c>
      <c r="P23" s="185" t="n">
        <v>1</v>
      </c>
      <c r="Q23" s="185" t="n">
        <v>5</v>
      </c>
      <c r="R23" s="185" t="n">
        <v>3</v>
      </c>
      <c r="S23" s="162">
        <f>ROUND(SUMPRODUCT($K$3:$R$3,K23:R23),1)</f>
        <v/>
      </c>
      <c r="T23" s="162">
        <f>ROUND(SUMPRODUCT($K$4:$R$4,K23:R23),1)</f>
        <v/>
      </c>
      <c r="U23" s="188" t="inlineStr">
        <is>
          <t>3</t>
        </is>
      </c>
      <c r="V23" s="154" t="inlineStr">
        <is>
          <t xml:space="preserve">9-30 SOCIAL: contact Kristine Mitchell; Facebook 78% recommend — lowest in the set. 9-28 BOAR/STAG RULE: FSIS flags boar/stag slaughter here — the client will not mix boars with our hogs. ANAT capped at 2 (was 4); tier 3. GATE on the call: are boars / stags ever run with market hogs, or only on separate days? If never with ours, this can revert. </t>
        </is>
      </c>
      <c r="W23" s="200" t="inlineStr">
        <is>
          <t>follow-up</t>
        </is>
      </c>
    </row>
    <row r="24" ht="250" customHeight="1" s="59">
      <c r="A24" s="153" t="inlineStr">
        <is>
          <t>EcoFriendly Foods, LLC
Moneta, VA (Bedford)</t>
        </is>
      </c>
      <c r="B24" s="154" t="inlineStr">
        <is>
          <t>USDA M21938 + P21938 (federal — a VA state grant would not qualify)</t>
        </is>
      </c>
      <c r="C24" s="185" t="inlineStr">
        <is>
          <t>VA-South</t>
        </is>
      </c>
      <c r="D24" s="185" t="inlineStr">
        <is>
          <t>120 (Durham, exact — boundary)
198 (Pikeville)</t>
        </is>
      </c>
      <c r="E24" s="154" t="inlineStr">
        <is>
          <t>⚠ BOAR/STAG flagged — MARKET + SOW + ROASTER + boar/stag (all four FSIS classes)</t>
        </is>
      </c>
      <c r="F24" s="154" t="inlineStr">
        <is>
          <t>cat 3 is ALL SPECIES incl. poultry — NASS caps all of VA at 7,841 hogs/yr; realistically tens/wk</t>
        </is>
      </c>
      <c r="G24" s="154" t="inlineStr">
        <is>
          <t>Federal</t>
        </is>
      </c>
      <c r="H24" s="154" t="inlineStr">
        <is>
          <t>Unknown hosting; a working multi-class floor ~2 h from Durham</t>
        </is>
      </c>
      <c r="I24" s="154" t="inlineStr">
        <is>
          <t>Unknown crew</t>
        </is>
      </c>
      <c r="J24" s="154" t="inlineStr">
        <is>
          <t>CERTIFIED HUMANE — strongest welfare match in the study; the 'ceased ~2020' report is contradicted by the active grant and a live site (9-03): confirm operating on the call</t>
        </is>
      </c>
      <c r="K24" s="185" t="n">
        <v>4</v>
      </c>
      <c r="L24" s="185" t="n">
        <v>3</v>
      </c>
      <c r="M24" s="185" t="n">
        <v>3</v>
      </c>
      <c r="N24" s="185" t="n">
        <v>2</v>
      </c>
      <c r="O24" s="185" t="n">
        <v>2</v>
      </c>
      <c r="P24" s="185" t="n">
        <v>5</v>
      </c>
      <c r="Q24" s="185" t="n">
        <v>5</v>
      </c>
      <c r="R24" s="185" t="n">
        <v>3</v>
      </c>
      <c r="S24" s="162">
        <f>ROUND(SUMPRODUCT($K$3:$R$3,K24:R24),1)</f>
        <v/>
      </c>
      <c r="T24" s="162">
        <f>ROUND(SUMPRODUCT($K$4:$R$4,K24:R24),1)</f>
        <v/>
      </c>
      <c r="U24" s="188" t="inlineStr">
        <is>
          <t>3</t>
        </is>
      </c>
      <c r="V24" s="154" t="inlineStr">
        <is>
          <t>9-30 SOCIAL: YellowPages lists it CLOSED and the phone conflicts across listings — operating status is the first call question. 9-28 BOAR/STAG RULE: FSIS flags boar/stag slaughter here — the client will not mix boars with our hogs. ANAT capped at 2 (was 4); tier 3. GATE on the call: are boars / stags ever run with market hogs, or only on separate days? If never with ours, this can revert. 9-28 v2.1: Tier 3 → 2, with a GATE. Beebop's point stands — this is a Model B-T harvesting-service call, not a volume play; its A/B scores (3.6 / 3.5) sit at Tier-2 level and parking it contradicted them. Gate on the call: is it operating today, and how many hogs in the 140-220 lb range per week (expect tens, not hundreds — Virginia's whole federal total is 7,841/yr). 9-28 VOLUME: Tier 2 → 3. NASS 2025 shows Virginia's 16 federal plants killed 7,841 hogs all year; the cat-3 band here is poultry-driven. Welfare-branded pilot candidate, not a volume lane. 9-28 r2: exact-address routing puts it at 120.4 road / 92.6 radial miles — a boundary case; PROX held at 4 pending the real departure point. 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24" s="200" t="n">
        <v>4</v>
      </c>
    </row>
    <row r="25" ht="72" customHeight="1" s="59">
      <c r="A25" s="153" t="inlineStr">
        <is>
          <t>Farmington Meat Processing
Mocksville, NC (Davie)</t>
        </is>
      </c>
      <c r="B25" s="154" t="inlineStr">
        <is>
          <t>NC STATE P-381 (NCDA directory 2026-09-18)</t>
        </is>
      </c>
      <c r="C25" s="185" t="inlineStr">
        <is>
          <t>NC-West</t>
        </is>
      </c>
      <c r="D25" s="185" t="inlineStr">
        <is>
          <t>103 (Durham)
n/m (Pikeville)</t>
        </is>
      </c>
      <c r="E25" s="154" t="inlineStr">
        <is>
          <t>Species A-E incl. swine (state code C); hog share unknown — boar/stag: ASK (state code does not distinguish)</t>
        </is>
      </c>
      <c r="F25" s="154" t="inlineStr">
        <is>
          <t>unknown — state plants publish no band</t>
        </is>
      </c>
      <c r="G25" s="154" t="inlineStr">
        <is>
          <t>NC state = APHIS-accepted for our harvest path</t>
        </is>
      </c>
      <c r="H25" s="154" t="inlineStr">
        <is>
          <t>Small custom-model floor ~1 h 45 from Durham; hosting unknown</t>
        </is>
      </c>
      <c r="I25" s="154" t="inlineStr">
        <is>
          <t>Unknown crew</t>
        </is>
      </c>
      <c r="J25" s="154" t="inlineStr">
        <is>
          <t>No federal record (state plant — site-visit finding)</t>
        </is>
      </c>
      <c r="K25" s="185" t="n">
        <v>4</v>
      </c>
      <c r="L25" s="185" t="n">
        <v>3</v>
      </c>
      <c r="M25" s="185" t="n">
        <v>3</v>
      </c>
      <c r="N25" s="185" t="n">
        <v>3</v>
      </c>
      <c r="O25" s="185" t="n">
        <v>1</v>
      </c>
      <c r="P25" s="185" t="n">
        <v>4</v>
      </c>
      <c r="Q25" s="185" t="n">
        <v>5</v>
      </c>
      <c r="R25" s="185" t="n">
        <v>3</v>
      </c>
      <c r="S25" s="162">
        <f>ROUND(SUMPRODUCT($K$3:$R$3,K25:R25),1)</f>
        <v/>
      </c>
      <c r="T25" s="162">
        <f>ROUND(SUMPRODUCT($K$4:$R$4,K25:R25),1)</f>
        <v/>
      </c>
      <c r="U25" s="188" t="inlineStr">
        <is>
          <t>3</t>
        </is>
      </c>
      <c r="V25" s="154" t="inlineStr">
        <is>
          <t xml:space="preserve">9-30 SOCIAL: 5.0/5 on 20 reviews, 9,100 followers; deer season is a seasonal load. </t>
        </is>
      </c>
      <c r="W25" s="200" t="n">
        <v>9</v>
      </c>
    </row>
    <row r="26" ht="85.40000000000001" customHeight="1" s="59">
      <c r="A26" s="153" t="inlineStr">
        <is>
          <t>Easternview Farms
Drakes Branch, VA (Charlotte)</t>
        </is>
      </c>
      <c r="B26" s="154" t="inlineStr">
        <is>
          <t>USDA M1908 + V1908 (grant 5/14/2024)</t>
        </is>
      </c>
      <c r="C26" s="185" t="inlineStr">
        <is>
          <t>VA-South</t>
        </is>
      </c>
      <c r="D26" s="185" t="inlineStr">
        <is>
          <t>76 (Durham)
n/m (Pikeville)</t>
        </is>
      </c>
      <c r="E26" s="154" t="inlineStr">
        <is>
          <t>⚠ BOAR/STAG flagged — MARKET + SOW + boar/stag (FSIS)</t>
        </is>
      </c>
      <c r="F26" s="154" t="inlineStr">
        <is>
          <t>&lt;19/wk (cat 1) — pilot scale</t>
        </is>
      </c>
      <c r="G26" s="154" t="inlineStr">
        <is>
          <t>Federal (plus a V research-species grant)</t>
        </is>
      </c>
      <c r="H26" s="154" t="inlineStr">
        <is>
          <t>Farm-based floor 76 mi from Durham; own site describes on-site slaughter</t>
        </is>
      </c>
      <c r="I26" s="154" t="inlineStr">
        <is>
          <t>Unknown crew</t>
        </is>
      </c>
      <c r="J26" s="154" t="inlineStr">
        <is>
          <t>None found (grant &lt;2 yrs)</t>
        </is>
      </c>
      <c r="K26" s="185" t="n">
        <v>4</v>
      </c>
      <c r="L26" s="185" t="n">
        <v>3</v>
      </c>
      <c r="M26" s="185" t="n">
        <v>3</v>
      </c>
      <c r="N26" s="185" t="n">
        <v>2</v>
      </c>
      <c r="O26" s="185" t="n">
        <v>1</v>
      </c>
      <c r="P26" s="185" t="n">
        <v>4</v>
      </c>
      <c r="Q26" s="185" t="n">
        <v>5</v>
      </c>
      <c r="R26" s="185" t="n">
        <v>3</v>
      </c>
      <c r="S26" s="162">
        <f>ROUND(SUMPRODUCT($K$3:$R$3,K26:R26),1)</f>
        <v/>
      </c>
      <c r="T26" s="162">
        <f>ROUND(SUMPRODUCT($K$4:$R$4,K26:R26),1)</f>
        <v/>
      </c>
      <c r="U26" s="188" t="inlineStr">
        <is>
          <t>3</t>
        </is>
      </c>
      <c r="V26" s="154" t="inlineStr">
        <is>
          <t xml:space="preserve">9-28 BOAR/STAG RULE: FSIS flags boar/stag slaughter here — the client will not mix boars with our hogs. ANAT capped at 2 (was 4); tier 3. GATE on the call: are boars / stags ever run with market hogs, or only on separate days? If never with ours, this can revert. </t>
        </is>
      </c>
      <c r="W26" s="200" t="inlineStr">
        <is>
          <t>follow-up</t>
        </is>
      </c>
    </row>
    <row r="27" ht="112.2" customHeight="1" s="59">
      <c r="A27" s="153" t="inlineStr">
        <is>
          <t>The Butcher's Block
Dry Fork, VA (Pittsylvania)</t>
        </is>
      </c>
      <c r="B27" s="154" t="inlineStr">
        <is>
          <t>USDA M763 (grant 2/13/2024)</t>
        </is>
      </c>
      <c r="C27" s="185" t="inlineStr">
        <is>
          <t>VA-South</t>
        </is>
      </c>
      <c r="D27" s="185" t="inlineStr">
        <is>
          <t>74 (Durham)
n/m (Pikeville)</t>
        </is>
      </c>
      <c r="E27" s="154" t="inlineStr">
        <is>
          <t>⚠ BOAR/STAG flagged — MARKET + SOW + ROASTER + boar/stag (all four FSIS classes)</t>
        </is>
      </c>
      <c r="F27" s="154" t="inlineStr">
        <is>
          <t>&lt;19/wk (cat 1) — pilot scale</t>
        </is>
      </c>
      <c r="G27" s="154" t="inlineStr">
        <is>
          <t>Federal</t>
        </is>
      </c>
      <c r="H27" s="154" t="inlineStr">
        <is>
          <t>Small floor 74 mi from Durham; hosting unknown</t>
        </is>
      </c>
      <c r="I27" s="154" t="inlineStr">
        <is>
          <t>Unknown crew</t>
        </is>
      </c>
      <c r="J27" s="154" t="inlineStr">
        <is>
          <t>None found (grant &lt;2 yrs)</t>
        </is>
      </c>
      <c r="K27" s="185" t="n">
        <v>4</v>
      </c>
      <c r="L27" s="185" t="n">
        <v>3</v>
      </c>
      <c r="M27" s="185" t="n">
        <v>3</v>
      </c>
      <c r="N27" s="185" t="n">
        <v>2</v>
      </c>
      <c r="O27" s="185" t="n">
        <v>1</v>
      </c>
      <c r="P27" s="185" t="n">
        <v>4</v>
      </c>
      <c r="Q27" s="185" t="n">
        <v>5</v>
      </c>
      <c r="R27" s="185" t="n">
        <v>3</v>
      </c>
      <c r="S27" s="162">
        <f>ROUND(SUMPRODUCT($K$3:$R$3,K27:R27),1)</f>
        <v/>
      </c>
      <c r="T27" s="162">
        <f>ROUND(SUMPRODUCT($K$4:$R$4,K27:R27),1)</f>
        <v/>
      </c>
      <c r="U27" s="188" t="inlineStr">
        <is>
          <t>3</t>
        </is>
      </c>
      <c r="V27" s="154" t="inlineStr">
        <is>
          <t xml:space="preserve">9-30 SOCIAL: owners Andy and Samantha Thomas; 4.7/5 on 26 reviews. 9-28 BOAR/STAG RULE: FSIS flags boar/stag slaughter here — the client will not mix boars with our hogs. ANAT capped at 2 (was 4); tier 3. GATE on the call: are boars / stags ever run with market hogs, or only on separate days? If never with ours, this can revert. </t>
        </is>
      </c>
      <c r="W27" s="200" t="inlineStr">
        <is>
          <t>—</t>
        </is>
      </c>
    </row>
  </sheetData>
  <autoFilter ref="A5:V20"/>
  <mergeCells count="2">
    <mergeCell ref="A2:W2"/>
    <mergeCell ref="A1:W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45.2" customHeight="1" s="59">
      <c r="A7" s="193" t="n">
        <v>1</v>
      </c>
      <c r="B7" s="154" t="inlineStr">
        <is>
          <t>Are you a slaughterhouse — do you slaughter HOGS on site? (which classes — market weight, sows, roasters? Any BOARS or STAGS — and are they ever run with the market hogs, or only on separate days?)</t>
        </is>
      </c>
      <c r="C7" s="191" t="n"/>
    </row>
    <row r="8" ht="31.8" customHeight="1" s="59">
      <c r="A8" s="193" t="n">
        <v>2</v>
      </c>
      <c r="B8" s="154" t="inlineStr">
        <is>
          <t>How many pigs do you kill in a WEEK — and how many of those are in the 140-220 lb live range?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31.8" customHeight="1" s="59">
      <c r="A13" s="193" t="n">
        <v>3</v>
      </c>
      <c r="B13" s="154" t="inlineStr">
        <is>
          <t>Stunning method and placement OBSERVED — and could our designated hogs skip a second / cardiac stun? (protects thoracic organs and aortas)</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2.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34.5" customHeight="1" s="59">
      <c r="A39" s="120" t="inlineStr">
        <is>
          <t>SUPPLIER CHECKLIST — require in writing (the export questions now live with the visit checklist on the Call Questionnaire tab)</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3.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4.xml><?xml version="1.0" encoding="utf-8"?>
<worksheet xmlns="http://schemas.openxmlformats.org/spreadsheetml/2006/main">
  <sheetPr>
    <tabColor rgb="00808080"/>
    <outlinePr summaryBelow="1" summaryRight="1"/>
    <pageSetUpPr fitToPage="1"/>
  </sheetPr>
  <dimension ref="A1:D52"/>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98.8"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over the prior 360 days (all species). Weekly bounds are ×7/360: cat 1 = fewer than 1,000 → under ~19/wk · cat 2 = 1,000-9,999 → ~19-194/wk · cat 3 = 10,000-99,999 → ~194-1,944/wk · cat 4 = 100,000+ → ~1,944/wk and up (the March-2026 FSIS notice cited by Beebop adds a category 5 at 10,000,000+). A band is a HISTORICAL aggregate — it bounds what the plant did kill in that year, not its capacity or its current weekly count; a category-3 plant could have killed 200/wk or 1,900/wk, and could have grown since. Use it to falsify a claimed figure, never to replace one. (Arithmetic corrected 2026-09-28 from ÷365 to ×7/360 after Beebop's round-2 review.)</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  [SUPERSEDED 2026-09-28: the origin is now Durham — see the 'Distances — Durham origin' row; the Pikeville figures survive only in parentheses.]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72" customHeight="1" s="59">
      <c r="A39" s="138" t="inlineStr">
        <is>
          <t>Verification discipline</t>
        </is>
      </c>
      <c r="B39" s="68" t="inlineStr">
        <is>
          <t>(Supplier Outreach Plan method rows, merged 2026-09-03)</t>
        </is>
      </c>
      <c r="C39" s="46" t="inlineStr">
        <is>
          <t>High</t>
        </is>
      </c>
      <c r="D39" s="68" t="inlineStr">
        <is>
          <t>FSIS volume categories are ceilings (cat 1 &lt;19/wk · 2 19-194 · 3 194-1,944 · 4 ≥1,944, ALL species). 'None found' on enforcement is a narrow negative, never a clean bill — state-inspected plants sit outside FSIS reporting entirely, so their welfare is a SITE-VISIT finding. Distances are OSRM road miles from the Pikeville anchor.  [SUPERSEDED 2026-09-28: the origin is now Durham — see the 'Distances — Durham origin' row; the Pikeville figures survive only in parentheses.]</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row r="47" ht="179.2" customHeight="1" s="59">
      <c r="A47" s="138" t="inlineStr">
        <is>
          <t>Beebop round 2 (2026-09-28)</t>
        </is>
      </c>
      <c r="B47" s="68" t="inlineStr">
        <is>
          <t>Beebop/round2-2026-09-28/ (cross-reference workbook, research_data.json, README)</t>
        </is>
      </c>
      <c r="C47" s="46" t="inlineStr">
        <is>
          <t>Medium-High</t>
        </is>
      </c>
      <c r="D47" s="68" t="inlineStr">
        <is>
          <t>A fact review of THIS workbook by the collaborator, verified point by point. ACCEPTED: the band arithmetic (×7/360 → 194 / 1,944, applied to every cell) and the 'historical aggregate, not capacity' framing; exact-address distances for EcoFriendly (120.4 road / 92.6 radial), McLaughlin's (119.4) and Acre Station (141.1); Bass's stale cat-1 cell (FSIS pull says cat 2); the Godwin inference (directory absence is the evidence, not the Iowa record); softened over-claims on Piedmont (disposal fee ≠ proof of discard) and Nahunta (no retail SKU ≠ no competing use); Mitchell's site-identity clarifier; four plants given rows and ratings — Farmington P-381 (verified in the 09-18 directory), Easternview M1908, The Butcher's Block M763 and KC Farms M1502 (all verified federal in the FSIS pull — all cat 1). REJECTED / UNCHANGED: Neese stays OUT (the FSIS inactive record is primary; the brand acquisition is a business transition) with a Q4 recheck note; custom-exempt plants stay OUT under G1; 'absence of a 2,000-5,000/wk plant' reworded as 'none has killed at that scale in the last FSIS year'. Its revised first ten (Piedmont, McLamb's, Flowers, Contentnea, Farmington, Easternview, Gale McLamb, Key Packing, Quaqua, Cool Springs) is shown in Rated Candidates column W.</t>
        </is>
      </c>
    </row>
    <row r="48" ht="72" customHeight="1" s="59">
      <c r="A48" s="138" t="inlineStr">
        <is>
          <t>NASS Livestock Slaughter 2025 Summary (Apr 2026)</t>
        </is>
      </c>
      <c r="B48" s="68" t="inlineStr">
        <is>
          <t>nass.usda.gov/Publications/Todays_Reports/reports/lsan0426.pdf — 'Federally Inspected Plants and Head Slaughtered by Species – States: 2025', p.56; commercial hog slaughter by state, pp.44-45</t>
        </is>
      </c>
      <c r="C48" s="46" t="inlineStr">
        <is>
          <t>High</t>
        </is>
      </c>
      <c r="D48" s="68" t="inlineStr">
        <is>
          <t>Federal hog slaughter 2025: VIRGINIA 16 plants / 7,841 head · SOUTH CAROLINA 8 plants / 14,070 head · TENNESSEE 34 plants / 925,292 head · NORTH CAROLINA withheld (D) to avoid disclosing individual operations. Commercial (FI + state) hog totals 2025: SC 23,000 · VA 12,000 · TN 926,000 · NC (D). Used as hard caps on the FSIS bands: a VA or SC plant's cat-3 band cannot be hogs. Also the national count: 786 hog plants, the 15 largest = 65% of head.</t>
        </is>
      </c>
    </row>
    <row r="49" ht="98.8" customHeight="1" s="59">
      <c r="A49" s="138" t="inlineStr">
        <is>
          <t>Volume inference method (2026-09-28)</t>
        </is>
      </c>
      <c r="B49" s="68" t="inlineStr">
        <is>
          <t>This workbook — Instructions §4 'Inferring hogs/week'</t>
        </is>
      </c>
      <c r="C49" s="46" t="inlineStr">
        <is>
          <t>Medium</t>
        </is>
      </c>
      <c r="D49" s="68" t="inlineStr">
        <is>
          <t>Ladder applied to every roster row: company figure &gt; FSIS band × species flags × HACCP size (MPI directory 'size' field) &gt; NASS state caps &gt; business-type class for NC state plants &gt; FOIA / NCDA / the call. Effects: EcoFriendly and Williamsburg drop to Tier 3 (VOL 5→2, 4→2); federal rows now show HACCP size; the eight NC state rows carry a class-based range instead of 'unknown'. Checked and found empty: CEFS/NC Choices processor directories (services only, no capacity), NMPAN profiles (Acre Station only: 80 hogs/day capacity), plant websites (no throughput statements), NC DEQ permits (not indexed by throughput).</t>
        </is>
      </c>
    </row>
    <row r="50" ht="125.6" customHeight="1" s="59">
      <c r="A50" s="138" t="inlineStr">
        <is>
          <t>Beebop v2.1 (2026-09-28, commit f9d4dd7)</t>
        </is>
      </c>
      <c r="B50" s="68" t="inlineStr">
        <is>
          <t>Beebop/round2-2026-09-28/RECOMMENDATIONS_FOR_ROCKSTEADY.md + updated cross-reference workbook (26 fact reviews)</t>
        </is>
      </c>
      <c r="C50" s="46" t="inlineStr">
        <is>
          <t>High (convergent)</t>
        </is>
      </c>
      <c r="D50" s="68" t="inlineStr">
        <is>
          <t>Beebop re-ranked on evidence of fit after reviewing commits a403954 and 1cb841f; its first ten now match this tab's order exactly (Piedmont, McLamb's, Gale McLamb, EcoFriendly, Flowers, Select, Key Packing, Quaqua, Farmington, Contentnea), with Easternview and Cool Springs as follow-ups. It independently confirmed the NASS state totals against the official text file. ADOPTED: EcoFriendly back to Tier 2 as a Model B-T harvesting-service call with a gate; its sharper opening question (hogs per week IN the 140-220 lb range) folded into call question 2; the radius-vs-road distinction noted in the legend; the complementary-pick idea noted on Rated Candidates. KEPT: road miles as the Model A screen. Two agents working from the same primary data now agree on the call order — that agreement is the useful output of this round.</t>
        </is>
      </c>
    </row>
    <row r="51" ht="165.8" customHeight="1" s="59">
      <c r="A51" s="138" t="inlineStr">
        <is>
          <t>Boar / stag rule (client, 2026-09-28)</t>
        </is>
      </c>
      <c r="B51" s="68" t="inlineStr">
        <is>
          <t>FSIS Establishment Demographic Data, boar_stag_swine_slaughter flag (pull 2026-09-03); NCDA directory species codes (no boar distinction)</t>
        </is>
      </c>
      <c r="C51" s="46" t="inlineStr">
        <is>
          <t>High (flag) / Ask (state plants)</t>
        </is>
      </c>
      <c r="D51" s="68" t="inlineStr">
        <is>
          <t>The client does not want boars/stags mixed with our hogs. Flagged in NC/SC/VA/TN: Martin's Pork Products, Inc., Piedmont Custom Meats, Wayne Mays Meat Processing, M.L. Mitchell &amp; Son, Wilkes Abattoir, LLC dba Apple Bra, Wells, Jenkins &amp; Wells Abattoir, Williamsburg Packing Company, Inc., Fayette Packing Co., Inc., EcoFriendly Foods, LLC, T&amp;E Meats (True &amp; Essential), Blue Ridge Meats of Front Royal, The Pork Company (Villari Food Gro, Contentnea Farms, LLC, Flowers Slaughter House (George Fl, Fauquier's Finest — DATA ANOMALY, Easternview Farms LLC, The Butcher's Block. Effects: '⚠ BOAR/STAG flagged' on the roster class column; STRONG FIT / POSSIBLE → CAUTION for flagged non-incumbents; ANAT capped at 2 on Rated Candidates; Piedmont Tier 1 → 2, Flowers stays 2, EcoFriendly 2 → 3, the rest 3; Select Meats (market-only flags) Tier 2 → 1. The flag means the plant slaughtered boars/stags in the data period, not that they share a day with market hogs — hence a SOFT gate cleared by the call (question 1 now asks). Two incumbents carry the flag (Martin's, Villari): mixing already occurs at a plant we harvest at, so 'separate days' is the practical standard.</t>
        </is>
      </c>
    </row>
    <row r="52" ht="165.8" customHeight="1" s="59">
      <c r="A52" s="138" t="inlineStr">
        <is>
          <t>Social &amp; other-sources pass (2026-09-30)</t>
        </is>
      </c>
      <c r="B52" s="68" t="inlineStr">
        <is>
          <t>Facebook, Yelp, Google/aggregator reviews, Instagram, Nextdoor, BBB, Indeed, OpenCorporates, NCDA&amp;CS county directories (Johnston, Harnett, Rowan, Moore, Nash, Wilson, Beaufort, Stokes, Wilkes, Yadkin, Burke, Iredell, Rockingham)</t>
        </is>
      </c>
      <c r="C52" s="46" t="inlineStr">
        <is>
          <t>Medium (operational facts only)</t>
        </is>
      </c>
      <c r="D52" s="68" t="inlineStr">
        <is>
          <t>Every rated candidate checked. Facts that changed the read: McLamb's Abattoir is under LEE-FAMILY ownership since ~2018 (Shane Lee; Lee's Fresh Market is its 2022 retail front); McLaughlin's announced a new 'captain' in 2026; Cool Springs dates from 1971 (2024 = federal grant); EcoFriendly is listed CLOSED by one directory with conflicting phones; Acre Station buys its own hogs (organ ownership clear); Caldwell's reviews cite forgotten organ meats never made right; Select Meats shows ~4 employees; Williamsburg keeps half-day hours; Mitchell's has the lowest Facebook score (78%). CONTACT NAMES from the county directories: Shane Lee, Gale McLamb, Gerald Wood, Gilbert/Elizabeth Key, Alan Sharp/Tim Boswell, Richard Huettmann, Justin Atkinson, Kristine Mitchell, Seth Church, Xa Her, Tom McLaughlin, Barrett Twitty (CQP). Not retrievable: Davie/Greene/Cumberland/Wayne/Duplin/Lincoln/Catawba county files (HTML shells), Facebook post bodies, Bizapedia (CAPTCHA), NC SOS (JavaScript). The Rockingham county file predates Quaqua's P-375 grant and lists 'Stevens Abattoir, Inc' (Darren Stevens, Madison) as a hog plant selling outside NC — checked against FSIS/NCDA 9-18 separately (see roster).</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2026-09-30T14:36:56Z</dcterms:modified>
  <cp:lastModifiedBy>Oscar Penny</cp:lastModifiedBy>
</cp:coreProperties>
</file>