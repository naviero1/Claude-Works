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amp; Method" sheetId="1" state="visible" r:id="rId1"/>
    <sheet name="Action Items" sheetId="2" state="visible" r:id="rId2"/>
    <sheet name="Anatomical Spec" sheetId="3" state="visible" r:id="rId3"/>
    <sheet name="Legend &amp; Scoring" sheetId="4" state="visible" r:id="rId4"/>
    <sheet name="Supplier Roster" sheetId="5" state="visible" r:id="rId5"/>
    <sheet name="National Direct Suppliers" sheetId="6" state="visible" r:id="rId6"/>
    <sheet name="Models &amp; Make-vs-Buy" sheetId="7" state="visible" r:id="rId7"/>
    <sheet name="TCO Calculator" sheetId="8" state="visible" r:id="rId8"/>
    <sheet name="APHIS &amp; EU Export" sheetId="9" state="visible" r:id="rId9"/>
    <sheet name="Call Question Sheet" sheetId="10" state="visible" r:id="rId10"/>
    <sheet name="Sources &amp; Confidence" sheetId="11" state="visible" r:id="rId11"/>
    <sheet name="Deep Study (Verified)" sheetId="12" state="visible" r:id="rId12"/>
  </sheets>
  <definedNames>
    <definedName name="_xlnm._FilterDatabase" localSheetId="4" hidden="1">'Supplier Roster'!$A$4:$Q$4</definedName>
    <definedName name="_xlnm._FilterDatabase" localSheetId="5" hidden="1">'National Direct Suppliers'!$A$4:$I$4</definedName>
    <definedName name="_xlnm._FilterDatabase" localSheetId="11" hidden="1">'Deep Study (Verified)'!$A$43:$H$43</definedName>
  </definedNames>
  <calcPr calcId="124519" fullCalcOnLoad="1"/>
</workbook>
</file>

<file path=xl/styles.xml><?xml version="1.0" encoding="utf-8"?>
<styleSheet xmlns="http://schemas.openxmlformats.org/spreadsheetml/2006/main">
  <numFmts count="2">
    <numFmt numFmtId="164" formatCode="#,##0.0"/>
    <numFmt numFmtId="165" formatCode="$#,##0.00"/>
  </numFmts>
  <fonts count="21">
    <font>
      <name val="Calibri"/>
      <family val="2"/>
      <color theme="1"/>
      <sz val="11"/>
      <scheme val="minor"/>
    </font>
    <font>
      <name val="Arial"/>
      <b val="1"/>
      <color rgb="00FFFFFF"/>
      <sz val="15"/>
    </font>
    <font>
      <name val="Arial"/>
      <i val="1"/>
      <color rgb="0044506A"/>
      <sz val="10"/>
    </font>
    <font>
      <name val="Arial"/>
      <b val="1"/>
      <color rgb="00FFFFFF"/>
      <sz val="11"/>
    </font>
    <font>
      <name val="Arial"/>
      <b val="1"/>
      <color rgb="00222222"/>
      <sz val="10"/>
    </font>
    <font>
      <name val="Arial"/>
      <color rgb="00222222"/>
      <sz val="10"/>
    </font>
    <font>
      <name val="Arial"/>
      <b val="1"/>
      <color rgb="00FFFFFF"/>
      <sz val="10"/>
    </font>
    <font>
      <name val="Arial"/>
      <i val="1"/>
      <color rgb="005B657A"/>
      <sz val="9"/>
    </font>
    <font>
      <name val="Arial"/>
      <b val="1"/>
      <color rgb="001F3864"/>
      <sz val="10"/>
    </font>
    <font>
      <name val="Arial"/>
      <color rgb="007A5C00"/>
      <sz val="10"/>
    </font>
    <font>
      <name val="Arial"/>
      <b val="1"/>
      <color rgb="000000FF"/>
      <sz val="10"/>
    </font>
    <font>
      <name val="Arial"/>
      <b val="1"/>
      <color rgb="00006100"/>
      <sz val="10"/>
    </font>
    <font>
      <name val="Arial"/>
      <b val="1"/>
      <color rgb="009C6500"/>
      <sz val="10"/>
    </font>
    <font>
      <name val="Arial"/>
      <b val="1"/>
      <color rgb="009C0006"/>
      <sz val="10"/>
    </font>
    <font>
      <name val="Arial"/>
      <b val="1"/>
      <color rgb="00375623"/>
      <sz val="10"/>
    </font>
    <font>
      <name val="Arial"/>
      <b val="1"/>
      <color rgb="007F6000"/>
      <sz val="10"/>
    </font>
    <font>
      <name val="Arial"/>
      <b val="1"/>
      <color rgb="00833C0C"/>
      <sz val="10"/>
    </font>
    <font>
      <name val="Arial"/>
      <b val="1"/>
      <color rgb="005B657A"/>
      <sz val="10"/>
    </font>
    <font>
      <name val="Arial"/>
      <color rgb="009C0006"/>
      <sz val="10"/>
    </font>
    <font>
      <name val="Arial"/>
      <color rgb="0044506A"/>
      <sz val="9"/>
    </font>
    <font>
      <name val="Arial"/>
      <color rgb="00222222"/>
      <sz val="9"/>
    </font>
  </fonts>
  <fills count="16">
    <fill>
      <patternFill/>
    </fill>
    <fill>
      <patternFill patternType="gray125"/>
    </fill>
    <fill>
      <patternFill patternType="solid">
        <fgColor rgb="001F3864"/>
      </patternFill>
    </fill>
    <fill>
      <patternFill patternType="solid">
        <fgColor rgb="00EDF0F7"/>
      </patternFill>
    </fill>
    <fill>
      <patternFill patternType="solid">
        <fgColor rgb="002E5496"/>
      </patternFill>
    </fill>
    <fill>
      <patternFill patternType="solid">
        <fgColor rgb="00F2F2F2"/>
      </patternFill>
    </fill>
    <fill>
      <patternFill patternType="solid">
        <fgColor rgb="00FFF2CC"/>
      </patternFill>
    </fill>
    <fill>
      <patternFill patternType="solid">
        <fgColor rgb="00D9E1F2"/>
      </patternFill>
    </fill>
    <fill>
      <patternFill patternType="solid">
        <fgColor rgb="00FFF9E3"/>
      </patternFill>
    </fill>
    <fill>
      <patternFill patternType="solid">
        <fgColor rgb="00C6EFCE"/>
      </patternFill>
    </fill>
    <fill>
      <patternFill patternType="solid">
        <fgColor rgb="00FFC7CE"/>
      </patternFill>
    </fill>
    <fill>
      <patternFill patternType="solid">
        <fgColor rgb="00E2EFDA"/>
      </patternFill>
    </fill>
    <fill>
      <patternFill patternType="solid">
        <fgColor rgb="00FFE699"/>
      </patternFill>
    </fill>
    <fill>
      <patternFill patternType="solid">
        <fgColor rgb="00FCE4D6"/>
      </patternFill>
    </fill>
    <fill>
      <patternFill patternType="solid">
        <fgColor rgb="00FCE4E4"/>
      </patternFill>
    </fill>
    <fill>
      <patternFill patternType="solid">
        <fgColor rgb="000000FF"/>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69">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wrapText="1"/>
    </xf>
    <xf numFmtId="0" fontId="3" fillId="4" borderId="0" applyAlignment="1" pivotButton="0" quotePrefix="0" xfId="0">
      <alignment horizontal="left" vertical="center"/>
    </xf>
    <xf numFmtId="0" fontId="4" fillId="5" borderId="1" applyAlignment="1" pivotButton="0" quotePrefix="0" xfId="0">
      <alignment horizontal="left" vertical="top" wrapText="1"/>
    </xf>
    <xf numFmtId="0" fontId="5" fillId="0" borderId="1" applyAlignment="1" pivotButton="0" quotePrefix="0" xfId="0">
      <alignment horizontal="left" vertical="top" wrapText="1"/>
    </xf>
    <xf numFmtId="0" fontId="6" fillId="4" borderId="1" applyAlignment="1" pivotButton="0" quotePrefix="0" xfId="0">
      <alignment horizontal="center" vertical="center" wrapText="1"/>
    </xf>
    <xf numFmtId="0" fontId="4" fillId="0" borderId="1" applyAlignment="1" pivotButton="0" quotePrefix="0" xfId="0">
      <alignment horizontal="left" vertical="top" wrapText="1"/>
    </xf>
    <xf numFmtId="0" fontId="5" fillId="6" borderId="1" applyAlignment="1" pivotButton="0" quotePrefix="0" xfId="0">
      <alignment horizontal="left" vertical="top" wrapText="1"/>
    </xf>
    <xf numFmtId="0" fontId="7" fillId="5" borderId="0" applyAlignment="1" pivotButton="0" quotePrefix="0" xfId="0">
      <alignment horizontal="left" vertical="top" wrapText="1"/>
    </xf>
    <xf numFmtId="0" fontId="8" fillId="7" borderId="1" applyAlignment="1" pivotButton="0" quotePrefix="0" xfId="0">
      <alignment horizontal="left" vertical="center" wrapText="1"/>
    </xf>
    <xf numFmtId="0" fontId="5" fillId="0" borderId="0" applyAlignment="1" pivotButton="0" quotePrefix="0" xfId="0">
      <alignment horizontal="left" vertical="top" wrapText="1"/>
    </xf>
    <xf numFmtId="0" fontId="7" fillId="0" borderId="0" applyAlignment="1" pivotButton="0" quotePrefix="0" xfId="0">
      <alignment horizontal="left" vertical="top" wrapText="1"/>
    </xf>
    <xf numFmtId="0" fontId="9" fillId="6" borderId="1" applyAlignment="1" pivotButton="0" quotePrefix="0" xfId="0">
      <alignment horizontal="left" vertical="top" wrapText="1"/>
    </xf>
    <xf numFmtId="0" fontId="4" fillId="5" borderId="1" applyAlignment="1" pivotButton="0" quotePrefix="0" xfId="0">
      <alignment horizontal="left" vertical="center" wrapText="1"/>
    </xf>
    <xf numFmtId="0" fontId="10" fillId="8" borderId="1" applyAlignment="1" pivotButton="0" quotePrefix="0" xfId="0">
      <alignment horizontal="left" vertical="center" wrapText="1"/>
    </xf>
    <xf numFmtId="0" fontId="4" fillId="0" borderId="1" applyAlignment="1" pivotButton="0" quotePrefix="0" xfId="0">
      <alignment horizontal="left" vertical="center" wrapText="1"/>
    </xf>
    <xf numFmtId="0" fontId="8" fillId="7" borderId="1" applyAlignment="1" pivotButton="0" quotePrefix="0" xfId="0">
      <alignment horizontal="left" vertical="top" wrapText="1"/>
    </xf>
    <xf numFmtId="0" fontId="4" fillId="5" borderId="0" applyAlignment="1" pivotButton="0" quotePrefix="0" xfId="0">
      <alignment horizontal="left" vertical="center" wrapText="1"/>
    </xf>
    <xf numFmtId="0" fontId="11" fillId="9" borderId="1" applyAlignment="1" pivotButton="0" quotePrefix="0" xfId="0">
      <alignment horizontal="center" vertical="center" wrapText="1"/>
    </xf>
    <xf numFmtId="0" fontId="5" fillId="0" borderId="1" applyAlignment="1" pivotButton="0" quotePrefix="0" xfId="0">
      <alignment horizontal="left" vertical="center" wrapText="1"/>
    </xf>
    <xf numFmtId="0" fontId="12" fillId="6" borderId="1" applyAlignment="1" pivotButton="0" quotePrefix="0" xfId="0">
      <alignment horizontal="center" vertical="center" wrapText="1"/>
    </xf>
    <xf numFmtId="0" fontId="13" fillId="10" borderId="1" applyAlignment="1" pivotButton="0" quotePrefix="0" xfId="0">
      <alignment horizontal="center" vertical="center" wrapText="1"/>
    </xf>
    <xf numFmtId="0" fontId="8" fillId="7" borderId="1" applyAlignment="1" pivotButton="0" quotePrefix="0" xfId="0">
      <alignment horizontal="center" vertical="center" wrapText="1"/>
    </xf>
    <xf numFmtId="0" fontId="14" fillId="11" borderId="1" applyAlignment="1" pivotButton="0" quotePrefix="0" xfId="0">
      <alignment horizontal="left" vertical="center" wrapText="1"/>
    </xf>
    <xf numFmtId="0" fontId="11" fillId="9" borderId="1" applyAlignment="1" pivotButton="0" quotePrefix="0" xfId="0">
      <alignment horizontal="left" vertical="center" wrapText="1"/>
    </xf>
    <xf numFmtId="0" fontId="15" fillId="12" borderId="1" applyAlignment="1" pivotButton="0" quotePrefix="0" xfId="0">
      <alignment horizontal="left" vertical="center" wrapText="1"/>
    </xf>
    <xf numFmtId="0" fontId="16" fillId="13" borderId="1" applyAlignment="1" pivotButton="0" quotePrefix="0" xfId="0">
      <alignment horizontal="left" vertical="center" wrapText="1"/>
    </xf>
    <xf numFmtId="0" fontId="17" fillId="5" borderId="1" applyAlignment="1" pivotButton="0" quotePrefix="0" xfId="0">
      <alignment horizontal="left" vertical="center" wrapText="1"/>
    </xf>
    <xf numFmtId="0" fontId="11" fillId="9" borderId="1" applyAlignment="1" pivotButton="0" quotePrefix="0" xfId="0">
      <alignment horizontal="center" vertical="top" wrapText="1"/>
    </xf>
    <xf numFmtId="0" fontId="8" fillId="7" borderId="1" applyAlignment="1" pivotButton="0" quotePrefix="0" xfId="0">
      <alignment horizontal="center" vertical="top" wrapText="1"/>
    </xf>
    <xf numFmtId="0" fontId="14" fillId="11" borderId="1" applyAlignment="1" pivotButton="0" quotePrefix="0" xfId="0">
      <alignment horizontal="center" vertical="top" wrapText="1"/>
    </xf>
    <xf numFmtId="0" fontId="12" fillId="6" borderId="1" applyAlignment="1" pivotButton="0" quotePrefix="0" xfId="0">
      <alignment horizontal="center" vertical="top" wrapText="1"/>
    </xf>
    <xf numFmtId="0" fontId="17" fillId="5" borderId="1" applyAlignment="1" pivotButton="0" quotePrefix="0" xfId="0">
      <alignment horizontal="center" vertical="top" wrapText="1"/>
    </xf>
    <xf numFmtId="0" fontId="18" fillId="14" borderId="1" applyAlignment="1" pivotButton="0" quotePrefix="0" xfId="0">
      <alignment horizontal="left" vertical="top" wrapText="1"/>
    </xf>
    <xf numFmtId="0" fontId="16" fillId="13" borderId="1" applyAlignment="1" pivotButton="0" quotePrefix="0" xfId="0">
      <alignment horizontal="center" vertical="top" wrapText="1"/>
    </xf>
    <xf numFmtId="0" fontId="15" fillId="12" borderId="1" applyAlignment="1" pivotButton="0" quotePrefix="0" xfId="0">
      <alignment horizontal="center" vertical="top" wrapText="1"/>
    </xf>
    <xf numFmtId="0" fontId="13" fillId="10" borderId="1" applyAlignment="1" pivotButton="0" quotePrefix="0" xfId="0">
      <alignment horizontal="center" vertical="top" wrapText="1"/>
    </xf>
    <xf numFmtId="0" fontId="12" fillId="6" borderId="1" applyAlignment="1" pivotButton="0" quotePrefix="0" xfId="0">
      <alignment horizontal="left" vertical="top" wrapText="1"/>
    </xf>
    <xf numFmtId="0" fontId="13" fillId="10" borderId="1" applyAlignment="1" pivotButton="0" quotePrefix="0" xfId="0">
      <alignment horizontal="left" vertical="top" wrapText="1"/>
    </xf>
    <xf numFmtId="0" fontId="11" fillId="9" borderId="1" applyAlignment="1" pivotButton="0" quotePrefix="0" xfId="0">
      <alignment horizontal="left" vertical="top" wrapText="1"/>
    </xf>
    <xf numFmtId="0" fontId="17" fillId="5" borderId="1" applyAlignment="1" pivotButton="0" quotePrefix="0" xfId="0">
      <alignment horizontal="left" vertical="top" wrapText="1"/>
    </xf>
    <xf numFmtId="0" fontId="7" fillId="5" borderId="0" applyAlignment="1" pivotButton="0" quotePrefix="0" xfId="0">
      <alignment horizontal="left" vertical="center" wrapText="1"/>
    </xf>
    <xf numFmtId="0" fontId="3" fillId="15" borderId="0" applyAlignment="1" pivotButton="0" quotePrefix="0" xfId="0">
      <alignment horizontal="left" vertical="center"/>
    </xf>
    <xf numFmtId="0" fontId="4" fillId="0" borderId="0" applyAlignment="1" pivotButton="0" quotePrefix="0" xfId="0">
      <alignment horizontal="left" vertical="center" wrapText="1"/>
    </xf>
    <xf numFmtId="3" fontId="10" fillId="8" borderId="1" applyAlignment="1" pivotButton="0" quotePrefix="0" xfId="0">
      <alignment horizontal="right" vertical="center"/>
    </xf>
    <xf numFmtId="0" fontId="7" fillId="0" borderId="0" applyAlignment="1" pivotButton="0" quotePrefix="0" xfId="0">
      <alignment horizontal="left" vertical="center" wrapText="1"/>
    </xf>
    <xf numFmtId="164" fontId="10" fillId="8" borderId="1" applyAlignment="1" pivotButton="0" quotePrefix="0" xfId="0">
      <alignment horizontal="right" vertical="center"/>
    </xf>
    <xf numFmtId="165" fontId="10" fillId="8" borderId="1" applyAlignment="1" pivotButton="0" quotePrefix="0" xfId="0">
      <alignment horizontal="right" vertical="center"/>
    </xf>
    <xf numFmtId="164" fontId="5" fillId="0" borderId="1" applyAlignment="1" pivotButton="0" quotePrefix="0" xfId="0">
      <alignment horizontal="right" vertical="center"/>
    </xf>
    <xf numFmtId="165" fontId="5" fillId="0" borderId="1" applyAlignment="1" pivotButton="0" quotePrefix="0" xfId="0">
      <alignment horizontal="right" vertical="center"/>
    </xf>
    <xf numFmtId="0" fontId="4" fillId="9" borderId="0" applyAlignment="1" pivotButton="0" quotePrefix="0" xfId="0">
      <alignment horizontal="left" vertical="center" wrapText="1"/>
    </xf>
    <xf numFmtId="165" fontId="11" fillId="9" borderId="1" applyAlignment="1" pivotButton="0" quotePrefix="0" xfId="0">
      <alignment horizontal="right" vertical="center"/>
    </xf>
    <xf numFmtId="0" fontId="5" fillId="0" borderId="1" applyAlignment="1" pivotButton="0" quotePrefix="0" xfId="0">
      <alignment horizontal="right" vertical="center"/>
    </xf>
    <xf numFmtId="0" fontId="6" fillId="15" borderId="1" applyAlignment="1" pivotButton="0" quotePrefix="0" xfId="0">
      <alignment horizontal="center" vertical="center" wrapText="1"/>
    </xf>
    <xf numFmtId="165" fontId="4" fillId="9" borderId="1" applyAlignment="1" pivotButton="0" quotePrefix="0" xfId="0">
      <alignment horizontal="right" vertical="center"/>
    </xf>
    <xf numFmtId="0" fontId="19" fillId="0" borderId="0" applyAlignment="1" pivotButton="0" quotePrefix="0" xfId="0">
      <alignment horizontal="left" vertical="top" wrapText="1"/>
    </xf>
    <xf numFmtId="0" fontId="6" fillId="1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center" vertical="top" wrapText="1"/>
    </xf>
    <xf numFmtId="0" fontId="19" fillId="0" borderId="1" applyAlignment="1" pivotButton="0" quotePrefix="0" xfId="0">
      <alignment horizontal="left" vertical="top" wrapText="1"/>
    </xf>
    <xf numFmtId="0" fontId="5" fillId="5" borderId="1" applyAlignment="1" pivotButton="0" quotePrefix="0" xfId="0">
      <alignment horizontal="center" vertical="top" wrapText="1"/>
    </xf>
    <xf numFmtId="0" fontId="5" fillId="9" borderId="1" applyAlignment="1" pivotButton="0" quotePrefix="0" xfId="0">
      <alignment horizontal="center" vertical="top" wrapText="1"/>
    </xf>
    <xf numFmtId="0" fontId="5" fillId="6" borderId="1" applyAlignment="1" pivotButton="0" quotePrefix="0" xfId="0">
      <alignment horizontal="center" vertical="top" wrapText="1"/>
    </xf>
    <xf numFmtId="0" fontId="0" fillId="0" borderId="4" pivotButton="0" quotePrefix="0" xfId="0"/>
    <xf numFmtId="0" fontId="0" fillId="0" borderId="5" pivotButton="0" quotePrefix="0" xfId="0"/>
    <xf numFmtId="0" fontId="1" fillId="2" borderId="0" applyAlignment="1" pivotButton="0" quotePrefix="0" xfId="0">
      <alignment horizontal="left" vertical="center"/>
    </xf>
    <xf numFmtId="0" fontId="3" fillId="4" borderId="0" applyAlignment="1" pivotButton="0" quotePrefix="0" xfId="0">
      <alignment horizontal="left" vertical="center"/>
    </xf>
    <xf numFmtId="0" fontId="20"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9"/>
  <sheetViews>
    <sheetView showGridLines="0" workbookViewId="0">
      <selection activeCell="A1" sqref="A1"/>
    </sheetView>
  </sheetViews>
  <sheetFormatPr baseColWidth="8" defaultRowHeight="15"/>
  <cols>
    <col width="30" customWidth="1" min="1" max="1"/>
    <col width="108" customWidth="1" min="2" max="2"/>
  </cols>
  <sheetData>
    <row r="1" ht="26" customHeight="1">
      <c r="A1" s="1" t="inlineStr">
        <is>
          <t>Porcine Tissue — Second-Source Supplier Study</t>
        </is>
      </c>
    </row>
    <row r="2" ht="30" customHeight="1">
      <c r="A2" s="2" t="inlineStr">
        <is>
          <t>Slaughterhouse &amp; direct-tissue sourcing for pelvic / bariatric / thoracic tissue blocks and organ harvesting.  Prepared 2026-07-28.</t>
        </is>
      </c>
    </row>
    <row r="4" ht="20" customHeight="1">
      <c r="A4" s="3" t="inlineStr">
        <is>
          <t>PURPOSE</t>
        </is>
      </c>
    </row>
    <row r="5" ht="20" customHeight="1">
      <c r="A5" s="3" t="inlineStr">
        <is>
          <t>Identify and qualify additional slaughterhouse suppliers (and national direct-tissue vendors) to expand harvesting capacity beyond the current base of Nahunta (great culture, volume-limited) and Martin's (has volume, weaker culture/quality responsiveness). Findings feed a supplier roster and shortlist for outreach.</t>
        </is>
      </c>
    </row>
    <row r="6" ht="20" customHeight="1">
      <c r="A6" s="3" t="inlineStr">
        <is>
          <t>TARGET PROFILE (the spec)</t>
        </is>
      </c>
    </row>
    <row r="7" ht="72" customHeight="1">
      <c r="A7" s="4" t="inlineStr">
        <is>
          <t>Weekly kill volume — OPEN</t>
        </is>
      </c>
      <c r="B7" s="5" t="inlineStr">
        <is>
          <t>CAPACITY IS NOT A FILTER. No plant is excluded for being too small or too large; every supplier is listed and CLASSIFIED into a volume tier instead:  SMALL 0–300/wk  ·  MEDIUM 350–2,500/wk  ·  MEDIUM-HIGH 2,500–5,000/wk  ·  HIGH over 5,000/wk. Use the tier to decide the operating model and whether aggregation is needed — see 'Legend &amp; Scoring'. (301–349/wk is the Small/Medium boundary; 2,500/wk is the Medium / Medium-High hinge.)</t>
        </is>
      </c>
    </row>
    <row r="8" ht="28" customHeight="1">
      <c r="A8" s="4" t="inlineStr">
        <is>
          <t>Species</t>
        </is>
      </c>
      <c r="B8" s="5" t="inlineStr">
        <is>
          <t>Must slaughter HOGS (swine).  Cattle-only / other-species plants are out of scope.</t>
        </is>
      </c>
    </row>
    <row r="9" ht="36" customHeight="1">
      <c r="A9" s="4" t="inlineStr">
        <is>
          <t>Certification</t>
        </is>
      </c>
      <c r="B9" s="5" t="inlineStr">
        <is>
          <t>USDA-inspected and/or APHIS-certified strongly preferred.  Any plant that is NOT APHIS-certified or NOT USDA-inspected is explicitly FLAGGED in the roster (see the two certification columns).</t>
        </is>
      </c>
    </row>
    <row r="10" ht="36" customHeight="1">
      <c r="A10" s="4" t="inlineStr">
        <is>
          <t>Culture / welfare</t>
        </is>
      </c>
      <c r="B10" s="5" t="inlineStr">
        <is>
          <t>Humane handling of animals AND workers, stable long-tenured workforce, sound family-business culture — a real differentiator (the Nahunta standard). Weighs into fit, not a hard gate.</t>
        </is>
      </c>
    </row>
    <row r="11" ht="36" customHeight="1">
      <c r="A11" s="4" t="inlineStr">
        <is>
          <t>Tissue blocks of interest</t>
        </is>
      </c>
      <c r="B11" s="5" t="inlineStr">
        <is>
          <t>Pelvic, bariatric (abdominal), thoracic — including the ORGANS located in each region. Organ-harvesting capability is valuable; Nahunta already covers most organ needs at its volume.</t>
        </is>
      </c>
    </row>
    <row r="12" ht="20" customHeight="1">
      <c r="A12" s="3" t="inlineStr">
        <is>
          <t>TWO OPERATING MODELS (per supplier)</t>
        </is>
      </c>
    </row>
    <row r="13" ht="36" customHeight="1">
      <c r="A13" s="4" t="inlineStr">
        <is>
          <t>Model A — We harvest on-site</t>
        </is>
      </c>
      <c r="B13" s="5" t="inlineStr">
        <is>
          <t>We send OUR harvesters to the plant and rent space/line access; we collect our own tissue. Needs the plant to grant floor access, cooler space, and scheduling around the kill.</t>
        </is>
      </c>
    </row>
    <row r="14" ht="28" customHeight="1">
      <c r="A14" s="4" t="inlineStr">
        <is>
          <t>Model B — They harvest for us</t>
        </is>
      </c>
      <c r="B14" s="5" t="inlineStr">
        <is>
          <t>The plant does the harvesting to our protocol; we send inspectors/trainers to qualify and audit. Needs the plant to have (or build) trained labor and QA willingness.</t>
        </is>
      </c>
    </row>
    <row r="15" ht="36" customHeight="1">
      <c r="A15" s="4" t="inlineStr">
        <is>
          <t>Third path — Buy direct</t>
        </is>
      </c>
      <c r="B15" s="5" t="inlineStr">
        <is>
          <t>Buy finished porcine tissues/organs from a national research-tissue vendor (no slaughterhouse relationship). See the 'National Direct Suppliers' tab for who sells what, and price-per-tissue where obtainable.</t>
        </is>
      </c>
    </row>
    <row r="16" ht="20" customHeight="1">
      <c r="A16" s="3" t="inlineStr">
        <is>
          <t>HOW TO USE THIS WORKBOOK</t>
        </is>
      </c>
    </row>
    <row r="17" ht="28" customHeight="1">
      <c r="A17" s="4" t="inlineStr">
        <is>
          <t>1</t>
        </is>
      </c>
      <c r="B17" s="5" t="inlineStr">
        <is>
          <t>'Supplier Roster' is the master list — slaughterhouses grouped by region (NC primary; SC/TN/VA; Iowa/Midwest). Sort/filter to shortlist.</t>
        </is>
      </c>
    </row>
    <row r="18" ht="28" customHeight="1">
      <c r="A18" s="4" t="inlineStr">
        <is>
          <t>2</t>
        </is>
      </c>
      <c r="B18" s="5" t="inlineStr">
        <is>
          <t>'National Direct Suppliers' lists vendors selling tissue directly, with price-per-tissue where a real figure was obtainable.</t>
        </is>
      </c>
    </row>
    <row r="19" ht="28" customHeight="1">
      <c r="A19" s="4" t="inlineStr">
        <is>
          <t>3</t>
        </is>
      </c>
      <c r="B19" s="5" t="inlineStr">
        <is>
          <t>'Models &amp; Make-vs-Buy' frames the A / B / buy-direct decision and cost drivers.</t>
        </is>
      </c>
    </row>
    <row r="20" ht="28" customHeight="1">
      <c r="A20" s="4" t="inlineStr">
        <is>
          <t>4</t>
        </is>
      </c>
      <c r="B20" s="5" t="inlineStr">
        <is>
          <t>'Call Question Sheet' is the outreach script — mirror of the CJB agenda — to qualify each plant on volume, access, certs, welfare, and price.</t>
        </is>
      </c>
    </row>
    <row r="21" ht="28" customHeight="1">
      <c r="A21" s="4" t="inlineStr">
        <is>
          <t>5</t>
        </is>
      </c>
      <c r="B21" s="5" t="inlineStr">
        <is>
          <t>'Sources &amp; Confidence' lists every source URL and a confidence rating. Read it before acting on any single number.</t>
        </is>
      </c>
    </row>
    <row r="22" ht="20" customHeight="1">
      <c r="A22" s="3" t="inlineStr">
        <is>
          <t>DATA-QUALITY CAVEAT</t>
        </is>
      </c>
    </row>
    <row r="23" ht="20" customHeight="1">
      <c r="A23" s="3" t="inlineStr">
        <is>
          <t>Weekly hog volumes and certification status for private/custom plants are frequently NOT published. Figures marked 'est.' or 'unknown' MUST be confirmed by phone before commitments. Nothing here substitutes for a call. No number in this workbook was invented — unverifiable fields are left 'unknown' on purpose.</t>
        </is>
      </c>
    </row>
    <row r="25" ht="20" customHeight="1">
      <c r="A25" s="3" t="inlineStr">
        <is>
          <t>KEY FINDINGS (research summary)</t>
        </is>
      </c>
    </row>
    <row r="26" ht="72" customHeight="1">
      <c r="A26" s="5" t="inlineStr">
        <is>
          <t>•  RE-INVESTIGATION (capacity open, 4 tiers): roster expanded 44 → 91 facilities. An agent DEFEATED the FSIS Akamai block with full browser headers and pulled the PRIMARY datasets — MPI Directory (7,225 active establishments), Establishment Demographic Data (with explicit sow_slaughter / market_swine_slaughter / boar_stag flags = USDA's OWN answer on animal class), the Inactive Directory, and ten Quarterly Enforcement Reports. Most figures below are now source-of-truth rather than snippets.</t>
        </is>
      </c>
      <c r="B26" s="64" t="n"/>
    </row>
    <row r="27" ht="60" customHeight="1">
      <c r="A27" s="5" t="inlineStr">
        <is>
          <t>•  THE BAND IS ENUMERABLE: FSIS slaughter_volume_category 4 = 100,000-10,000,000 head/yr. Your 2,500-5,000/wk band (~125k-250k/yr) sits at the BOTTOM of category 4, and only 49 category-4 SWINE establishments exist nationally — all enumerated. A category-3 plant tops out around 2,000/wk and mathematically CANNOT be in the band. This makes Medium-High an exhaustive search, not an anecdotal one.</t>
        </is>
      </c>
      <c r="B27" s="64" t="n"/>
    </row>
    <row r="28" ht="84" customHeight="1">
      <c r="A28" s="5" t="inlineStr">
        <is>
          <t>•  ★ NEW TOP PICK — PIONEER PACKING (M372, Bowling Green OH): the cleanest SOW+BOAR-only signature in USDA's data (market_swine flag BLANK), ~2,250-2,430/wk, AND — decisively — their own site says they specialise in PRE-RIGOR pork including whole-hog pre-rigor. Pre-rigor/hot-boning means product off the floor within ~1-1¾ hours post-mortem. A plant already engineered around sub-2-hour warm-carcass throughput is structurally the closest thing to a tissue-harvest operation in the entire study — the speed and cold-chain discipline we need already exists commercially there.</t>
        </is>
      </c>
      <c r="B28" s="64" t="n"/>
    </row>
    <row r="29" ht="48" customHeight="1">
      <c r="A29" s="5" t="inlineStr">
        <is>
          <t>•  ★ BEST SLEEPER — PEORIA PACKING (M21651, Grant Park IL): nobody had surfaced it. Their own site states capital improvements 'support our ability to supply high-grade products to the MEDICAL AND PHARMACEUTICAL INDUSTRIES' and that they are 'flexible enough to meet our customers' unique specifications'. ~3,000/wk market hogs, no enforcement record, sister plant export-certified.</t>
        </is>
      </c>
      <c r="B29" s="64" t="n"/>
    </row>
    <row r="30" ht="72" customHeight="1">
      <c r="A30" s="5" t="inlineStr">
        <is>
          <t>•  ⚠ THE INCUMBENT IN OUR SPACE: Perry Way Foods (Watertown WI) and Banner Creek (Holton KS) are both DBAs of SUSTAINABLE SWINE RESOURCES — self-described 'largest U.S. supplier of sow tissue', running ISO 22442-2, SQF-certified, GMP medical-material rooms and a Customization Center ADJACENT TO THE HARVEST FLOOR. SSR is a DIRECT COMPETITOR and controls two of the six in-band plants. Model A access may be refused on channel conflict — engage as partner-supplier or read them as competitive intelligence.</t>
        </is>
      </c>
      <c r="B30" s="64" t="n"/>
    </row>
    <row r="31" ht="84" customHeight="1">
      <c r="A31" s="5" t="inlineStr">
        <is>
          <t>•  PENNSYLVANIA GAP CLOSED: all 73 PA federally-inspected swine-slaughter establishments enumerated. Animal Biotech Industries' lab (Harleysville) sits ~5 MILES from BOTH Clemens Food Group (Hatfield) and Leidy's (Souderton) — the two largest eastern-PA hog kills and the only two PA swine plants holding export certification; LAMPIRE (Pipersville) is ~12 mi from the same cluster. LABELLED INFERENCE, not fact — neither names its abattoirs. But asking those plants whether ABI or Lampire technicians already harvest there is the single most valuable question in the outreach list: a yes means a PROVEN Model A precedent.</t>
        </is>
      </c>
      <c r="B31" s="64" t="n"/>
    </row>
    <row r="32" ht="84" customHeight="1">
      <c r="A32" s="5" t="inlineStr">
        <is>
          <t>•  CORRECTIONS THAT KILL PRIOR FINDINGS: (1) GUNNOE SAUSAGE IS CLOSED — shut Nov 2022 after 57 years, brand sold to Logan's Sausage, real estate auctioned SOLD Nov 2024, absent from both active and inactive FSIS directories. The deep study called it 'Virginia's only genuinely in-band plant' — REFUTED. (2) KANSAS CITY SAUSAGE / COASTAL PROTEIN (Godwin NC) does NOT slaughter — no active FSIS establishment there; it is a sausage MANUFACTURING plant that CONSUMES sows, and its abattoir is Martin's Pork Products. (3) Masami exited slaughter; Dayton Meat has no federal grant; Fisher Ham Navasota does not exist (Spring TX is custom-exempt/state).</t>
        </is>
      </c>
      <c r="B32" s="64" t="n"/>
    </row>
    <row r="33" ht="60" customHeight="1">
      <c r="A33" s="5" t="inlineStr">
        <is>
          <t>•  MOST NAMED LEADS WERE BELOW BAND, not in it: F.B. Purnell, Pioneer, both Bob Evans plants and Carlton are FSIS category 3; Dean Sausage is category 2 (~20-200/wk, two orders of magnitude below its reputed 300 sows/day). The sow tier is also CONSOLIDATING FAST — Johnsonville's Momence IL plant (1,650 hd/day) CLOSED June 2025. Category-4 sow capacity now sits in roughly eleven establishments nationally, so Tier-1 relationships should be secured sooner rather than later.</t>
        </is>
      </c>
      <c r="B33" s="64" t="n"/>
    </row>
    <row r="34" ht="84" customHeight="1">
      <c r="A34" s="5" t="inlineStr">
        <is>
          <t>•  WELFARE FINDINGS THAT MATTER TO A WELFARE-LED BUYER: Calihan (Peoria IL) has TWO inhumane-handling suspensions in two years, including a failed captive-bolt stun on a conscious, vocalising boar — FSIS wrote its 'robust' humane programme 'failed to effectively implement'. Clausen (Turlock CA) was suspended ~5 months. Bob Evans Xenia has a 2018 EGREGIOUS NOIE (moribund sow, conscious after the first stun, three attempts). Masami was cited for a worker slitting a CONSCIOUS pig's throat. Dean Sausage has 7 REPEAT OSHA violations incl. blocked exits — which makes Model A a live worker-safety exposure there.</t>
        </is>
      </c>
      <c r="B34" s="64" t="n"/>
    </row>
    <row r="35" ht="60" customHeight="1">
      <c r="A35" s="5" t="inlineStr">
        <is>
          <t>•  DUAL-CLASS AND VOLUNTARY-GRANT PLANTS ARE THE HIDDEN VALUE: F.B. Purnell is flagged for BOTH sow and market slaughter, so animal class can be specced PER BLOCK. And several plants hold a VOLUNTARY (V) grant — Carlton, Swaggerty, Springfield Meat, Lehigh Valley, Smucker's — which is the mechanism USDA uses for NON-AMENABLE / NON-FOOD-USE product, i.e. the regulatory scaffolding for biomedical harvest is already in place at those establishments.</t>
        </is>
      </c>
      <c r="B35" s="64" t="n"/>
    </row>
    <row r="36" ht="48" customHeight="1">
      <c r="A36" s="5" t="inlineStr">
        <is>
          <t>•  BEST OVERALL FIT — Midwest Research Swine (Glencoe/Gibbon, MN): a porcine-ONLY abattoir already harvesting whole organs and tissue for biomedical/xeno research at ~385 hogs/week (in-band), closed herd, holds USDA APHIS licenses. It is essentially your exact operation at your exact scale — contact first.</t>
        </is>
      </c>
      <c r="B36" s="64" t="n"/>
    </row>
    <row r="37" ht="48" customHeight="1">
      <c r="A37" s="5" t="inlineStr">
        <is>
          <t>•  LARGE-BUT-ACCEPTABLE via the organ exception — Smithfield BioScience (Denison, IA + Monmouth IL / Milan MO): ~10,000 hogs/day, but runs a full in-house porcine harvest program spanning all three of your target regions (pelvic, abdominal, thoracic) to customer spec. Natural Model B partner; the one giant packer that qualifies.</t>
        </is>
      </c>
      <c r="B37" s="64" t="n"/>
    </row>
    <row r="38" ht="48" customHeight="1">
      <c r="A38" s="5" t="inlineStr">
        <is>
          <t>•  NORTH CAROLINA best new fits — Piedmont Custom Meats (Gibsonville/Asheboro): USDA + AWA humane + runs a SEPARATE dedicated harvesting facility (best structural match for Model A or B); and Acre Station Meat Farm (Pinetown): USDA-equivalent, ~80 hogs/day (~400/wk), AWA. Both squarely in-band.</t>
        </is>
      </c>
      <c r="B38" s="64" t="n"/>
    </row>
    <row r="39" ht="60" customHeight="1">
      <c r="A39" s="5" t="inlineStr">
        <is>
          <t>•  BENCHMARK NOTES: (1) Your 'Martin's' incumbent is Martin's Pork Products, Falcon NC — an ACTIVE USDA Talmadge-Aiken slaughter+processing plant (Est. TA-6720, ~75 staff), NOT the unrelated Martin's Abattoir in Godwin (a cattle plant that closed 2013). It's federally FSIS-inspected; the APHIS export listing is separate and still to verify. (2) Nahunta is NC STATE-inspected, not USDA-FSIS — which ties directly to your APHIS/EU-export point below.</t>
        </is>
      </c>
      <c r="B39" s="64" t="n"/>
    </row>
    <row r="40" ht="60" customHeight="1">
      <c r="A40" s="5" t="inlineStr">
        <is>
          <t>•  VIRGINIA welfare bench (updated after the enforcement pass): T&amp;E Meats (Harrisonburg, AWA) and Blue Ridge Meats (Middletown, AWA) are the LIVE, humane, USDA-inspected picks — the closest match to the Nahunta standard and a natural Model B fit. Two caveats: EcoFriendly Foods (Certified Humane) reportedly CEASED operations ~2020 — verify before relying on it; and Fauquier's Finest has REPEAT humane-handling suspensions (2018/2021/2024), now downgraded to CAUTION.</t>
        </is>
      </c>
      <c r="B40" s="64" t="n"/>
    </row>
    <row r="41" ht="84" customHeight="1">
      <c r="A41" s="5" t="inlineStr">
        <is>
          <t>•  USDA/FSIS ENFORCEMENT (new roster column): several plants carry documented FSIS humane-handling actions — flagged with ⚠ and re-scored to CAUTION: Fauquier's Finest (VA, repeat), Thomas Brothers (NC, repeat), Wayne Mays (NC), M.L. Mitchell (NC), Triad Meat (NC), plus a single 2023 action at Fayette Packing (TN). Among large packers, Smithfield-Denison, Sioux-Preme/Perdue, Prestage and Wholestone all have humane-handling records. Given your 'Nahunta test', weigh these heavily. IMPORTANT: 'none found' for the small plants means no PUBLIC record — not a clean bill (FSIS data was only reachable via search snippets).</t>
        </is>
      </c>
      <c r="B41" s="64" t="n"/>
    </row>
    <row r="42" ht="72" customHeight="1">
      <c r="A42" s="5" t="inlineStr">
        <is>
          <t>•  BUY-DIRECT × EU EXPORT: buying finished tissue can HELP or HURT EU-export eligibility depending on the vendor. Your cheapest published-price vendor, Innovative Research, labels tissue 'research use only, not for human or animal use' — a LIKELY BLOCKER for EU device-bound product. EU-cleanest vendors (ISO 13485/22442, human-food-chain traceability): Tissue Source, Smithfield BioScience, Midwest Research Swine, SSR. See the 'EU-export fit' column on the National Direct Suppliers tab.</t>
        </is>
      </c>
      <c r="B42" s="64" t="n"/>
    </row>
    <row r="43" ht="48" customHeight="1">
      <c r="A43" s="5" t="inlineStr">
        <is>
          <t>•  HOW TO CHECK APHIS/EXPORT YOURSELF: no facility could be confirmed EU/APHIS-listed for research tissue; six large plants are FSIS export-certified for EDIBLE meat only (not the same thing). The 'APHIS &amp; EU Export' tab now lists the exact websites — FSIS 'Eligible Establishments by Country', the APHIS Export-to-EU page (research tissue goes through APHIS VS), and EU TRACES-NT.</t>
        </is>
      </c>
      <c r="B43" s="64" t="n"/>
    </row>
    <row r="44" ht="72" customHeight="1">
      <c r="A44" s="5" t="inlineStr">
        <is>
          <t>•  CAPACITY IS NOW OPEN — no plant is excluded on size. Every supplier is classified into a VOLUME TIER instead: SMALL 0-300/wk, MEDIUM 350-2,500/wk, HIGH over 2,500/wk. Current spread across the 44 roster entries: 13 SMALL, 4 MEDIUM, 8 HIGH, 18 still to confirm on the call. This brings back plants previously dropped on throughput (Piedmont, Acre Station, Cherry Meat, EcoFriendly, the small custom shops) and un-excludes the large packers — the constraint at HIGH tier is ACCESS, not volume.</t>
        </is>
      </c>
      <c r="B44" s="64" t="n"/>
    </row>
    <row r="45" ht="48" customHeight="1">
      <c r="A45" s="5" t="inlineStr">
        <is>
          <t>•  SC/TN/VA reality: there are essentially NO mid-industrial hog plants in these states — the pool is small custom/USDA shops (mostly SMALL tier, e.g. Cherry Meat TN ~18/wk). With capacity open these are legitimate high-touch Model A/B partners and AGGREGATION candidates; they simply cannot carry volume individually.</t>
        </is>
      </c>
      <c r="B45" s="64" t="n"/>
    </row>
    <row r="46" ht="84" customHeight="1">
      <c r="A46" s="5" t="inlineStr">
        <is>
          <t>•  APHIS / EU EXPORT (now investigated — see dedicated tab): the EU does NOT require suppliers to hand you a standalone 'APHIS certificate.' It requires the ORIGIN plant to be APHIS-approved and listed on the EU TRACES establishment list for the right animal-by-product category (typically Category 3 under Reg (EU) 142/2011), PLUS an APHIS Veterinary Services-endorsed health certificate that YOUR company carries as the exporter. A state-inspected plant (like Nahunta) CAN still qualify — APHIS listing, not an FSIS grant, is the key. No candidate plant's APHIS listing could be verified, so it is the top diligence item for every shortlist plant.</t>
        </is>
      </c>
      <c r="B46" s="64" t="n"/>
    </row>
    <row r="47" ht="48" customHeight="1">
      <c r="A47" s="5" t="inlineStr">
        <is>
          <t>•  NATIONAL DIRECT VENDORS are almost all QUOTE-ONLY. The only published price anchors: Innovative Research ~$141 per single porcine organ and $582 for a full pelvic block (list, base config); Pel-Freez porcine thyroid $361. Tissue Source and ABI stand out on regulatory pedigree (ISO 13485 / USDA-inspected sourcing) if you need EU-grade traceability.</t>
        </is>
      </c>
      <c r="B47" s="64" t="n"/>
    </row>
    <row r="48" ht="48" customHeight="1">
      <c r="A48" s="5" t="inlineStr">
        <is>
          <t>•  MAKE-VS-BUY: self-harvest is generally cheaper per tissue when you pull multiple blocks from one hog and already have labor + cold-chain + abattoir access; buying direct wins for low/irregular volume, or when you need certified traceability you can't yet document in-house (again, the EU-export angle).</t>
        </is>
      </c>
      <c r="B48" s="64" t="n"/>
    </row>
    <row r="49" ht="48" customHeight="1">
      <c r="A49" s="5" t="inlineStr">
        <is>
          <t>•  ALWAYS VERIFY BY PHONE: nearly every weekly-volume and certification figure for small/custom plants is unpublished. Use the 'Call Question Sheet' tab; the authoritative confirmation source is the USDA FSIS MPI Directory + Establishment Demographic Data (species slaughtered + size class per plant).</t>
        </is>
      </c>
      <c r="B49" s="64" t="n"/>
    </row>
  </sheetData>
  <mergeCells count="34">
    <mergeCell ref="A48:B48"/>
    <mergeCell ref="A30:B30"/>
    <mergeCell ref="A49:B49"/>
    <mergeCell ref="A45:B45"/>
    <mergeCell ref="A36:B36"/>
    <mergeCell ref="A1:B1"/>
    <mergeCell ref="A6:B6"/>
    <mergeCell ref="A16:B16"/>
    <mergeCell ref="A25:B25"/>
    <mergeCell ref="A41:B41"/>
    <mergeCell ref="A37:B37"/>
    <mergeCell ref="A46:B46"/>
    <mergeCell ref="A27:B27"/>
    <mergeCell ref="A12:B12"/>
    <mergeCell ref="A26:B26"/>
    <mergeCell ref="A2:B2"/>
    <mergeCell ref="A33:B33"/>
    <mergeCell ref="A47:B47"/>
    <mergeCell ref="A5:B5"/>
    <mergeCell ref="A42:B42"/>
    <mergeCell ref="A32:B32"/>
    <mergeCell ref="A23:B23"/>
    <mergeCell ref="A22:B22"/>
    <mergeCell ref="A35:B35"/>
    <mergeCell ref="A4:B4"/>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59"/>
  <sheetViews>
    <sheetView showGridLines="0" workbookViewId="0">
      <selection activeCell="A1" sqref="A1"/>
    </sheetView>
  </sheetViews>
  <sheetFormatPr baseColWidth="8" defaultRowHeight="15"/>
  <cols>
    <col width="28" customWidth="1" min="1" max="1"/>
    <col width="40" customWidth="1" min="2" max="2"/>
    <col width="28" customWidth="1" min="3" max="3"/>
    <col width="16" customWidth="1" min="4" max="4"/>
    <col width="12" customWidth="1" min="5" max="5"/>
    <col width="12" customWidth="1" min="6" max="6"/>
  </cols>
  <sheetData>
    <row r="1" ht="26" customHeight="1">
      <c r="A1" s="1" t="inlineStr">
        <is>
          <t>Action Items — next steps to pick the slaughterhouse</t>
        </is>
      </c>
    </row>
    <row r="2" ht="30" customHeight="1">
      <c r="A2" s="2" t="inlineStr">
        <is>
          <t>Sequenced: hold the internal strategy meeting FIRST, then send RFQ/Ps to the priority plants. The reach-first list was re-reviewed against volume, welfare/enforcement, certifications, and model fit.</t>
        </is>
      </c>
    </row>
    <row r="4" ht="20" customHeight="1">
      <c r="A4" s="3" t="inlineStr">
        <is>
          <t>MEETINGS — hold in this order (nearest first)</t>
        </is>
      </c>
    </row>
    <row r="5" ht="18" customHeight="1">
      <c r="A5" s="6" t="inlineStr">
        <is>
          <t>Meeting / action</t>
        </is>
      </c>
      <c r="B5" s="6" t="inlineStr">
        <is>
          <t>Purpose — outcome</t>
        </is>
      </c>
      <c r="C5" s="6" t="inlineStr">
        <is>
          <t>Who</t>
        </is>
      </c>
      <c r="D5" s="6" t="inlineStr">
        <is>
          <t>When</t>
        </is>
      </c>
      <c r="E5" s="6" t="inlineStr">
        <is>
          <t>Owner</t>
        </is>
      </c>
      <c r="F5" s="6" t="inlineStr">
        <is>
          <t>Status</t>
        </is>
      </c>
    </row>
    <row r="6" ht="56" customHeight="1">
      <c r="A6" s="7" t="inlineStr">
        <is>
          <t>0a. WRITE THE ANATOMICAL SPEC  (do this FIRST)</t>
        </is>
      </c>
      <c r="B6" s="5" t="inlineStr">
        <is>
          <t>Live weight range, parity (sow vs market hog), age/sex, per block type. A ONE-DAY internal exercise that decides whether ~half the candidate pool stays on the list. No further research can answer it. Use the 'Anatomical Spec' tab.</t>
        </is>
      </c>
      <c r="C6" s="5" t="inlineStr">
        <is>
          <t>Technical / Harvest lead + clinical stakeholder</t>
        </is>
      </c>
      <c r="D6" s="5" t="inlineStr">
        <is>
          <t>Before any outreach</t>
        </is>
      </c>
      <c r="E6" s="8" t="inlineStr"/>
      <c r="F6" s="8" t="inlineStr">
        <is>
          <t>Not started</t>
        </is>
      </c>
    </row>
    <row r="7" ht="56" customHeight="1">
      <c r="A7" s="7" t="inlineStr">
        <is>
          <t>0b. EMAIL APHIS VS on the ABP / Cat 3 pathway</t>
        </is>
      </c>
      <c r="B7" s="5" t="inlineStr">
        <is>
          <t>One email resolves the question governing the whole plant selection: vs.export.product.facilities@usda.gov — (a) what establishment-level listing is required for Category 3 porcine tissue for research/surgical training under Reg. 1069/2009, and (b) is federal (or Talmadge-Aiken) slaughter inspection a HARD prerequisite? Answer to (b) decides if Nahunta can ever be in the EU chain.</t>
        </is>
      </c>
      <c r="C7" s="5" t="inlineStr">
        <is>
          <t>Regulatory / QA</t>
        </is>
      </c>
      <c r="D7" s="5" t="inlineStr">
        <is>
          <t>This week</t>
        </is>
      </c>
      <c r="E7" s="8" t="inlineStr"/>
      <c r="F7" s="8" t="inlineStr">
        <is>
          <t>Not started</t>
        </is>
      </c>
    </row>
    <row r="8" ht="56" customHeight="1">
      <c r="A8" s="7" t="inlineStr">
        <is>
          <t>0c. INTERVIEW A MUCOSA / CASING COLLECTOR</t>
        </is>
      </c>
      <c r="B8" s="5" t="inlineStr">
        <is>
          <t>Scientific Protein Laboratories (Waunakee WI) or DeWied International (San Antonio TX). They ALREADY run our Model A at industrial scale — own crews inside third-party USDA plants under written protocol. Their network is the map of which plants accept a third-party harvest crew, at what price, under whose HACCP.</t>
        </is>
      </c>
      <c r="C8" s="5" t="inlineStr">
        <is>
          <t>Harvest lead + Procurement</t>
        </is>
      </c>
      <c r="D8" s="5" t="inlineStr">
        <is>
          <t>This week</t>
        </is>
      </c>
      <c r="E8" s="8" t="inlineStr"/>
      <c r="F8" s="8" t="inlineStr">
        <is>
          <t>Not started</t>
        </is>
      </c>
    </row>
    <row r="9" ht="56" customHeight="1">
      <c r="A9" s="7" t="inlineStr">
        <is>
          <t>1. Strategy &amp; requirements alignment  (COMPANY stakeholders — NOT slaughterhouses)</t>
        </is>
      </c>
      <c r="B9" s="5" t="inlineStr">
        <is>
          <t>Agree requirements + weighting, the operating model (A vs B), and regional priorities. Run off Supplier_Selection_Meeting_Agenda.md. NEW INPUT: the verified study says no single plant satisfies volume + culture + federal inspection + EU listing — bring the three-lane portfolio recommendation to this meeting.</t>
        </is>
      </c>
      <c r="C9" s="5" t="inlineStr">
        <is>
          <t>Leadership, Ops, QA, Procurement, Harvest / Technical lead</t>
        </is>
      </c>
      <c r="D9" s="5" t="inlineStr">
        <is>
          <t>ASAP — most proximate</t>
        </is>
      </c>
      <c r="E9" s="8" t="inlineStr"/>
      <c r="F9" s="8" t="inlineStr">
        <is>
          <t>Not started</t>
        </is>
      </c>
    </row>
    <row r="10" ht="56" customHeight="1">
      <c r="A10" s="7" t="inlineStr">
        <is>
          <t>2. Outreach kickoff</t>
        </is>
      </c>
      <c r="B10" s="5" t="inlineStr">
        <is>
          <t>Assign who contacts which plant; finalize the RFQ/P and NDA; set a return-by date. Call the three Talmadge-Aiken NC plants (Martin's, Larry's, Bass Farms) INSIDE ONE WEEK and let actual weekly kill numbers pick the winner.</t>
        </is>
      </c>
      <c r="C10" s="5" t="inlineStr">
        <is>
          <t>Procurement + Harvest lead</t>
        </is>
      </c>
      <c r="D10" s="5" t="inlineStr">
        <is>
          <t>Right after Mtg 1</t>
        </is>
      </c>
      <c r="E10" s="8" t="inlineStr"/>
      <c r="F10" s="8" t="inlineStr">
        <is>
          <t>Not started</t>
        </is>
      </c>
    </row>
    <row r="11" ht="56" customHeight="1">
      <c r="A11" s="7" t="inlineStr">
        <is>
          <t>3. Shortlist review &amp; scoring</t>
        </is>
      </c>
      <c r="B11" s="5" t="inlineStr">
        <is>
          <t>Compare returned weekly kill numbers / quotes; score against the agreed weighting; pick the Lane-2 winner. Budget ONE adversarial verification pass on whichever plant wins — Larry's and Bass Farms have never been verified.</t>
        </is>
      </c>
      <c r="C11" s="5" t="inlineStr">
        <is>
          <t>Core team</t>
        </is>
      </c>
      <c r="D11" s="5" t="inlineStr">
        <is>
          <t>As RFQ/Ps return</t>
        </is>
      </c>
      <c r="E11" s="8" t="inlineStr"/>
      <c r="F11" s="8" t="inlineStr">
        <is>
          <t>Not started</t>
        </is>
      </c>
    </row>
    <row r="12" ht="56" customHeight="1">
      <c r="A12" s="7" t="inlineStr">
        <is>
          <t>4. FSIS FOIA on shortlist establishments</t>
        </is>
      </c>
      <c r="B12" s="5" t="inlineStr">
        <is>
          <t>FSIS was unreachable in every research session. File for humane-handling NRs / NOIEs / NOSs on M19904, TA-6720, TA-8305, TA-3521, TA-20129, M21747, M4005, M9065, M7455, M8314. Budget 2-6 weeks — start it in parallel with outreach.</t>
        </is>
      </c>
      <c r="C12" s="5" t="inlineStr">
        <is>
          <t>QA / Regulatory</t>
        </is>
      </c>
      <c r="D12" s="5" t="inlineStr">
        <is>
          <t>Start now (long lead)</t>
        </is>
      </c>
      <c r="E12" s="8" t="inlineStr"/>
      <c r="F12" s="8" t="inlineStr">
        <is>
          <t>Not started</t>
        </is>
      </c>
    </row>
    <row r="13" ht="56" customHeight="1">
      <c r="A13" s="7" t="inlineStr">
        <is>
          <t>5. Site visits / audits  (top 2-3)</t>
        </is>
      </c>
      <c r="B13" s="5" t="inlineStr">
        <is>
          <t>Verify facility, welfare and harvest access on-site. Welfare must be treated as a SITE-VISIT finding, not a records finding — especially for Nahunta, which as a state-inspected plant sits outside FSIS humane-handling reporting entirely.</t>
        </is>
      </c>
      <c r="C13" s="5" t="inlineStr">
        <is>
          <t>Technical + QA</t>
        </is>
      </c>
      <c r="D13" s="5" t="inlineStr">
        <is>
          <t>After scoring</t>
        </is>
      </c>
      <c r="E13" s="8" t="inlineStr"/>
      <c r="F13" s="8" t="inlineStr">
        <is>
          <t>Not started</t>
        </is>
      </c>
    </row>
    <row r="15" ht="20" customHeight="1">
      <c r="A15" s="3" t="inlineStr">
        <is>
          <t>PRIORITY SLAUGHTERHOUSES — reach these first</t>
        </is>
      </c>
    </row>
    <row r="16" ht="18" customHeight="1">
      <c r="A16" s="6" t="inlineStr">
        <is>
          <t>Supplier (re-ranked vs. all 91)</t>
        </is>
      </c>
      <c r="B16" s="6" t="inlineStr">
        <is>
          <t>Why this rank</t>
        </is>
      </c>
      <c r="C16" s="6" t="inlineStr">
        <is>
          <t>Contact</t>
        </is>
      </c>
      <c r="D16" s="6" t="inlineStr">
        <is>
          <t>The ONE thing to confirm</t>
        </is>
      </c>
      <c r="E16" s="6" t="inlineStr">
        <is>
          <t>Owner</t>
        </is>
      </c>
      <c r="F16" s="6" t="inlineStr">
        <is>
          <t>Status</t>
        </is>
      </c>
    </row>
    <row r="17" ht="54" customHeight="1">
      <c r="A17" s="7" t="inlineStr">
        <is>
          <t>1. Pioneer Packing (M372)
Bowling Green, OH · MEDIUM</t>
        </is>
      </c>
      <c r="B17" s="5" t="inlineStr">
        <is>
          <t>★ STRUCTURALLY THE BEST FIT FOUND. Pure SOW+BOAR per USDA's own flags (market_swine blank) = uniformly large anatomy. Already runs a PRE-RIGOR whole-hog business — product off the floor in ~1-1¾ hrs post-mortem. The speed and cold-chain discipline we need already exists there commercially. Small, single site, no enforcement found.</t>
        </is>
      </c>
      <c r="C17" s="5" t="inlineStr">
        <is>
          <t>(419) 352-5283
510 Napoleon Rd · Mon-Fri 7am-2pm</t>
        </is>
      </c>
      <c r="D17" s="5" t="inlineStr">
        <is>
          <t>Actual hogs/week now (2017 figure), and whether the pre-rigor line can carry OUR harvest protocol</t>
        </is>
      </c>
      <c r="E17" s="8" t="inlineStr"/>
      <c r="F17" s="8" t="inlineStr">
        <is>
          <t>Not started</t>
        </is>
      </c>
    </row>
    <row r="18" ht="54" customHeight="1">
      <c r="A18" s="7" t="inlineStr">
        <is>
          <t>2. Nahunta Slaughter House (P-80A)
Pikeville, NC · MEDIUM</t>
        </is>
      </c>
      <c r="B18" s="5" t="inlineStr">
        <is>
          <t>LANE 1 DOMESTIC ANCHOR. The only plant with a PUBLISHED research-specimen pathway (NCDA&amp;CS specimen request form) and fresh spleens/hearts/livers as retail SKUs — viscera provably leave the floor intact. Culture benchmark. NC-only: domestic lane only.</t>
        </is>
      </c>
      <c r="C18" s="5" t="inlineStr">
        <is>
          <t>(919) 242-4735
nahuntapork.com/specimen-permits1</t>
        </is>
      </c>
      <c r="D18" s="5" t="inlineStr">
        <is>
          <t>How many hogs do you KILL per week under P-80A (vs. carcasses bought in for P-80)?</t>
        </is>
      </c>
      <c r="E18" s="8" t="inlineStr"/>
      <c r="F18" s="8" t="inlineStr">
        <is>
          <t>Not started</t>
        </is>
      </c>
    </row>
    <row r="19" ht="54" customHeight="1">
      <c r="A19" s="7" t="inlineStr">
        <is>
          <t>3. Peoria Packing (M21651)
Grant Park, IL · MEDIUM-HIGH</t>
        </is>
      </c>
      <c r="B19" s="5" t="inlineStr">
        <is>
          <t>★ BEST SLEEPER — nobody had surfaced it. Their own site says improvements 'support our ability to supply high-grade products to the MEDICAL AND PHARMACEUTICAL INDUSTRIES' and that they are 'flexible enough to meet unique specifications'. ~3,000/wk, no enforcement record, sister plant export-certified.</t>
        </is>
      </c>
      <c r="C19" s="5" t="inlineStr">
        <is>
          <t>(815) 465-9824 (Grant Park)
(312) 226-2600 (Chicago)</t>
        </is>
      </c>
      <c r="D19" s="5" t="inlineStr">
        <is>
          <t>Who are the medical/pharma customers today, and will they harvest regional BLOCKS to our spec?</t>
        </is>
      </c>
      <c r="E19" s="8" t="inlineStr"/>
      <c r="F19" s="8" t="inlineStr">
        <is>
          <t>Not started</t>
        </is>
      </c>
    </row>
    <row r="20" ht="54" customHeight="1">
      <c r="A20" s="7" t="inlineStr">
        <is>
          <t>4. Leidy's, LLC (M9520)
Souderton, PA · HIGH</t>
        </is>
      </c>
      <c r="B20" s="5" t="inlineStr">
        <is>
          <t>THE PENNSYLVANIA QUESTION. Export-certified, ~5 MILES from Animal Biotech Industries' lab. If ABI or LAMPIRE technicians already harvest here, a Model A PRECEDENT ALREADY EXISTS — the highest-value single question in this list.</t>
        </is>
      </c>
      <c r="C20" s="5" t="inlineStr">
        <is>
          <t>(215) 723-4606
266 W Cherry Ln, Souderton PA</t>
        </is>
      </c>
      <c r="D20" s="5" t="inlineStr">
        <is>
          <t>Do Animal Biotech or LAMPIRE technicians already harvest tissue on your floor? On what commercial terms?</t>
        </is>
      </c>
      <c r="E20" s="8" t="inlineStr"/>
      <c r="F20" s="8" t="inlineStr">
        <is>
          <t>Not started</t>
        </is>
      </c>
    </row>
    <row r="21" ht="54" customHeight="1">
      <c r="A21" s="7" t="inlineStr">
        <is>
          <t>5. Martin's Pork Products (TA-6720)
Falcon, NC · MEDIUM</t>
        </is>
      </c>
      <c r="B21" s="5" t="inlineStr">
        <is>
          <t>LANE 2 + incumbent, so the call is cheap. Now CONFIRMED FSIS category 3 = under 2,000/wk (the 6,500/wk figure is dead), swine-only, Talmadge-Aiken = federally inspected and export-structurally eligible.</t>
        </is>
      </c>
      <c r="C21" s="5" t="inlineStr">
        <is>
          <t>(910) 980-1501
beth@martinspork.com</t>
        </is>
      </c>
      <c r="D21" s="5" t="inlineStr">
        <is>
          <t>Actual head/week and current ownership (2021 deeds suggest our culture read may be stale). Confirm the street address.</t>
        </is>
      </c>
      <c r="E21" s="8" t="inlineStr"/>
      <c r="F21" s="8" t="inlineStr">
        <is>
          <t>Not started</t>
        </is>
      </c>
    </row>
    <row r="22" ht="54" customHeight="1">
      <c r="A22" s="7" t="inlineStr">
        <is>
          <t>6. Swaggerty Sausage (M8314 + V8314)
Kodak, TN · MEDIUM-HIGH</t>
        </is>
      </c>
      <c r="B22" s="5" t="inlineStr">
        <is>
          <t>The only in-band named lead that fully verified. SOW-ONLY = large anatomy. ~4,250/wk. New 50,000 sq ft facility opened Apr 2026 = fresh capital and expansion posture. Holds a VOLUNTARY grant (the non-amenable/research-material mechanism). Captive supply = no third-party buyers competing for viscera.</t>
        </is>
      </c>
      <c r="C22" s="5" t="inlineStr">
        <is>
          <t>(865) 933-2625
2827 Swaggerty Rd, Kodak TN</t>
        </is>
      </c>
      <c r="D22" s="5" t="inlineStr">
        <is>
          <t>Will the V-grant cover non-food research tissue, and can we take viscera off the new line?</t>
        </is>
      </c>
      <c r="E22" s="8" t="inlineStr"/>
      <c r="F22" s="8" t="inlineStr">
        <is>
          <t>Not started</t>
        </is>
      </c>
    </row>
    <row r="23" ht="54" customHeight="1">
      <c r="A23" s="7" t="inlineStr">
        <is>
          <t>7. Carlton Packing / Carlton Farms (M9228 + V9228)
Carlton, OR · MEDIUM</t>
        </is>
      </c>
      <c r="B23" s="5" t="inlineStr">
        <is>
          <t>BEST WELFARE + TRACEABILITY STORY: named-farm sourcing, no hormones/antibiotics, ~5 NW farms. And it ALREADY HOLDS A VOLUNTARY GRANT — the regulatory scaffolding for non-food biomedical harvest is in place. CAVEAT: market hogs, no sows.</t>
        </is>
      </c>
      <c r="C23" s="5" t="inlineStr">
        <is>
          <t>(503) 852-7166
carltonfarms.com</t>
        </is>
      </c>
      <c r="D23" s="5" t="inlineStr">
        <is>
          <t>Does the V-grant already cover non-food product, and what live weight range do you run?</t>
        </is>
      </c>
      <c r="E23" s="8" t="inlineStr"/>
      <c r="F23" s="8" t="inlineStr">
        <is>
          <t>Not started</t>
        </is>
      </c>
    </row>
    <row r="24" ht="54" customHeight="1">
      <c r="A24" s="7" t="inlineStr">
        <is>
          <t>8. F.B. Purnell Sausage (M7464)
Simpsonville, KY · MEDIUM-HIGH</t>
        </is>
      </c>
      <c r="B24" s="5" t="inlineStr">
        <is>
          <t>BEST DUAL-CLASS SUPPLY — the only plant flagged for BOTH sow AND market-hog slaughter, so animal class can be specced PER TISSUE BLOCK. Domestic only (no export certification).</t>
        </is>
      </c>
      <c r="C24" s="5" t="inlineStr">
        <is>
          <t>(502) 722-5626
itsgooo-od.com</t>
        </is>
      </c>
      <c r="D24" s="5" t="inlineStr">
        <is>
          <t>Can we specify sow vs market hog per order, and are viscera already committed to rendering?</t>
        </is>
      </c>
      <c r="E24" s="8" t="inlineStr"/>
      <c r="F24" s="8" t="inlineStr">
        <is>
          <t>Not started</t>
        </is>
      </c>
    </row>
    <row r="25" ht="54" customHeight="1">
      <c r="A25" s="7" t="inlineStr">
        <is>
          <t>9. Larry's Sausage (TA-8305) · Bass Farms (TA-3521)
Fayetteville &amp; Spring Hope, NC · unknown</t>
        </is>
      </c>
      <c r="B25" s="5" t="inlineStr">
        <is>
          <t>LANE 2 alternates, both NC swine-only and Talmadge-Aiken (export-eligible). Bass Farms is 'slaughter only, species C' — the purest Model A structure in the state. NEITHER has been adversarially verified.</t>
        </is>
      </c>
      <c r="C25" s="5" t="inlineStr">
        <is>
          <t>Larry's (910) 483-5148
Bass Farms (252) 478-4147</t>
        </is>
      </c>
      <c r="D25" s="5" t="inlineStr">
        <is>
          <t>Actual weekly kill — that number decides everything. Confirm Bass Farms' TA grant is live.</t>
        </is>
      </c>
      <c r="E25" s="8" t="inlineStr"/>
      <c r="F25" s="8" t="inlineStr">
        <is>
          <t>Not started</t>
        </is>
      </c>
    </row>
    <row r="26" ht="54" customHeight="1">
      <c r="A26" s="7" t="inlineStr">
        <is>
          <t>10. Smithfield BioScience
Tar Heel, NC · HIGH</t>
        </is>
      </c>
      <c r="B26" s="5" t="inlineStr">
        <is>
          <t>LANE 3 — still the ONLY verified organ programme in the study (aortas, valves, pericardium, peritoneum, mucosa, pancreas, pituitary, tendons) plus existing EU pharmaceutical trade. Approach as BOTH supply option AND competitive intelligence.</t>
        </is>
      </c>
      <c r="C26" s="5" t="inlineStr">
        <is>
          <t>smithfieldbioscience.com</t>
        </is>
      </c>
      <c r="D26" s="5" t="inlineStr">
        <is>
          <t>Will you harvest multi-organ regional BLOCKS to our spec, and which APHIS/EU listings do you hold for research material?</t>
        </is>
      </c>
      <c r="E26" s="8" t="inlineStr"/>
      <c r="F26" s="8" t="inlineStr">
        <is>
          <t>Not started</t>
        </is>
      </c>
    </row>
    <row r="27" ht="72" customHeight="1">
      <c r="A27" s="9" t="inlineStr">
        <is>
          <t>•  PARALLEL TRACKS: (a) COMPETITIVE READ — Perry Way Foods (Watertown WI) and Banner Creek (Holton KS) are both Sustainable Swine Resources, our DIRECT COMPETITOR and self-described 'largest U.S. supplier of sow tissue', running ISO 22442-2 GMP medical-material rooms and a Customization Center on the harvest floor. They control two of the six in-band plants. Read them even if we never buy. (b) MUCOSA / CASING COLLECTORS — Scientific Protein Laboratories (Waunakee WI), DeWied International (San Antonio TX): they already run our Model A at industrial scale and their networks map which plants accept third-party crews. (c) BUY-DIRECT BENCHMARK — Tissue Source (EU-cleanest, ISO 13485); avoid Innovative Research for EU-bound product. (d) VDACS CALL 804-786-4569 — Virginia could not be enumerated online; one call closes the last state gap.</t>
        </is>
      </c>
    </row>
    <row r="28" ht="84" customHeight="1">
      <c r="A28" s="9" t="inlineStr">
        <is>
          <t>•  REMOVED / DEPRIORITISED BY THE RE-INVESTIGATION: GUNNOE SAUSAGE — CLOSED Nov 2022, brand sold, real estate auctioned Nov 2024, no establishment number exists. KANSAS CITY SAUSAGE / COASTAL PROTEIN (Godwin) — does not slaughter at all. MASAMI (OR) — exited slaughter, plus a 2018 citation for slitting a CONSCIOUS pig's throat. DAYTON MEAT and FISHER HAM NAVASOTA — no federal grant. T&amp;E MEATS (VA) — killed on verified FSIS humane-handling escalation. WELFARE-GATED, do not lead with these: CALIHAN (two inhumane-handling suspensions in two years incl. a conscious, vocalising boar), CLAUSEN (~5-month suspension), BOB EVANS XENIA (2018 egregious NOIE), DEAN SAUSAGE (7 REPEAT OSHA violations incl. blocked exits — a live safety exposure if we put our own crew inside), THE PORK COMPANY (~7,500/wk, the region's volume prize, but INH suspension May 2025 — read the letters first). PARKS FAMILY MEATS — roaster pigs at 10-150 lb, juvenile anatomy; ask live weight before anything else.</t>
        </is>
      </c>
    </row>
    <row r="30" ht="20" customHeight="1">
      <c r="A30" s="3" t="inlineStr">
        <is>
          <t>RFQ/P — EMAIL TEMPLATE  (copy-paste for email contacts; fill the [brackets])</t>
        </is>
      </c>
    </row>
    <row r="31" ht="18" customHeight="1">
      <c r="A31" s="10" t="inlineStr">
        <is>
          <t>Subject:  Request for Quote / Proposal — Recurring Porcine Tissue Harvesting Partnership</t>
        </is>
      </c>
      <c r="B31" s="65" t="n"/>
      <c r="C31" s="65" t="n"/>
      <c r="D31" s="65" t="n"/>
      <c r="E31" s="65" t="n"/>
      <c r="F31" s="64" t="n"/>
    </row>
    <row r="32" ht="15" customHeight="1">
      <c r="A32" s="11" t="inlineStr">
        <is>
          <t>Hello [Name],</t>
        </is>
      </c>
    </row>
    <row r="33" ht="36" customHeight="1">
      <c r="A33" s="11" t="inlineStr">
        <is>
          <t>We are a biomedical tissue company that harvests porcine tissue blocks — pelvic, abdominal, and thoracic, including the organs in those regions — for medical/research use. We are evaluating slaughterhouse partners for a recurring program and would like to request a quote/proposal.</t>
        </is>
      </c>
    </row>
    <row r="34" ht="15" customHeight="1">
      <c r="A34" s="11" t="inlineStr">
        <is>
          <t>We can structure the arrangement either way and would welcome your input:</t>
        </is>
      </c>
    </row>
    <row r="35" ht="15" customHeight="1">
      <c r="A35" s="11" t="inlineStr">
        <is>
          <t xml:space="preserve">   • Model A — our trained technicians harvest on-site; we rent line/cooler access (by visit or by piece).</t>
        </is>
      </c>
    </row>
    <row r="36" ht="15" customHeight="1">
      <c r="A36" s="11" t="inlineStr">
        <is>
          <t xml:space="preserve">   • Model B — your team harvests to our written protocol; we send trainers/inspectors to qualify and audit.</t>
        </is>
      </c>
    </row>
    <row r="37" ht="15" customHeight="1">
      <c r="A37" s="11" t="inlineStr">
        <is>
          <t>Could you please share:</t>
        </is>
      </c>
    </row>
    <row r="38" ht="15" customHeight="1">
      <c r="A38" s="11" t="inlineStr">
        <is>
          <t xml:space="preserve">   1. Approximate hogs slaughtered per week, and whether you can add head for us.</t>
        </is>
      </c>
    </row>
    <row r="39" ht="24" customHeight="1">
      <c r="A39" s="11" t="inlineStr">
        <is>
          <t xml:space="preserve">   2. USDA/FSIS inspection status (establishment #) and any APHIS export listing (we may export finished models to the EU).</t>
        </is>
      </c>
    </row>
    <row r="40" ht="24" customHeight="1">
      <c r="A40" s="11" t="inlineStr">
        <is>
          <t xml:space="preserve">   3. Which organs/tissues you currently harvest vs. send to rendering, and whether we can collect pelvic/abdominal/thoracic blocks at the kill.</t>
        </is>
      </c>
    </row>
    <row r="41" ht="15" customHeight="1">
      <c r="A41" s="11" t="inlineStr">
        <is>
          <t xml:space="preserve">   4. Pricing — Model A: per-visit access/rental or per-piece; Model B: per-piece harvest fee.</t>
        </is>
      </c>
    </row>
    <row r="42" ht="15" customHeight="1">
      <c r="A42" s="11" t="inlineStr">
        <is>
          <t xml:space="preserve">   5. Cooler/hanging space and typical time-to-chill after slaughter (freshness window).</t>
        </is>
      </c>
    </row>
    <row r="43" ht="15" customHeight="1">
      <c r="A43" s="11" t="inlineStr">
        <is>
          <t xml:space="preserve">   6. Your humane-handling program, and any recent USDA humane-handling actions.</t>
        </is>
      </c>
    </row>
    <row r="44" ht="15" customHeight="1">
      <c r="A44" s="11" t="inlineStr">
        <is>
          <t xml:space="preserve">   7. Lead time, minimum commitment, scheduling, and whether an NDA is needed before we share our protocol.</t>
        </is>
      </c>
    </row>
    <row r="45" ht="15" customHeight="1">
      <c r="A45" s="11" t="inlineStr">
        <is>
          <t>We are glad to sign an NDA and to set up a call or a site visit. Thank you — we look forward to your proposal.</t>
        </is>
      </c>
    </row>
    <row r="46" ht="15" customHeight="1">
      <c r="A46" s="11" t="inlineStr">
        <is>
          <t>Best regards,</t>
        </is>
      </c>
    </row>
    <row r="47" ht="15" customHeight="1">
      <c r="A47" s="11" t="inlineStr">
        <is>
          <t>[Your name] · [Title] · [Company] · [Phone] · [Email]</t>
        </is>
      </c>
    </row>
    <row r="49" ht="20" customHeight="1">
      <c r="A49" s="3" t="inlineStr">
        <is>
          <t>RFQ/P — SHORT SITE / CALL VERSION  (for phone or website inquiry forms)</t>
        </is>
      </c>
    </row>
    <row r="50" ht="16" customHeight="1">
      <c r="A50" s="11" t="inlineStr">
        <is>
          <t>•  Who we are: biomedical porcine-tissue harvester setting up a recurring program.</t>
        </is>
      </c>
    </row>
    <row r="51" ht="16" customHeight="1">
      <c r="A51" s="11" t="inlineStr">
        <is>
          <t>•  Hogs per week? Can you add head for us? Steady year-round?</t>
        </is>
      </c>
    </row>
    <row r="52" ht="16" customHeight="1">
      <c r="A52" s="11" t="inlineStr">
        <is>
          <t>•  USDA/FSIS establishment #? APHIS export listing (we may export to the EU)?</t>
        </is>
      </c>
    </row>
    <row r="53" ht="16" customHeight="1">
      <c r="A53" s="11" t="inlineStr">
        <is>
          <t>•  Which organs are saved vs. rendered? Can we collect pelvic / abdominal / thoracic blocks at the kill?</t>
        </is>
      </c>
    </row>
    <row r="54" ht="16" customHeight="1">
      <c r="A54" s="11" t="inlineStr">
        <is>
          <t>•  Would you HOST our harvesters (Model A — rent by visit or by piece) OR harvest to our spec (Model B)?</t>
        </is>
      </c>
    </row>
    <row r="55" ht="16" customHeight="1">
      <c r="A55" s="11" t="inlineStr">
        <is>
          <t>•  Ballpark pricing (per-visit rental or per-piece)?</t>
        </is>
      </c>
    </row>
    <row r="56" ht="16" customHeight="1">
      <c r="A56" s="11" t="inlineStr">
        <is>
          <t>•  Cooler space + time-to-chill after slaughter (freshness window)?</t>
        </is>
      </c>
    </row>
    <row r="57" ht="16" customHeight="1">
      <c r="A57" s="11" t="inlineStr">
        <is>
          <t>•  Lead time, minimum commitment, NDA needed?</t>
        </is>
      </c>
    </row>
    <row r="58" ht="16" customHeight="1">
      <c r="A58" s="11" t="inlineStr">
        <is>
          <t>•  Best contact name + email to send a written RFQ/P.</t>
        </is>
      </c>
    </row>
    <row r="59" ht="20" customHeight="1">
      <c r="A59" s="12" t="inlineStr">
        <is>
          <t>Once a plant responds, use the 'Call Question Sheet' tab to fully qualify them, and log key data back to the 'Supplier Roster'.</t>
        </is>
      </c>
    </row>
  </sheetData>
  <mergeCells count="35">
    <mergeCell ref="A41:F41"/>
    <mergeCell ref="A54:F54"/>
    <mergeCell ref="A46:F46"/>
    <mergeCell ref="A37:F37"/>
    <mergeCell ref="A27:F27"/>
    <mergeCell ref="A50:F50"/>
    <mergeCell ref="A56:F56"/>
    <mergeCell ref="A55:F55"/>
    <mergeCell ref="A57:F57"/>
    <mergeCell ref="A2:F2"/>
    <mergeCell ref="A33:F33"/>
    <mergeCell ref="A47:F47"/>
    <mergeCell ref="A42:F42"/>
    <mergeCell ref="A32:F32"/>
    <mergeCell ref="A35:F35"/>
    <mergeCell ref="A4:F4"/>
    <mergeCell ref="A53:F53"/>
    <mergeCell ref="A43:F43"/>
    <mergeCell ref="A38:F38"/>
    <mergeCell ref="A52:F52"/>
    <mergeCell ref="A28:F28"/>
    <mergeCell ref="A44:F44"/>
    <mergeCell ref="A31:F31"/>
    <mergeCell ref="A58:F58"/>
    <mergeCell ref="A34:F34"/>
    <mergeCell ref="A40:F40"/>
    <mergeCell ref="A30:F30"/>
    <mergeCell ref="A39:F39"/>
    <mergeCell ref="A15:F15"/>
    <mergeCell ref="A59:F59"/>
    <mergeCell ref="A49:F49"/>
    <mergeCell ref="A51:F51"/>
    <mergeCell ref="A36:F36"/>
    <mergeCell ref="A1:F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3"/>
  <sheetViews>
    <sheetView showGridLines="0" workbookViewId="0">
      <selection activeCell="A1" sqref="A1"/>
    </sheetView>
  </sheetViews>
  <sheetFormatPr baseColWidth="8" defaultRowHeight="15"/>
  <cols>
    <col width="46" customWidth="1" min="1" max="1"/>
    <col width="34" customWidth="1" min="2" max="2"/>
    <col width="34" customWidth="1" min="3" max="3"/>
    <col width="34" customWidth="1" min="4" max="4"/>
  </cols>
  <sheetData>
    <row r="1" ht="26" customHeight="1">
      <c r="A1" s="1" t="inlineStr">
        <is>
          <t>Anatomical Spec — fill this in BEFORE the first supplier call</t>
        </is>
      </c>
    </row>
    <row r="2" ht="30" customHeight="1">
      <c r="A2" s="2" t="inlineStr">
        <is>
          <t>Action #1 from the verified deep study. A one-day internal exercise that decides which plants stay on the list. Blue-on-yellow = you fill in.</t>
        </is>
      </c>
    </row>
    <row r="4" ht="96" customHeight="1">
      <c r="A4" s="13" t="inlineStr">
        <is>
          <t>WHY THIS IS ACTION #1: whether your models can use CULL-SOW anatomy decides the fate of roughly half the candidate pool, and NO amount of further research can answer it — it is a client-side clinical decision. A heavily parous sow has a REMODELLED BIRTH CANAL and a STRETCHED ABDOMINAL WALL: either disqualifying for pelvic and bariatric blocks, or a premium urogynaecology asset. Sow plants currently on the list: Gunnoe (VA), Kansas City Sausage (NC), Swaggerty (TN), Wampler's (TN), Williams/Tyson (TN). Fill this in BEFORE the first supplier call — it reorders the entire contact list.</t>
        </is>
      </c>
      <c r="B4" s="65" t="n"/>
      <c r="C4" s="65" t="n"/>
      <c r="D4" s="64" t="n"/>
    </row>
    <row r="6" ht="20" customHeight="1">
      <c r="A6" s="3" t="inlineStr">
        <is>
          <t>PER-BLOCK SPECIFICATION</t>
        </is>
      </c>
    </row>
    <row r="7" ht="24" customHeight="1">
      <c r="A7" s="6" t="inlineStr">
        <is>
          <t>Parameter</t>
        </is>
      </c>
      <c r="B7" s="6" t="inlineStr">
        <is>
          <t>PELVIC block</t>
        </is>
      </c>
      <c r="C7" s="6" t="inlineStr">
        <is>
          <t>BARIATRIC / abdominal block</t>
        </is>
      </c>
      <c r="D7" s="6" t="inlineStr">
        <is>
          <t>THORACIC block</t>
        </is>
      </c>
    </row>
    <row r="8" ht="26" customHeight="1">
      <c r="A8" s="14" t="inlineStr">
        <is>
          <t>Organs / structures REQUIRED in the block</t>
        </is>
      </c>
      <c r="B8" s="15" t="inlineStr"/>
      <c r="C8" s="15" t="inlineStr"/>
      <c r="D8" s="15" t="inlineStr"/>
    </row>
    <row r="9" ht="26" customHeight="1">
      <c r="A9" s="16" t="inlineStr">
        <is>
          <t>Organs / structures NICE-TO-HAVE</t>
        </is>
      </c>
      <c r="B9" s="15" t="inlineStr"/>
      <c r="C9" s="15" t="inlineStr"/>
      <c r="D9" s="15" t="inlineStr"/>
    </row>
    <row r="10" ht="26" customHeight="1">
      <c r="A10" s="14" t="inlineStr">
        <is>
          <t>Structures that must be left ATTACHED (vessels, ligaments, mesentery)</t>
        </is>
      </c>
      <c r="B10" s="15" t="inlineStr"/>
      <c r="C10" s="15" t="inlineStr"/>
      <c r="D10" s="15" t="inlineStr"/>
    </row>
    <row r="11" ht="26" customHeight="1">
      <c r="A11" s="16" t="inlineStr">
        <is>
          <t>Minimum acceptable specimen size / dimensions</t>
        </is>
      </c>
      <c r="B11" s="15" t="inlineStr"/>
      <c r="C11" s="15" t="inlineStr"/>
      <c r="D11" s="15" t="inlineStr"/>
    </row>
    <row r="12" ht="26" customHeight="1">
      <c r="A12" s="14" t="inlineStr">
        <is>
          <t>Target live weight range of the animal (lb)</t>
        </is>
      </c>
      <c r="B12" s="15" t="inlineStr"/>
      <c r="C12" s="15" t="inlineStr"/>
      <c r="D12" s="15" t="inlineStr"/>
    </row>
    <row r="13" ht="26" customHeight="1">
      <c r="A13" s="16" t="inlineStr">
        <is>
          <t>Absolute min / max live weight (lb)</t>
        </is>
      </c>
      <c r="B13" s="15" t="inlineStr"/>
      <c r="C13" s="15" t="inlineStr"/>
      <c r="D13" s="15" t="inlineStr"/>
    </row>
    <row r="14" ht="26" customHeight="1">
      <c r="A14" s="14" t="inlineStr">
        <is>
          <t>SOW (parous) acceptable?   Yes / No / Only for…</t>
        </is>
      </c>
      <c r="B14" s="15" t="inlineStr"/>
      <c r="C14" s="15" t="inlineStr"/>
      <c r="D14" s="15" t="inlineStr"/>
    </row>
    <row r="15" ht="26" customHeight="1">
      <c r="A15" s="16" t="inlineStr">
        <is>
          <t>If sow acceptable: max parity (number of litters)</t>
        </is>
      </c>
      <c r="B15" s="15" t="inlineStr"/>
      <c r="C15" s="15" t="inlineStr"/>
      <c r="D15" s="15" t="inlineStr"/>
    </row>
    <row r="16" ht="26" customHeight="1">
      <c r="A16" s="14" t="inlineStr">
        <is>
          <t>Market hog acceptable?  Target age (months)</t>
        </is>
      </c>
      <c r="B16" s="15" t="inlineStr"/>
      <c r="C16" s="15" t="inlineStr"/>
      <c r="D16" s="15" t="inlineStr"/>
    </row>
    <row r="17" ht="26" customHeight="1">
      <c r="A17" s="16" t="inlineStr">
        <is>
          <t>Sex required (barrow / gilt / sow / either)</t>
        </is>
      </c>
      <c r="B17" s="15" t="inlineStr"/>
      <c r="C17" s="15" t="inlineStr"/>
      <c r="D17" s="15" t="inlineStr"/>
    </row>
    <row r="18" ht="26" customHeight="1">
      <c r="A18" s="14" t="inlineStr">
        <is>
          <t>Max WARM ISCHEMIA time — kill to preservation (minutes)</t>
        </is>
      </c>
      <c r="B18" s="15" t="inlineStr"/>
      <c r="C18" s="15" t="inlineStr"/>
      <c r="D18" s="15" t="inlineStr"/>
    </row>
    <row r="19" ht="26" customHeight="1">
      <c r="A19" s="16" t="inlineStr">
        <is>
          <t>Preservation method at the plant (chill / saline / PBS / perfusion / freeze)</t>
        </is>
      </c>
      <c r="B19" s="15" t="inlineStr"/>
      <c r="C19" s="15" t="inlineStr"/>
      <c r="D19" s="15" t="inlineStr"/>
    </row>
    <row r="20" ht="26" customHeight="1">
      <c r="A20" s="14" t="inlineStr">
        <is>
          <t>Units needed per WEEK</t>
        </is>
      </c>
      <c r="B20" s="15" t="inlineStr"/>
      <c r="C20" s="15" t="inlineStr"/>
      <c r="D20" s="15" t="inlineStr"/>
    </row>
    <row r="21" ht="26" customHeight="1">
      <c r="A21" s="16" t="inlineStr">
        <is>
          <t>Units needed per MONTH (steady-state)</t>
        </is>
      </c>
      <c r="B21" s="15" t="inlineStr"/>
      <c r="C21" s="15" t="inlineStr"/>
      <c r="D21" s="15" t="inlineStr"/>
    </row>
    <row r="22" ht="26" customHeight="1">
      <c r="A22" s="14" t="inlineStr">
        <is>
          <t>Acceptable defect rate / rejection criteria</t>
        </is>
      </c>
      <c r="B22" s="15" t="inlineStr"/>
      <c r="C22" s="15" t="inlineStr"/>
      <c r="D22" s="15" t="inlineStr"/>
    </row>
    <row r="23" ht="26" customHeight="1">
      <c r="A23" s="16" t="inlineStr">
        <is>
          <t>Disqualifiers (pathology, abscess, trim damage, condemnation)</t>
        </is>
      </c>
      <c r="B23" s="15" t="inlineStr"/>
      <c r="C23" s="15" t="inlineStr"/>
      <c r="D23" s="15" t="inlineStr"/>
    </row>
    <row r="24" ht="26" customHeight="1">
      <c r="A24" s="14" t="inlineStr">
        <is>
          <t>Domestic use only, or EU-bound?  (drives the inspection requirement)</t>
        </is>
      </c>
      <c r="B24" s="15" t="inlineStr"/>
      <c r="C24" s="15" t="inlineStr"/>
      <c r="D24" s="15" t="inlineStr"/>
    </row>
    <row r="26" ht="20" customHeight="1">
      <c r="A26" s="3" t="inlineStr">
        <is>
          <t>THE DECISIONS THIS UNLOCKS</t>
        </is>
      </c>
    </row>
    <row r="27" ht="34" customHeight="1">
      <c r="A27" s="17" t="inlineStr">
        <is>
          <t>DECISION 1 — Sow vs market hog</t>
        </is>
      </c>
      <c r="B27" s="5" t="inlineStr">
        <is>
          <t>Circle one:   MARKET HOG ONLY   /   SOW ACCEPTABLE   /   SOW PREFERRED (urogyn)   /   DEPENDS BY BLOCK (specify above)</t>
        </is>
      </c>
      <c r="C27" s="65" t="n"/>
      <c r="D27" s="64" t="n"/>
    </row>
    <row r="28" ht="48" customHeight="1">
      <c r="A28" s="17" t="inlineStr">
        <is>
          <t>If MARKET HOG ONLY →</t>
        </is>
      </c>
      <c r="B28" s="5" t="inlineStr">
        <is>
          <t>Remove Gunnoe (VA), Kansas City Sausage (NC), Swaggerty (TN) and probably Wampler's and Williams/Tyson (TN) from the list. That leaves the NC Talmadge-Aiken swine plants (Martin's, Larry's, Bass Farms) plus Nahunta as essentially the entire realistic pool — and makes the eastern-NC cluster strategy close to mandatory.</t>
        </is>
      </c>
      <c r="C28" s="65" t="n"/>
      <c r="D28" s="64" t="n"/>
    </row>
    <row r="29" ht="36" customHeight="1">
      <c r="A29" s="17" t="inlineStr">
        <is>
          <t>If SOW ACCEPTABLE →</t>
        </is>
      </c>
      <c r="B29" s="5" t="inlineStr">
        <is>
          <t>The pool roughly doubles and several in-band plants come back: Gunnoe (~450-590/wk), Kansas City Sausage (~3,500-5,000/wk), plus the TN sow plants. Sow anatomy is also closer to ADULT HUMAN SCALE than a 250 lb market hog, which may be a product advantage.</t>
        </is>
      </c>
      <c r="C29" s="65" t="n"/>
      <c r="D29" s="64" t="n"/>
    </row>
    <row r="30" ht="36" customHeight="1">
      <c r="A30" s="17" t="inlineStr">
        <is>
          <t>DECISION 2 — EU exposure</t>
        </is>
      </c>
      <c r="B30" s="5" t="inlineStr">
        <is>
          <t>Which blocks (if any) are destined for EUROPE?  EU-bound product cannot come from Nahunta (state-inspected, NC sales only) and requires a federally-inspected plant plus APHIS/TRACES listing. Domestic-only product has no such constraint.</t>
        </is>
      </c>
      <c r="C30" s="65" t="n"/>
      <c r="D30" s="64" t="n"/>
    </row>
    <row r="31" ht="36" customHeight="1">
      <c r="A31" s="17" t="inlineStr">
        <is>
          <t>DECISION 3 — Ischemia tolerance</t>
        </is>
      </c>
      <c r="B31" s="5" t="inlineStr">
        <is>
          <t>If max warm ischemia is TIGHT (minutes), Model A on-site harvesting is effectively mandatory and buy-direct is out. If it is loose (hours), buy-direct and Model B both stay viable — which materially widens the supplier pool.</t>
        </is>
      </c>
      <c r="C31" s="65" t="n"/>
      <c r="D31" s="64" t="n"/>
    </row>
    <row r="33" ht="22" customHeight="1">
      <c r="A33" s="18" t="inlineStr">
        <is>
          <t>Signed off by: ______________________    Date: ____________    → then update the Action Items contact order to match.</t>
        </is>
      </c>
    </row>
  </sheetData>
  <mergeCells count="11">
    <mergeCell ref="A1:D1"/>
    <mergeCell ref="B28:D28"/>
    <mergeCell ref="A6:D6"/>
    <mergeCell ref="B31:D31"/>
    <mergeCell ref="A4:D4"/>
    <mergeCell ref="A26:D26"/>
    <mergeCell ref="B27:D27"/>
    <mergeCell ref="B30:D30"/>
    <mergeCell ref="A2:D2"/>
    <mergeCell ref="A33:D33"/>
    <mergeCell ref="B29:D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showGridLines="0" workbookViewId="0">
      <selection activeCell="A1" sqref="A1"/>
    </sheetView>
  </sheetViews>
  <sheetFormatPr baseColWidth="8" defaultRowHeight="15"/>
  <cols>
    <col width="24" customWidth="1" min="1" max="1"/>
    <col width="100" customWidth="1" min="2" max="2"/>
  </cols>
  <sheetData>
    <row r="1" ht="26" customHeight="1">
      <c r="A1" s="1" t="inlineStr">
        <is>
          <t>Legend, Status Codes &amp; Fit Scoring</t>
        </is>
      </c>
    </row>
    <row r="3" ht="20" customHeight="1">
      <c r="A3" s="3" t="inlineStr">
        <is>
          <t>STATUS / FIT CODES  (used in the roster 'Fit' column)</t>
        </is>
      </c>
    </row>
    <row r="4" ht="26" customHeight="1">
      <c r="A4" s="19" t="inlineStr">
        <is>
          <t>STRONG FIT</t>
        </is>
      </c>
      <c r="B4" s="20" t="inlineStr">
        <is>
          <t>Volume in band, hogs, USDA-inspected, welfare signal present, plausible for Model A or B. Prioritize outreach.</t>
        </is>
      </c>
    </row>
    <row r="5" ht="26" customHeight="1">
      <c r="A5" s="21" t="inlineStr">
        <is>
          <t>POSSIBLE</t>
        </is>
      </c>
      <c r="B5" s="20" t="inlineStr">
        <is>
          <t>Meets most criteria; one or more items unverified (usually volume or cert). Worth a call.</t>
        </is>
      </c>
    </row>
    <row r="6" ht="26" customHeight="1">
      <c r="A6" s="21" t="inlineStr">
        <is>
          <t>CAUTION</t>
        </is>
      </c>
      <c r="B6" s="20" t="inlineStr">
        <is>
          <t>A material mismatch (volume edge, cert gap, or culture concern) — call, but temper expectations.</t>
        </is>
      </c>
    </row>
    <row r="7" ht="26" customHeight="1">
      <c r="A7" s="22" t="inlineStr">
        <is>
          <t>OUT / FLAG</t>
        </is>
      </c>
      <c r="B7" s="20" t="inlineStr">
        <is>
          <t>Fails a hard criterion (wrong species, no hog slaughter, far outside volume band, or a certification gap that matters).</t>
        </is>
      </c>
    </row>
    <row r="8" ht="26" customHeight="1">
      <c r="A8" s="23" t="inlineStr">
        <is>
          <t>REFERENCE</t>
        </is>
      </c>
      <c r="B8" s="20" t="inlineStr">
        <is>
          <t>Existing/known supplier included as a benchmark (Nahunta, Martin's).</t>
        </is>
      </c>
    </row>
    <row r="10" ht="20" customHeight="1">
      <c r="A10" s="3" t="inlineStr">
        <is>
          <t>VOLUME TIERS  (capacity is OPEN — tier classifies, it does not exclude)</t>
        </is>
      </c>
    </row>
    <row r="11" ht="48" customHeight="1">
      <c r="A11" s="24" t="inlineStr">
        <is>
          <t>SMALL — 0-300 hogs/week</t>
        </is>
      </c>
      <c r="B11" s="20" t="inlineStr">
        <is>
          <t>High-touch, family-scale, often the best welfare culture and the easiest to negotiate bespoke access with. Best for Model A (our harvesters on their floor) and for pilot / low-volume tissue programs. Usually needs AGGREGATION across several nearby plants to reach meaningful volume — which only works if they are close enough to share one crew.</t>
        </is>
      </c>
    </row>
    <row r="12" ht="36" customHeight="1">
      <c r="A12" s="25" t="inlineStr">
        <is>
          <t>MEDIUM — 350-2,500 hogs/week</t>
        </is>
      </c>
      <c r="B12" s="20" t="inlineStr">
        <is>
          <t>The sweet spot for a recurring single-plant program: enough throughput to matter, small enough to stay relationship-driven and to accommodate a third-party harvest crew. Both Model A and Model B are realistic. Note this band is genuinely scarce in the US.</t>
        </is>
      </c>
    </row>
    <row r="13" ht="48" customHeight="1">
      <c r="A13" s="26" t="inlineStr">
        <is>
          <t>MEDIUM-HIGH — 2,500-5,000 hogs/week</t>
        </is>
      </c>
      <c r="B13" s="20" t="inlineStr">
        <is>
          <t>Regional packers and CULL-SOW plants cluster here (~500-1,000 head/day). Volume is comfortable and sow anatomy is closer to adult human scale — potentially a product advantage for pelvic and bariatric blocks. Access is negotiable but more structured than at Medium: expect a formal agreement, scheduled harvest windows and their HACCP governing the floor.</t>
        </is>
      </c>
    </row>
    <row r="14" ht="48" customHeight="1">
      <c r="A14" s="27" t="inlineStr">
        <is>
          <t>HIGH — over 5,000 hogs/week</t>
        </is>
      </c>
      <c r="B14" s="20" t="inlineStr">
        <is>
          <t>Industrial scale. Volume is never the constraint; ACCESS is. Realistically Model B (they harvest to our spec) or a dedicated biologics / organ program. Worth pursuing where a plant ALREADY runs organ or tissue harvesting — that existing programme, not the head count, is the reason to be there.</t>
        </is>
      </c>
    </row>
    <row r="15" ht="36" customHeight="1">
      <c r="A15" s="28" t="inlineStr">
        <is>
          <t>unknown (confirm)</t>
        </is>
      </c>
      <c r="B15" s="20" t="inlineStr">
        <is>
          <t>Weekly hog throughput is not published for most small and custom plants. Set the tier on the qualifying call — ask 'how many hogs did you kill LAST WEEK?', not capacity, and not head across all species.</t>
        </is>
      </c>
    </row>
    <row r="16" ht="36" customHeight="1">
      <c r="A16" s="28" t="inlineStr">
        <is>
          <t>NOTE — boundaries</t>
        </is>
      </c>
      <c r="B16" s="20" t="inlineStr">
        <is>
          <t>301-349/wk sits between Small and Medium, and 2,500/wk is the Medium / Medium-High hinge. Anything landing on a boundary is judged on its other merits (welfare, certification, organ capability, model fit) rather than forced into a band.</t>
        </is>
      </c>
    </row>
    <row r="18" ht="20" customHeight="1">
      <c r="A18" s="3" t="inlineStr">
        <is>
          <t>CERTIFICATION COLUMN CODES</t>
        </is>
      </c>
    </row>
    <row r="19" ht="24" customHeight="1">
      <c r="A19" s="14" t="inlineStr">
        <is>
          <t>USDA ✓</t>
        </is>
      </c>
      <c r="B19" s="20" t="inlineStr">
        <is>
          <t>Federally inspected (FSIS) slaughter — grant of inspection.</t>
        </is>
      </c>
    </row>
    <row r="20" ht="24" customHeight="1">
      <c r="A20" s="14" t="inlineStr">
        <is>
          <t>State ✓</t>
        </is>
      </c>
      <c r="B20" s="20" t="inlineStr">
        <is>
          <t>State meat-inspection program (equal-to FSIS for intrastate sale).</t>
        </is>
      </c>
    </row>
    <row r="21" ht="24" customHeight="1">
      <c r="A21" s="14" t="inlineStr">
        <is>
          <t>Custom-exempt</t>
        </is>
      </c>
      <c r="B21" s="20" t="inlineStr">
        <is>
          <t>Custom/exempt plant — NOT continuously inspected; product not for general commerce. FLAG for our use.</t>
        </is>
      </c>
    </row>
    <row r="22" ht="24" customHeight="1">
      <c r="A22" s="14" t="inlineStr">
        <is>
          <t>APHIS ✓ / n/a</t>
        </is>
      </c>
      <c r="B22" s="20" t="inlineStr">
        <is>
          <t>APHIS certification relates to animal-health/export programs; note where relevant. 'n/a' = not the applicable regime for this plant.</t>
        </is>
      </c>
    </row>
    <row r="23" ht="24" customHeight="1">
      <c r="A23" s="14" t="inlineStr">
        <is>
          <t>unknown</t>
        </is>
      </c>
      <c r="B23" s="20" t="inlineStr">
        <is>
          <t>Not published / not confirmed — MUST verify by phone.</t>
        </is>
      </c>
    </row>
    <row r="25" ht="20" customHeight="1">
      <c r="A25" s="3" t="inlineStr">
        <is>
          <t>HOW 'FIT' IS JUDGED  (weighting, not a hard formula)</t>
        </is>
      </c>
    </row>
    <row r="26" ht="24" customHeight="1">
      <c r="A26" s="14" t="inlineStr">
        <is>
          <t>Hog slaughter present</t>
        </is>
      </c>
      <c r="B26" s="20" t="inlineStr">
        <is>
          <t>Hard gate — no hogs, out of scope.</t>
        </is>
      </c>
    </row>
    <row r="27" ht="24" customHeight="1">
      <c r="A27" s="14" t="inlineStr">
        <is>
          <t>Weekly volume</t>
        </is>
      </c>
      <c r="B27" s="20" t="inlineStr">
        <is>
          <t>NOT a gate — capacity is open. Recorded as a TIER (Small / Medium / High) that shapes the operating model and whether aggregation is needed.</t>
        </is>
      </c>
    </row>
    <row r="28" ht="24" customHeight="1">
      <c r="A28" s="14" t="inlineStr">
        <is>
          <t>USDA / APHIS status</t>
        </is>
      </c>
      <c r="B28" s="20" t="inlineStr">
        <is>
          <t>Preferred; a gap is flagged, not always fatal (depends on our use + Model).</t>
        </is>
      </c>
    </row>
    <row r="29" ht="24" customHeight="1">
      <c r="A29" s="14" t="inlineStr">
        <is>
          <t>Welfare &amp; culture</t>
        </is>
      </c>
      <c r="B29" s="20" t="inlineStr">
        <is>
          <t>Strong tie-breaker — the Nahunta differentiator.</t>
        </is>
      </c>
    </row>
    <row r="30" ht="24" customHeight="1">
      <c r="A30" s="14" t="inlineStr">
        <is>
          <t>Model A or B feasible</t>
        </is>
      </c>
      <c r="B30" s="20" t="inlineStr">
        <is>
          <t>At least one operating model must be plausible.</t>
        </is>
      </c>
    </row>
    <row r="31" ht="24" customHeight="1">
      <c r="A31" s="14" t="inlineStr">
        <is>
          <t>Organ/tissue capability</t>
        </is>
      </c>
      <c r="B31" s="20" t="inlineStr">
        <is>
          <t>Bonus; especially valuable for pelvic/bariatric/thoracic blocks.</t>
        </is>
      </c>
    </row>
  </sheetData>
  <mergeCells count="5">
    <mergeCell ref="A25:B25"/>
    <mergeCell ref="A10:B10"/>
    <mergeCell ref="A1:B1"/>
    <mergeCell ref="A18:B18"/>
    <mergeCell ref="A3:B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13"/>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7" customWidth="1" min="3" max="3"/>
    <col width="13" customWidth="1" min="4" max="4"/>
    <col width="15" customWidth="1" min="5" max="5"/>
    <col width="7" customWidth="1" min="6" max="6"/>
    <col width="11" customWidth="1" min="7" max="7"/>
    <col width="34" customWidth="1" min="8" max="8"/>
    <col width="30" customWidth="1" min="9" max="9"/>
    <col width="22" customWidth="1" min="10" max="10"/>
    <col width="20" customWidth="1" min="11" max="11"/>
    <col width="16" customWidth="1" min="12" max="12"/>
    <col width="16" customWidth="1" min="13" max="13"/>
    <col width="22" customWidth="1" min="14" max="14"/>
    <col width="14" customWidth="1" min="15" max="15"/>
    <col width="8" customWidth="1" min="16" max="16"/>
    <col width="40" customWidth="1" min="17" max="17"/>
  </cols>
  <sheetData>
    <row r="1" ht="26" customHeight="1">
      <c r="A1" s="1" t="inlineStr">
        <is>
          <t>Supplier Roster — Slaughterhouses (hog kill), grouped by region</t>
        </is>
      </c>
    </row>
    <row r="2" ht="30" customHeight="1">
      <c r="A2" s="2" t="inlineStr">
        <is>
          <t>Primary: North Carolina.  Secondary: South Carolina / Tennessee / Virginia.  Then: Iowa &amp; Midwest.  'est.' = estimate to confirm by phone; 'unknown' = not published.</t>
        </is>
      </c>
    </row>
    <row r="4" ht="40" customHeight="1">
      <c r="A4" s="6" t="inlineStr">
        <is>
          <t>Supplier / plant</t>
        </is>
      </c>
      <c r="B4" s="6" t="inlineStr">
        <is>
          <t>Location</t>
        </is>
      </c>
      <c r="C4" s="6" t="inlineStr">
        <is>
          <t>Type</t>
        </is>
      </c>
      <c r="D4" s="6" t="inlineStr">
        <is>
          <t>Est. hogs / week</t>
        </is>
      </c>
      <c r="E4" s="6" t="inlineStr">
        <is>
          <t>Volume tier</t>
        </is>
      </c>
      <c r="F4" s="6" t="inlineStr">
        <is>
          <t>Hogs?</t>
        </is>
      </c>
      <c r="G4" s="6" t="inlineStr">
        <is>
          <t>USDA insp.</t>
        </is>
      </c>
      <c r="H4" s="6" t="inlineStr">
        <is>
          <t>USDA / FSIS enforcement</t>
        </is>
      </c>
      <c r="I4" s="6" t="inlineStr">
        <is>
          <t>APHIS export status</t>
        </is>
      </c>
      <c r="J4" s="6" t="inlineStr">
        <is>
          <t>Welfare &amp; culture</t>
        </is>
      </c>
      <c r="K4" s="6" t="inlineStr">
        <is>
          <t>Organ / tissue harvest</t>
        </is>
      </c>
      <c r="L4" s="6" t="inlineStr">
        <is>
          <t>Model A
(we harvest on-site)</t>
        </is>
      </c>
      <c r="M4" s="6" t="inlineStr">
        <is>
          <t>Model B
(they harvest)</t>
        </is>
      </c>
      <c r="N4" s="6" t="inlineStr">
        <is>
          <t>Contact</t>
        </is>
      </c>
      <c r="O4" s="6" t="inlineStr">
        <is>
          <t>Fit</t>
        </is>
      </c>
      <c r="P4" s="6" t="inlineStr">
        <is>
          <t>Conf.</t>
        </is>
      </c>
      <c r="Q4" s="6" t="inlineStr">
        <is>
          <t>Notes / source</t>
        </is>
      </c>
    </row>
    <row r="5" ht="20" customHeight="1">
      <c r="A5" s="3" t="inlineStr">
        <is>
          <t>REFERENCE — existing / benchmark suppliers</t>
        </is>
      </c>
    </row>
    <row r="6" ht="58" customHeight="1">
      <c r="A6" s="7" t="inlineStr">
        <is>
          <t>Nahunta Pork Center</t>
        </is>
      </c>
      <c r="B6" s="5" t="inlineStr">
        <is>
          <t>Pikeville, NC</t>
        </is>
      </c>
      <c r="C6" s="5" t="inlineStr">
        <is>
          <t>Custom slaughter + pork retail</t>
        </is>
      </c>
      <c r="D6" s="5" t="inlineStr">
        <is>
          <t>~400-500 (est.)</t>
        </is>
      </c>
      <c r="E6" s="29" t="inlineStr">
        <is>
          <t>MEDIUM
(350-2,500/wk)</t>
        </is>
      </c>
      <c r="F6" s="5" t="inlineStr">
        <is>
          <t>Yes</t>
        </is>
      </c>
      <c r="G6" s="5" t="inlineStr">
        <is>
          <t>STATE only
(NOT USDA)</t>
        </is>
      </c>
      <c r="H6" s="5" t="inlineStr">
        <is>
          <t>None found in public FSIS / recall / AWI sources</t>
        </is>
      </c>
      <c r="I6" s="5" t="inlineStr">
        <is>
          <t>Not on public export lists — verify w/ APHIS VS (state-inspected)</t>
        </is>
      </c>
      <c r="J6" s="5" t="inlineStr">
        <is>
          <t>Strong — 3rd-gen Pierce family, decades of staff tenure; the culture benchmark</t>
        </is>
      </c>
      <c r="K6" s="5" t="inlineStr">
        <is>
          <t>Incumbent — most organ needs already covered here</t>
        </is>
      </c>
      <c r="L6" s="5" t="inlineStr">
        <is>
          <t>Yes (already custom-slaughters 3rd-party animals)</t>
        </is>
      </c>
      <c r="M6" s="5" t="inlineStr">
        <is>
          <t>Yes</t>
        </is>
      </c>
      <c r="N6" s="5" t="inlineStr">
        <is>
          <t>(919) 242-4735
nahuntapork.com</t>
        </is>
      </c>
      <c r="O6" s="30" t="inlineStr">
        <is>
          <t>REFERENCE</t>
        </is>
      </c>
      <c r="P6" s="5" t="inlineStr">
        <is>
          <t>High / est.</t>
        </is>
      </c>
      <c r="Q6" s="5" t="inlineStr">
        <is>
          <t>Incumbent; great culture but volume-capped (~150 hogs/day). NC STATE-inspected, NOT USDA — FLAG per your cert requirement. APHIS unknown.</t>
        </is>
      </c>
    </row>
    <row r="7" ht="58" customHeight="1">
      <c r="A7" s="7" t="inlineStr">
        <is>
          <t>Martin's Pork Products, Inc.</t>
        </is>
      </c>
      <c r="B7" s="5" t="inlineStr">
        <is>
          <t>Falcon, NC</t>
        </is>
      </c>
      <c r="C7" s="5" t="inlineStr">
        <is>
          <t>USDA (Talmadge-Aiken) slaughter + processing</t>
        </is>
      </c>
      <c r="D7" s="5" t="inlineStr">
        <is>
          <t>unknown — 'has volume' (est. mid-size)</t>
        </is>
      </c>
      <c r="E7" s="29" t="inlineStr">
        <is>
          <t>MEDIUM
(350-2,500/wk)</t>
        </is>
      </c>
      <c r="F7" s="5" t="inlineStr">
        <is>
          <t>Yes</t>
        </is>
      </c>
      <c r="G7" s="5" t="inlineStr">
        <is>
          <t>USDA ✓
(T-A, TA-6720)</t>
        </is>
      </c>
      <c r="H7" s="5" t="inlineStr">
        <is>
          <t>None found in public FSIS / recall / AWI sources</t>
        </is>
      </c>
      <c r="I7" s="5" t="inlineStr">
        <is>
          <t>FSIS-listed (TA-6720); NOT on public export lists — verify w/ APHIS VS</t>
        </is>
      </c>
      <c r="J7" s="5" t="inlineStr">
        <is>
          <t>Incumbent — 'ok' experience; quality issues harder to resolve (weaker culture/responsiveness than Nahunta); ~75 staff</t>
        </is>
      </c>
      <c r="K7" s="5" t="inlineStr">
        <is>
          <t>Pork slaughter + processing + wholesale</t>
        </is>
      </c>
      <c r="L7" s="5" t="inlineStr">
        <is>
          <t>Possible</t>
        </is>
      </c>
      <c r="M7" s="5" t="inlineStr">
        <is>
          <t>Yes (incumbent)</t>
        </is>
      </c>
      <c r="N7" s="5" t="inlineStr">
        <is>
          <t>(910) 980-1501
beth@martinspork.com · martinspork.com</t>
        </is>
      </c>
      <c r="O7" s="30" t="inlineStr">
        <is>
          <t>REFERENCE</t>
        </is>
      </c>
      <c r="P7" s="5" t="inlineStr">
        <is>
          <t>High</t>
        </is>
      </c>
      <c r="Q7" s="5" t="inlineStr">
        <is>
          <t>YOUR INCUMBENT (corrected): Martin's Pork Products, Falcon, NC — NOT the unrelated Martin's Abattoir in Godwin (a cattle plant that closed 2013). Active USDA Talmadge-Aiken plant (federal FSIS inspection via NC state inspectors; Est. TA-6720), slaughter + processing since ~2000, ~75 staff, NC Meat Processors Assn member. 'Has volume' per your note — confirm weekly hog count. Federal FSIS confirmed; APHIS export listing separate &amp; to verify (you believe APHIS-certified).</t>
        </is>
      </c>
    </row>
    <row r="8" ht="20" customHeight="1">
      <c r="A8" s="3" t="inlineStr">
        <is>
          <t>NORTH CAROLINA — candidate slaughterhouses (primary region)</t>
        </is>
      </c>
    </row>
    <row r="9" ht="58" customHeight="1">
      <c r="A9" s="7" t="inlineStr">
        <is>
          <t>Piedmont Custom Meats</t>
        </is>
      </c>
      <c r="B9" s="5" t="inlineStr">
        <is>
          <t>Gibsonville / Asheboro, NC</t>
        </is>
      </c>
      <c r="C9" s="5" t="inlineStr">
        <is>
          <t>USDA-inspected</t>
        </is>
      </c>
      <c r="D9" s="5" t="inlineStr">
        <is>
          <t>unknown (5 days/wk)</t>
        </is>
      </c>
      <c r="E9" s="31" t="inlineStr">
        <is>
          <t>SMALL
(0-300/wk)</t>
        </is>
      </c>
      <c r="F9" s="5" t="inlineStr">
        <is>
          <t>Yes</t>
        </is>
      </c>
      <c r="G9" s="5" t="inlineStr">
        <is>
          <t>USDA ✓</t>
        </is>
      </c>
      <c r="H9" s="5" t="inlineStr">
        <is>
          <t>None found (markets AWA / Grandin-designed humane facility)</t>
        </is>
      </c>
      <c r="I9" s="5" t="inlineStr">
        <is>
          <t>FSIS Est. M7975A; not on public export lists — verify</t>
        </is>
      </c>
      <c r="J9" s="5" t="inlineStr">
        <is>
          <t>Strong — AWA-approved, written humane-handling policy, Temple-Grandin-influenced design</t>
        </is>
      </c>
      <c r="K9" s="5" t="inlineStr">
        <is>
          <t>Runs a SEPARATE dedicated harvesting facility (distinct from processing)</t>
        </is>
      </c>
      <c r="L9" s="5" t="inlineStr">
        <is>
          <t>Yes — separate harvest site suits on-site access</t>
        </is>
      </c>
      <c r="M9" s="5" t="inlineStr">
        <is>
          <t>Yes — contract harvest plausible</t>
        </is>
      </c>
      <c r="N9" s="5" t="inlineStr">
        <is>
          <t>(336) 628-4949
piedmontcustommeats.com</t>
        </is>
      </c>
      <c r="O9" s="29" t="inlineStr">
        <is>
          <t>STRONG FIT</t>
        </is>
      </c>
      <c r="P9" s="5" t="inlineStr">
        <is>
          <t>High (struct.)</t>
        </is>
      </c>
      <c r="Q9" s="5" t="inlineStr">
        <is>
          <t>SMALL tier (deep study: FSIS 'Very Small', realistic low tens/wk) BUT capacity is now open — and this is still the best STRUCTURAL match in NC: a separate Temple-Grandin harvest floor, USDA, AWA. Ideal Model A pilot or cluster anchor. Confirm hogs/wk + third-party access.</t>
        </is>
      </c>
    </row>
    <row r="10" ht="58" customHeight="1">
      <c r="A10" s="7" t="inlineStr">
        <is>
          <t>Acre Station Meat Farm</t>
        </is>
      </c>
      <c r="B10" s="5" t="inlineStr">
        <is>
          <t>Pinetown, NC</t>
        </is>
      </c>
      <c r="C10" s="5" t="inlineStr">
        <is>
          <t>USDA-equivalent (Talmadge-Aiken)</t>
        </is>
      </c>
      <c r="D10" s="5" t="inlineStr">
        <is>
          <t>~400 (80 hogs/day cap)</t>
        </is>
      </c>
      <c r="E10" s="31" t="inlineStr">
        <is>
          <t>SMALL
(0-300/wk)</t>
        </is>
      </c>
      <c r="F10" s="5" t="inlineStr">
        <is>
          <t>Yes</t>
        </is>
      </c>
      <c r="G10" s="5" t="inlineStr">
        <is>
          <t>USDA ✓
(T-A prog.)</t>
        </is>
      </c>
      <c r="H10" s="5" t="inlineStr">
        <is>
          <t>None found (Est. M19904)</t>
        </is>
      </c>
      <c r="I10" s="5" t="inlineStr">
        <is>
          <t>Not on public export lists — verify w/ APHIS VS</t>
        </is>
      </c>
      <c r="J10" s="5" t="inlineStr">
        <is>
          <t>AWA (Animal Welfare Approved) certified; family farm</t>
        </is>
      </c>
      <c r="K10" s="5" t="inlineStr">
        <is>
          <t>Plausible — custom multi-species</t>
        </is>
      </c>
      <c r="L10" s="5" t="inlineStr">
        <is>
          <t>Plausible</t>
        </is>
      </c>
      <c r="M10" s="5" t="inlineStr">
        <is>
          <t>Plausible</t>
        </is>
      </c>
      <c r="N10" s="5" t="inlineStr">
        <is>
          <t>(252) 927-3700
acrestationmeatfarm.com</t>
        </is>
      </c>
      <c r="O10" s="32" t="inlineStr">
        <is>
          <t>POSSIBLE</t>
        </is>
      </c>
      <c r="P10" s="5" t="inlineStr">
        <is>
          <t>Med</t>
        </is>
      </c>
      <c r="Q10" s="5" t="inlineStr">
        <is>
          <t>SMALL tier — deep study found ~150/wk ACTUAL (the ~400/wk figure was a nameplate '80 hogs OR 7 cattle'/day x5). Still a welfare-forward TA plant. UNRESOLVED: two directories label it CUSTOM EXEMPT, which would kill saleability/exportability — confirm first.</t>
        </is>
      </c>
    </row>
    <row r="11" ht="58" customHeight="1">
      <c r="A11" s="7" t="inlineStr">
        <is>
          <t>Custom Quality Packers, LLC</t>
        </is>
      </c>
      <c r="B11" s="5" t="inlineStr">
        <is>
          <t>Sims, NC</t>
        </is>
      </c>
      <c r="C11" s="5" t="inlineStr">
        <is>
          <t>Slaughter (USDA/NCDA unclear)</t>
        </is>
      </c>
      <c r="D11" s="5" t="inlineStr">
        <is>
          <t>unknown</t>
        </is>
      </c>
      <c r="E11" s="33" t="inlineStr">
        <is>
          <t>unknown
(confirm)</t>
        </is>
      </c>
      <c r="F11" s="5" t="inlineStr">
        <is>
          <t>Yes (HOGS ONLY)</t>
        </is>
      </c>
      <c r="G11" s="5" t="inlineStr">
        <is>
          <t>unknown</t>
        </is>
      </c>
      <c r="H11" s="5" t="inlineStr">
        <is>
          <t>None found (Est. M20129)</t>
        </is>
      </c>
      <c r="I11" s="5" t="inlineStr">
        <is>
          <t>Not on public export lists — verify</t>
        </is>
      </c>
      <c r="J11" s="5" t="inlineStr">
        <is>
          <t>unknown</t>
        </is>
      </c>
      <c r="K11" s="5" t="inlineStr">
        <is>
          <t>Plausible; skin-and-scald offered</t>
        </is>
      </c>
      <c r="L11" s="5" t="inlineStr">
        <is>
          <t>Plausible</t>
        </is>
      </c>
      <c r="M11" s="5" t="inlineStr">
        <is>
          <t>Plausible</t>
        </is>
      </c>
      <c r="N11" s="5" t="inlineStr">
        <is>
          <t>(252) 235-3558</t>
        </is>
      </c>
      <c r="O11" s="32" t="inlineStr">
        <is>
          <t>POSSIBLE</t>
        </is>
      </c>
      <c r="P11" s="5" t="inlineStr">
        <is>
          <t>Med</t>
        </is>
      </c>
      <c r="Q11" s="5" t="inlineStr">
        <is>
          <t>Rare HOG-ONLY plant (most are multi-species) — potentially higher hog throughput. Call to confirm volume + inspection type.</t>
        </is>
      </c>
    </row>
    <row r="12" ht="58" customHeight="1">
      <c r="A12" s="7" t="inlineStr">
        <is>
          <t>George Flowers Slaughter House</t>
        </is>
      </c>
      <c r="B12" s="5" t="inlineStr">
        <is>
          <t>Sims, NC</t>
        </is>
      </c>
      <c r="C12" s="5" t="inlineStr">
        <is>
          <t>Slaughter</t>
        </is>
      </c>
      <c r="D12" s="5" t="inlineStr">
        <is>
          <t>unknown</t>
        </is>
      </c>
      <c r="E12" s="33" t="inlineStr">
        <is>
          <t>unknown
(confirm)</t>
        </is>
      </c>
      <c r="F12" s="5" t="inlineStr">
        <is>
          <t>Yes (hogs+goats)</t>
        </is>
      </c>
      <c r="G12" s="5" t="inlineStr">
        <is>
          <t>unknown</t>
        </is>
      </c>
      <c r="H12" s="5" t="inlineStr">
        <is>
          <t>None found (Est. M21747)</t>
        </is>
      </c>
      <c r="I12" s="5" t="inlineStr">
        <is>
          <t>Not on public export lists — verify</t>
        </is>
      </c>
      <c r="J12" s="5" t="inlineStr">
        <is>
          <t>unknown</t>
        </is>
      </c>
      <c r="K12" s="5" t="inlineStr">
        <is>
          <t>Plausible; skin-and-scald</t>
        </is>
      </c>
      <c r="L12" s="5" t="inlineStr">
        <is>
          <t>Plausible</t>
        </is>
      </c>
      <c r="M12" s="5" t="inlineStr">
        <is>
          <t>Plausible</t>
        </is>
      </c>
      <c r="N12" s="5" t="inlineStr">
        <is>
          <t>(252) 237-2982</t>
        </is>
      </c>
      <c r="O12" s="32" t="inlineStr">
        <is>
          <t>POSSIBLE</t>
        </is>
      </c>
      <c r="P12" s="5" t="inlineStr">
        <is>
          <t>Med</t>
        </is>
      </c>
      <c r="Q12" s="5" t="inlineStr">
        <is>
          <t>Hog-focused small op. Volume/inspection/APHIS all to verify by phone.</t>
        </is>
      </c>
    </row>
    <row r="13" ht="58" customHeight="1">
      <c r="A13" s="7" t="inlineStr">
        <is>
          <t>Wayne Mays Meat Processing</t>
        </is>
      </c>
      <c r="B13" s="5" t="inlineStr">
        <is>
          <t>Taylorsville, NC</t>
        </is>
      </c>
      <c r="C13" s="5" t="inlineStr">
        <is>
          <t>USDA-inspected</t>
        </is>
      </c>
      <c r="D13" s="5" t="inlineStr">
        <is>
          <t>unknown (small)</t>
        </is>
      </c>
      <c r="E13" s="31" t="inlineStr">
        <is>
          <t>SMALL
(0-300/wk)</t>
        </is>
      </c>
      <c r="F13" s="5" t="inlineStr">
        <is>
          <t>Yes</t>
        </is>
      </c>
      <c r="G13" s="5" t="inlineStr">
        <is>
          <t>USDA ✓</t>
        </is>
      </c>
      <c r="H13" s="34" t="inlineStr">
        <is>
          <t>⚠ Humane-handling NOS ~Aug 2020 (Est. M21848); PETA-documented pig shot 3× (2024). Recurring.</t>
        </is>
      </c>
      <c r="I13" s="5" t="inlineStr">
        <is>
          <t>Not on public export lists — verify</t>
        </is>
      </c>
      <c r="J13" s="5" t="inlineStr">
        <is>
          <t>AWA + Certified Organic — strong welfare signals</t>
        </is>
      </c>
      <c r="K13" s="5" t="inlineStr">
        <is>
          <t>Plausible</t>
        </is>
      </c>
      <c r="L13" s="5" t="inlineStr">
        <is>
          <t>Plausible</t>
        </is>
      </c>
      <c r="M13" s="5" t="inlineStr">
        <is>
          <t>Plausible</t>
        </is>
      </c>
      <c r="N13" s="5" t="inlineStr">
        <is>
          <t>(828) 634-2034
maysmeats.net</t>
        </is>
      </c>
      <c r="O13" s="32" t="inlineStr">
        <is>
          <t>CAUTION</t>
        </is>
      </c>
      <c r="P13" s="5" t="inlineStr">
        <is>
          <t>Med</t>
        </is>
      </c>
      <c r="Q13" s="5" t="inlineStr">
        <is>
          <t>SMALL tier. USDA (in/out NC). Strong welfare CERTS but see enforcement column — humane-handling NOS ~2020 + PETA 2024 report is at odds with the AWA/Organic branding. Welfare, not volume, is what holds this at CAUTION.</t>
        </is>
      </c>
    </row>
    <row r="14" ht="58" customHeight="1">
      <c r="A14" s="7" t="inlineStr">
        <is>
          <t>M.L. Mitchell &amp; Son</t>
        </is>
      </c>
      <c r="B14" s="5" t="inlineStr">
        <is>
          <t>Walnut Cove, NC</t>
        </is>
      </c>
      <c r="C14" s="5" t="inlineStr">
        <is>
          <t>USDA-inspected</t>
        </is>
      </c>
      <c r="D14" s="5" t="inlineStr">
        <is>
          <t>unknown</t>
        </is>
      </c>
      <c r="E14" s="33" t="inlineStr">
        <is>
          <t>unknown
(confirm)</t>
        </is>
      </c>
      <c r="F14" s="5" t="inlineStr">
        <is>
          <t>Yes</t>
        </is>
      </c>
      <c r="G14" s="5" t="inlineStr">
        <is>
          <t>USDA ✓</t>
        </is>
      </c>
      <c r="H14" s="34" t="inlineStr">
        <is>
          <t>⚠ Slaughter suspension Aug 2021 — egregious (failed goat stun, conscious throat-cut). PETA→DA.</t>
        </is>
      </c>
      <c r="I14" s="5" t="inlineStr">
        <is>
          <t>Not on public export lists — verify</t>
        </is>
      </c>
      <c r="J14" s="5" t="inlineStr">
        <is>
          <t>Family business (culture signal)</t>
        </is>
      </c>
      <c r="K14" s="5" t="inlineStr">
        <is>
          <t>Plausible</t>
        </is>
      </c>
      <c r="L14" s="5" t="inlineStr">
        <is>
          <t>Plausible</t>
        </is>
      </c>
      <c r="M14" s="5" t="inlineStr">
        <is>
          <t>Plausible</t>
        </is>
      </c>
      <c r="N14" s="5" t="inlineStr">
        <is>
          <t>(336) 591-7420</t>
        </is>
      </c>
      <c r="O14" s="32" t="inlineStr">
        <is>
          <t>CAUTION</t>
        </is>
      </c>
      <c r="P14" s="5" t="inlineStr">
        <is>
          <t>Med</t>
        </is>
      </c>
      <c r="Q14" s="5" t="inlineStr">
        <is>
          <t>USDA (in/out NC). Family-run — BUT see enforcement: egregious humane-handling slaughter suspension Aug 2021 (failed goat stun, conscious throat-cut). Confirm remediation + volume.</t>
        </is>
      </c>
    </row>
    <row r="15" ht="58" customHeight="1">
      <c r="A15" s="7" t="inlineStr">
        <is>
          <t>Key Packing Company, Inc.</t>
        </is>
      </c>
      <c r="B15" s="5" t="inlineStr">
        <is>
          <t>Robbins, NC</t>
        </is>
      </c>
      <c r="C15" s="5" t="inlineStr">
        <is>
          <t>NCDA state-inspected</t>
        </is>
      </c>
      <c r="D15" s="5" t="inlineStr">
        <is>
          <t>unknown (small)</t>
        </is>
      </c>
      <c r="E15" s="31" t="inlineStr">
        <is>
          <t>SMALL
(0-300/wk)</t>
        </is>
      </c>
      <c r="F15" s="5" t="inlineStr">
        <is>
          <t>Yes</t>
        </is>
      </c>
      <c r="G15" s="5" t="inlineStr">
        <is>
          <t>STATE only
(NOT USDA)</t>
        </is>
      </c>
      <c r="H15" s="5" t="inlineStr">
        <is>
          <t>None found (state-inspected; federal FSIS enforcement n/a)</t>
        </is>
      </c>
      <c r="I15" s="5" t="inlineStr">
        <is>
          <t>State-inspected; not on public export lists — verify</t>
        </is>
      </c>
      <c r="J15" s="5" t="inlineStr">
        <is>
          <t>Family-owned (Key family); custom slaughter for independent farmers</t>
        </is>
      </c>
      <c r="K15" s="5" t="inlineStr">
        <is>
          <t>Plausible</t>
        </is>
      </c>
      <c r="L15" s="5" t="inlineStr">
        <is>
          <t>Plausible</t>
        </is>
      </c>
      <c r="M15" s="5" t="inlineStr">
        <is>
          <t>Plausible</t>
        </is>
      </c>
      <c r="N15" s="5" t="inlineStr">
        <is>
          <t>(910) 464-3507
keypackingcompany.com</t>
        </is>
      </c>
      <c r="O15" s="32" t="inlineStr">
        <is>
          <t>POSSIBLE</t>
        </is>
      </c>
      <c r="P15" s="5" t="inlineStr">
        <is>
          <t>Med</t>
        </is>
      </c>
      <c r="Q15" s="5" t="inlineStr">
        <is>
          <t>STATE-inspected, in-NC sales only — FLAG (not USDA). Family culture. Likely small volume.</t>
        </is>
      </c>
    </row>
    <row r="16" ht="58" customHeight="1">
      <c r="A16" s="7" t="inlineStr">
        <is>
          <t>Sessoms Packing Company</t>
        </is>
      </c>
      <c r="B16" s="5" t="inlineStr">
        <is>
          <t>Ahoskie, NC</t>
        </is>
      </c>
      <c r="C16" s="5" t="inlineStr">
        <is>
          <t>Slaughter (probable USDA)</t>
        </is>
      </c>
      <c r="D16" s="5" t="inlineStr">
        <is>
          <t>unknown</t>
        </is>
      </c>
      <c r="E16" s="33" t="inlineStr">
        <is>
          <t>unknown
(confirm)</t>
        </is>
      </c>
      <c r="F16" s="5" t="inlineStr">
        <is>
          <t>Yes</t>
        </is>
      </c>
      <c r="G16" s="5" t="inlineStr">
        <is>
          <t>probable USDA
(unconfirmed)</t>
        </is>
      </c>
      <c r="H16" s="5" t="inlineStr">
        <is>
          <t>None found in public sources</t>
        </is>
      </c>
      <c r="I16" s="5" t="inlineStr">
        <is>
          <t>Not on public export lists — verify</t>
        </is>
      </c>
      <c r="J16" s="5" t="inlineStr">
        <is>
          <t>unknown</t>
        </is>
      </c>
      <c r="K16" s="5" t="inlineStr">
        <is>
          <t>Plausible; whole-hog (country ham)</t>
        </is>
      </c>
      <c r="L16" s="5" t="inlineStr">
        <is>
          <t>Plausible</t>
        </is>
      </c>
      <c r="M16" s="5" t="inlineStr">
        <is>
          <t>Plausible</t>
        </is>
      </c>
      <c r="N16" s="5" t="inlineStr">
        <is>
          <t>(252) 332-2978</t>
        </is>
      </c>
      <c r="O16" s="32" t="inlineStr">
        <is>
          <t>POSSIBLE</t>
        </is>
      </c>
      <c r="P16" s="5" t="inlineStr">
        <is>
          <t>Low-Med</t>
        </is>
      </c>
      <c r="Q16" s="5" t="inlineStr">
        <is>
          <t>Whole-hog capable. Confirm inspection type + volume.</t>
        </is>
      </c>
    </row>
    <row r="17" ht="58" customHeight="1">
      <c r="A17" s="7" t="inlineStr">
        <is>
          <t>Thomas Brothers Abattoir</t>
        </is>
      </c>
      <c r="B17" s="5" t="inlineStr">
        <is>
          <t>North Wilkesboro, NC</t>
        </is>
      </c>
      <c r="C17" s="5" t="inlineStr">
        <is>
          <t>Slaughter</t>
        </is>
      </c>
      <c r="D17" s="5" t="inlineStr">
        <is>
          <t>unknown</t>
        </is>
      </c>
      <c r="E17" s="33" t="inlineStr">
        <is>
          <t>unknown
(confirm)</t>
        </is>
      </c>
      <c r="F17" s="5" t="inlineStr">
        <is>
          <t>Yes</t>
        </is>
      </c>
      <c r="G17" s="5" t="inlineStr">
        <is>
          <t>unknown</t>
        </is>
      </c>
      <c r="H17" s="34" t="inlineStr">
        <is>
          <t>⚠ REPEAT humane-handling suspensions 2009, 2015, 2018 (AWI list; Est. 19511M)</t>
        </is>
      </c>
      <c r="I17" s="5" t="inlineStr">
        <is>
          <t>Not on public export lists — verify</t>
        </is>
      </c>
      <c r="J17" s="5" t="inlineStr">
        <is>
          <t>unknown</t>
        </is>
      </c>
      <c r="K17" s="5" t="inlineStr">
        <is>
          <t>Plausible</t>
        </is>
      </c>
      <c r="L17" s="5" t="inlineStr">
        <is>
          <t>Plausible</t>
        </is>
      </c>
      <c r="M17" s="5" t="inlineStr">
        <is>
          <t>Plausible</t>
        </is>
      </c>
      <c r="N17" s="5" t="inlineStr">
        <is>
          <t>(336) 667-1346</t>
        </is>
      </c>
      <c r="O17" s="32" t="inlineStr">
        <is>
          <t>CAUTION</t>
        </is>
      </c>
      <c r="P17" s="5" t="inlineStr">
        <is>
          <t>Low-Med</t>
        </is>
      </c>
      <c r="Q17" s="5" t="inlineStr">
        <is>
          <t>Broad species range. See enforcement: REPEAT humane-handling suspensions 2009/2015/2018 (AWI list). Later acquired by Apple Brandy Beef — confirm current ownership/practices. Inspection/volume to verify.</t>
        </is>
      </c>
    </row>
    <row r="18" ht="58" customHeight="1">
      <c r="A18" s="7" t="inlineStr">
        <is>
          <t>Cruse Meat Processing</t>
        </is>
      </c>
      <c r="B18" s="5" t="inlineStr">
        <is>
          <t>Concord, NC</t>
        </is>
      </c>
      <c r="C18" s="5" t="inlineStr">
        <is>
          <t>Slaughter</t>
        </is>
      </c>
      <c r="D18" s="5" t="inlineStr">
        <is>
          <t>unknown</t>
        </is>
      </c>
      <c r="E18" s="33" t="inlineStr">
        <is>
          <t>unknown
(confirm)</t>
        </is>
      </c>
      <c r="F18" s="5" t="inlineStr">
        <is>
          <t>Yes</t>
        </is>
      </c>
      <c r="G18" s="5" t="inlineStr">
        <is>
          <t>unknown</t>
        </is>
      </c>
      <c r="H18" s="5" t="inlineStr">
        <is>
          <t>None found in public sources</t>
        </is>
      </c>
      <c r="I18" s="5" t="inlineStr">
        <is>
          <t>Not on public export lists — verify</t>
        </is>
      </c>
      <c r="J18" s="5" t="inlineStr">
        <is>
          <t>unknown</t>
        </is>
      </c>
      <c r="K18" s="5" t="inlineStr">
        <is>
          <t>Plausible; skin-and-scald</t>
        </is>
      </c>
      <c r="L18" s="5" t="inlineStr">
        <is>
          <t>Plausible</t>
        </is>
      </c>
      <c r="M18" s="5" t="inlineStr">
        <is>
          <t>Plausible</t>
        </is>
      </c>
      <c r="N18" s="5" t="inlineStr">
        <is>
          <t>(704) 786-8616</t>
        </is>
      </c>
      <c r="O18" s="32" t="inlineStr">
        <is>
          <t>POSSIBLE</t>
        </is>
      </c>
      <c r="P18" s="5" t="inlineStr">
        <is>
          <t>Low-Med</t>
        </is>
      </c>
      <c r="Q18" s="5" t="inlineStr">
        <is>
          <t>Small custom multi-species. Verify by phone.</t>
        </is>
      </c>
    </row>
    <row r="19" ht="58" customHeight="1">
      <c r="A19" s="7" t="inlineStr">
        <is>
          <t>Triad Meat Custom Processing</t>
        </is>
      </c>
      <c r="B19" s="5" t="inlineStr">
        <is>
          <t>Madison, NC</t>
        </is>
      </c>
      <c r="C19" s="5" t="inlineStr">
        <is>
          <t>Slaughter</t>
        </is>
      </c>
      <c r="D19" s="5" t="inlineStr">
        <is>
          <t>unknown</t>
        </is>
      </c>
      <c r="E19" s="33" t="inlineStr">
        <is>
          <t>unknown
(confirm)</t>
        </is>
      </c>
      <c r="F19" s="5" t="inlineStr">
        <is>
          <t>Yes</t>
        </is>
      </c>
      <c r="G19" s="5" t="inlineStr">
        <is>
          <t>unknown</t>
        </is>
      </c>
      <c r="H19" s="34" t="inlineStr">
        <is>
          <t>⚠ FSIS suspension ~Dec 2025 (Est. M46085; cause unspecified in public snippets)</t>
        </is>
      </c>
      <c r="I19" s="5" t="inlineStr">
        <is>
          <t>Not on public export lists — verify</t>
        </is>
      </c>
      <c r="J19" s="5" t="inlineStr">
        <is>
          <t>AWA (welfare signal)</t>
        </is>
      </c>
      <c r="K19" s="5" t="inlineStr">
        <is>
          <t>Plausible</t>
        </is>
      </c>
      <c r="L19" s="5" t="inlineStr">
        <is>
          <t>Plausible</t>
        </is>
      </c>
      <c r="M19" s="5" t="inlineStr">
        <is>
          <t>Plausible</t>
        </is>
      </c>
      <c r="N19" s="5" t="inlineStr">
        <is>
          <t>(336) 949-9696</t>
        </is>
      </c>
      <c r="O19" s="32" t="inlineStr">
        <is>
          <t>CAUTION</t>
        </is>
      </c>
      <c r="P19" s="5" t="inlineStr">
        <is>
          <t>Low-Med</t>
        </is>
      </c>
      <c r="Q19" s="5" t="inlineStr">
        <is>
          <t>AWA welfare signal, BUT see enforcement: FSIS suspension ~Dec 2025 (cause unspecified in public snippets) — confirm status. Now Triad Halal Meats. Confirm volume/inspection.</t>
        </is>
      </c>
    </row>
    <row r="20" ht="58" customHeight="1">
      <c r="A20" s="7" t="inlineStr">
        <is>
          <t>Wells, Jenkins &amp; Wells Abattoir</t>
        </is>
      </c>
      <c r="B20" s="5" t="inlineStr">
        <is>
          <t>Forest City, NC</t>
        </is>
      </c>
      <c r="C20" s="5" t="inlineStr">
        <is>
          <t>Slaughter</t>
        </is>
      </c>
      <c r="D20" s="5" t="inlineStr">
        <is>
          <t>unknown</t>
        </is>
      </c>
      <c r="E20" s="33" t="inlineStr">
        <is>
          <t>unknown
(confirm)</t>
        </is>
      </c>
      <c r="F20" s="5" t="inlineStr">
        <is>
          <t>Yes</t>
        </is>
      </c>
      <c r="G20" s="5" t="inlineStr">
        <is>
          <t>unknown</t>
        </is>
      </c>
      <c r="H20" s="5" t="inlineStr">
        <is>
          <t>None found (the M7457A docs are a different WV plant)</t>
        </is>
      </c>
      <c r="I20" s="5" t="inlineStr">
        <is>
          <t>Not on public export lists — verify</t>
        </is>
      </c>
      <c r="J20" s="5" t="inlineStr">
        <is>
          <t>AWA (welfare signal)</t>
        </is>
      </c>
      <c r="K20" s="5" t="inlineStr">
        <is>
          <t>Plausible</t>
        </is>
      </c>
      <c r="L20" s="5" t="inlineStr">
        <is>
          <t>Plausible</t>
        </is>
      </c>
      <c r="M20" s="5" t="inlineStr">
        <is>
          <t>Plausible</t>
        </is>
      </c>
      <c r="N20" s="5" t="inlineStr">
        <is>
          <t>(828) 245-5544</t>
        </is>
      </c>
      <c r="O20" s="32" t="inlineStr">
        <is>
          <t>POSSIBLE</t>
        </is>
      </c>
      <c r="P20" s="5" t="inlineStr">
        <is>
          <t>Low-Med</t>
        </is>
      </c>
      <c r="Q20" s="5" t="inlineStr">
        <is>
          <t>AWA welfare signal. Confirm volume/inspection.</t>
        </is>
      </c>
    </row>
    <row r="21" ht="58" customHeight="1">
      <c r="A21" s="7" t="inlineStr">
        <is>
          <t>Riverside Meats</t>
        </is>
      </c>
      <c r="B21" s="5" t="inlineStr">
        <is>
          <t>Trenton, NC</t>
        </is>
      </c>
      <c r="C21" s="5" t="inlineStr">
        <is>
          <t>CUSTOM-EXEMPT</t>
        </is>
      </c>
      <c r="D21" s="5" t="inlineStr">
        <is>
          <t>unknown</t>
        </is>
      </c>
      <c r="E21" s="33" t="inlineStr">
        <is>
          <t>unknown
(confirm)</t>
        </is>
      </c>
      <c r="F21" s="5" t="inlineStr">
        <is>
          <t>Yes</t>
        </is>
      </c>
      <c r="G21" s="5" t="inlineStr">
        <is>
          <t>Custom-exempt
(NOT for resale)</t>
        </is>
      </c>
      <c r="H21" s="5" t="inlineStr">
        <is>
          <t>None found in public sources</t>
        </is>
      </c>
      <c r="I21" s="5" t="inlineStr">
        <is>
          <t>Custom-exempt; not export-eligible as-is — verify</t>
        </is>
      </c>
      <c r="J21" s="5" t="inlineStr">
        <is>
          <t>AWA (welfare signal)</t>
        </is>
      </c>
      <c r="K21" s="5" t="inlineStr">
        <is>
          <t>Limited (exempt status)</t>
        </is>
      </c>
      <c r="L21" s="5" t="inlineStr">
        <is>
          <t>Limited</t>
        </is>
      </c>
      <c r="M21" s="5" t="inlineStr">
        <is>
          <t>Limited</t>
        </is>
      </c>
      <c r="N21" s="5" t="inlineStr">
        <is>
          <t>(252) 448-4047
riversidemeatsnc.com</t>
        </is>
      </c>
      <c r="O21" s="32" t="inlineStr">
        <is>
          <t>CAUTION</t>
        </is>
      </c>
      <c r="P21" s="5" t="inlineStr">
        <is>
          <t>Med</t>
        </is>
      </c>
      <c r="Q21" s="5" t="inlineStr">
        <is>
          <t>Custom-EXEMPT: product not for general commerce — FLAG. AWA. Would need to confirm any lawful path for our use.</t>
        </is>
      </c>
    </row>
    <row r="22" ht="20" customHeight="1">
      <c r="A22" s="3" t="inlineStr">
        <is>
          <t>NORTH CAROLINA — large plants (context / ceiling, generally excluded)</t>
        </is>
      </c>
    </row>
    <row r="23" ht="58" customHeight="1">
      <c r="A23" s="7" t="inlineStr">
        <is>
          <t>Smithfield Foods — Tar Heel</t>
        </is>
      </c>
      <c r="B23" s="5" t="inlineStr">
        <is>
          <t>Bladen County, NC</t>
        </is>
      </c>
      <c r="C23" s="5" t="inlineStr">
        <is>
          <t>Industrial packer</t>
        </is>
      </c>
      <c r="D23" s="5" t="inlineStr">
        <is>
          <t>~28,000-32,000 / DAY</t>
        </is>
      </c>
      <c r="E23" s="35" t="inlineStr">
        <is>
          <t>HIGH
(&gt;5,000/wk)</t>
        </is>
      </c>
      <c r="F23" s="5" t="inlineStr">
        <is>
          <t>Yes</t>
        </is>
      </c>
      <c r="G23" s="5" t="inlineStr">
        <is>
          <t>USDA ✓</t>
        </is>
      </c>
      <c r="H23" s="5" t="inlineStr">
        <is>
          <t>2011 recall (undeclared dairy allergen); 2021-22 sanitation/welfare NRs (not a suspension). Est. M18079.</t>
        </is>
      </c>
      <c r="I23" s="5" t="inlineStr">
        <is>
          <t>FSIS export-certified (edible, general; documented exports). EU/APHIS-byproduct status unverified</t>
        </is>
      </c>
      <c r="J23" s="5" t="inlineStr">
        <is>
          <t>Industrial line-speed (~5,500 staff)</t>
        </is>
      </c>
      <c r="K23" s="5" t="inlineStr">
        <is>
          <t>No dedicated on-site rental noted</t>
        </is>
      </c>
      <c r="L23" s="5" t="inlineStr">
        <is>
          <t>No</t>
        </is>
      </c>
      <c r="M23" s="5" t="inlineStr">
        <is>
          <t>No</t>
        </is>
      </c>
      <c r="N23" s="5" t="inlineStr">
        <is>
          <t>—</t>
        </is>
      </c>
      <c r="O23" s="32" t="inlineStr">
        <is>
          <t>CAUTION</t>
        </is>
      </c>
      <c r="P23" s="5" t="inlineStr">
        <is>
          <t>High</t>
        </is>
      </c>
      <c r="Q23" s="5" t="inlineStr">
        <is>
          <t>HIGH tier. Capacity is now open, so this is no longer excluded on size — but with ~28-32k hogs/DAY the constraint is ACCESS, not volume: industrial line speed, no on-site harvest rental noted. Realistically Model B only, and only via a corporate biologics conversation.</t>
        </is>
      </c>
    </row>
    <row r="24" ht="58" customHeight="1">
      <c r="A24" s="7" t="inlineStr">
        <is>
          <t>Smithfield / KC Sausage (sow plant)</t>
        </is>
      </c>
      <c r="B24" s="5" t="inlineStr">
        <is>
          <t>Godwin, NC</t>
        </is>
      </c>
      <c r="C24" s="5" t="inlineStr">
        <is>
          <t>Industrial sow slaughter</t>
        </is>
      </c>
      <c r="D24" s="5" t="inlineStr">
        <is>
          <t>~1,000 sows/DAY (~5-6k/wk)</t>
        </is>
      </c>
      <c r="E24" s="36" t="inlineStr">
        <is>
          <t>MEDIUM-HIGH
(2,500-5,000/wk)</t>
        </is>
      </c>
      <c r="F24" s="5" t="inlineStr">
        <is>
          <t>Yes (sows)</t>
        </is>
      </c>
      <c r="G24" s="5" t="inlineStr">
        <is>
          <t>USDA ✓</t>
        </is>
      </c>
      <c r="H24" s="5" t="inlineStr">
        <is>
          <t>None found for the Godwin plant specifically</t>
        </is>
      </c>
      <c r="I24" s="5" t="inlineStr">
        <is>
          <t>FSIS-inspected; export not confirmed</t>
        </is>
      </c>
      <c r="J24" s="5" t="inlineStr">
        <is>
          <t>Industrial / corporate-owned</t>
        </is>
      </c>
      <c r="K24" s="5" t="inlineStr">
        <is>
          <t>Sow/organ-relevant but industrial scale</t>
        </is>
      </c>
      <c r="L24" s="5" t="inlineStr">
        <is>
          <t>Unlikely</t>
        </is>
      </c>
      <c r="M24" s="5" t="inlineStr">
        <is>
          <t>Unlikely</t>
        </is>
      </c>
      <c r="N24" s="5" t="inlineStr">
        <is>
          <t>—</t>
        </is>
      </c>
      <c r="O24" s="32" t="inlineStr">
        <is>
          <t>CAUTION</t>
        </is>
      </c>
      <c r="P24" s="5" t="inlineStr">
        <is>
          <t>High</t>
        </is>
      </c>
      <c r="Q24" s="5" t="inlineStr">
        <is>
          <t>Sow-specialized (organ-relevant) but industrial &amp; corporate; Model A on-site access unlikely. Over volume band. Included as the nearby active operation vs. defunct Martin's.</t>
        </is>
      </c>
    </row>
    <row r="25" ht="20" customHeight="1">
      <c r="A25" s="3" t="inlineStr">
        <is>
          <t>SOUTH CAROLINA — candidate slaughterhouses</t>
        </is>
      </c>
    </row>
    <row r="26" ht="58" customHeight="1">
      <c r="A26" s="7" t="inlineStr">
        <is>
          <t>Caughman's Meat Plant, Inc.</t>
        </is>
      </c>
      <c r="B26" s="5" t="inlineStr">
        <is>
          <t>Lexington, SC</t>
        </is>
      </c>
      <c r="C26" s="5" t="inlineStr">
        <is>
          <t>USDA slaughter + processing</t>
        </is>
      </c>
      <c r="D26" s="5" t="inlineStr">
        <is>
          <t>unknown (small-mid est.)</t>
        </is>
      </c>
      <c r="E26" s="33" t="inlineStr">
        <is>
          <t>unknown
(confirm)</t>
        </is>
      </c>
      <c r="F26" s="5" t="inlineStr">
        <is>
          <t>Yes</t>
        </is>
      </c>
      <c r="G26" s="5" t="inlineStr">
        <is>
          <t>USDA ✓</t>
        </is>
      </c>
      <c r="H26" s="5" t="inlineStr">
        <is>
          <t>None found in public sources</t>
        </is>
      </c>
      <c r="I26" s="5" t="inlineStr">
        <is>
          <t>Not on public export lists — verify w/ APHIS VS</t>
        </is>
      </c>
      <c r="J26" s="5" t="inlineStr">
        <is>
          <t>Multi-generation family since ~1947 — strong culture signal</t>
        </is>
      </c>
      <c r="K26" s="5" t="inlineStr">
        <is>
          <t>Not noted</t>
        </is>
      </c>
      <c r="L26" s="5" t="inlineStr">
        <is>
          <t>Possible (space unverified)</t>
        </is>
      </c>
      <c r="M26" s="5" t="inlineStr">
        <is>
          <t>Good — established slaughter + custom</t>
        </is>
      </c>
      <c r="N26" s="5" t="inlineStr">
        <is>
          <t>803-356-3216
caughmans.com</t>
        </is>
      </c>
      <c r="O26" s="32" t="inlineStr">
        <is>
          <t>POSSIBLE</t>
        </is>
      </c>
      <c r="P26" s="5" t="inlineStr">
        <is>
          <t>Med</t>
        </is>
      </c>
      <c r="Q26" s="5" t="inlineStr">
        <is>
          <t>Strongest verified SC USDA hog-slaughter + family option. On AMS buying-packer list. Confirm weekly volume + establishment #.</t>
        </is>
      </c>
    </row>
    <row r="27" ht="58" customHeight="1">
      <c r="A27" s="7" t="inlineStr">
        <is>
          <t>Knockout Butchery</t>
        </is>
      </c>
      <c r="B27" s="5" t="inlineStr">
        <is>
          <t>Roebuck, SC</t>
        </is>
      </c>
      <c r="C27" s="5" t="inlineStr">
        <is>
          <t>USDA custom processing</t>
        </is>
      </c>
      <c r="D27" s="5" t="inlineStr">
        <is>
          <t>unknown</t>
        </is>
      </c>
      <c r="E27" s="33" t="inlineStr">
        <is>
          <t>unknown
(confirm)</t>
        </is>
      </c>
      <c r="F27" s="5" t="inlineStr">
        <is>
          <t>Yes (on-site slaughter unconfirmed)</t>
        </is>
      </c>
      <c r="G27" s="5" t="inlineStr">
        <is>
          <t>USDA ✓</t>
        </is>
      </c>
      <c r="H27" s="5" t="inlineStr">
        <is>
          <t>None found in public sources</t>
        </is>
      </c>
      <c r="I27" s="5" t="inlineStr">
        <is>
          <t>Not on public export lists — verify</t>
        </is>
      </c>
      <c r="J27" s="5" t="inlineStr">
        <is>
          <t>'Careful handling'; recent capacity investment (trade press)</t>
        </is>
      </c>
      <c r="K27" s="5" t="inlineStr">
        <is>
          <t>Not noted</t>
        </is>
      </c>
      <c r="L27" s="5" t="inlineStr">
        <is>
          <t>Ask</t>
        </is>
      </c>
      <c r="M27" s="5" t="inlineStr">
        <is>
          <t>Likely B</t>
        </is>
      </c>
      <c r="N27" s="5" t="inlineStr">
        <is>
          <t>864-410-7068
knockoutbutchery.com</t>
        </is>
      </c>
      <c r="O27" s="32" t="inlineStr">
        <is>
          <t>POSSIBLE</t>
        </is>
      </c>
      <c r="P27" s="5" t="inlineStr">
        <is>
          <t>Med</t>
        </is>
      </c>
      <c r="Q27" s="5" t="inlineStr">
        <is>
          <t>USDA-inspected, serves Upstate farmers; growing. Confirm on-site HOG slaughter + volume.</t>
        </is>
      </c>
    </row>
    <row r="28" ht="58" customHeight="1">
      <c r="A28" s="7" t="inlineStr">
        <is>
          <t>Back Forty Butchery</t>
        </is>
      </c>
      <c r="B28" s="5" t="inlineStr">
        <is>
          <t>Hodges, SC</t>
        </is>
      </c>
      <c r="C28" s="5" t="inlineStr">
        <is>
          <t>USDA processing</t>
        </is>
      </c>
      <c r="D28" s="5" t="inlineStr">
        <is>
          <t>unknown (small)</t>
        </is>
      </c>
      <c r="E28" s="31" t="inlineStr">
        <is>
          <t>SMALL
(0-300/wk)</t>
        </is>
      </c>
      <c r="F28" s="5" t="inlineStr">
        <is>
          <t>Yes (on-site slaughter unconfirmed)</t>
        </is>
      </c>
      <c r="G28" s="5" t="inlineStr">
        <is>
          <t>USDA ✓</t>
        </is>
      </c>
      <c r="H28" s="5" t="inlineStr">
        <is>
          <t>None found (Est. M46060)</t>
        </is>
      </c>
      <c r="I28" s="5" t="inlineStr">
        <is>
          <t>Not on public export lists — verify</t>
        </is>
      </c>
      <c r="J28" s="5" t="inlineStr">
        <is>
          <t>Not addressed</t>
        </is>
      </c>
      <c r="K28" s="5" t="inlineStr">
        <is>
          <t>Not noted</t>
        </is>
      </c>
      <c r="L28" s="5" t="inlineStr">
        <is>
          <t>Ask</t>
        </is>
      </c>
      <c r="M28" s="5" t="inlineStr">
        <is>
          <t>B if slaughter on-site</t>
        </is>
      </c>
      <c r="N28" s="5" t="inlineStr">
        <is>
          <t>864-374-3571</t>
        </is>
      </c>
      <c r="O28" s="32" t="inlineStr">
        <is>
          <t>POSSIBLE</t>
        </is>
      </c>
      <c r="P28" s="5" t="inlineStr">
        <is>
          <t>Low-Med</t>
        </is>
      </c>
      <c r="Q28" s="5" t="inlineStr">
        <is>
          <t>Processes domestic pigs + cattle (+ seasonal deer). Confirm slaughter-vs-cut-only.</t>
        </is>
      </c>
    </row>
    <row r="29" ht="58" customHeight="1">
      <c r="A29" s="7" t="inlineStr">
        <is>
          <t>601 Deer and Hog Processors</t>
        </is>
      </c>
      <c r="B29" s="5" t="inlineStr">
        <is>
          <t>Fort Motte, SC</t>
        </is>
      </c>
      <c r="C29" s="5" t="inlineStr">
        <is>
          <t>Deer/game + hog (likely custom-exempt)</t>
        </is>
      </c>
      <c r="D29" s="5" t="inlineStr">
        <is>
          <t>unknown</t>
        </is>
      </c>
      <c r="E29" s="31" t="inlineStr">
        <is>
          <t>SMALL
(0-300/wk)</t>
        </is>
      </c>
      <c r="F29" s="5" t="inlineStr">
        <is>
          <t>Yes</t>
        </is>
      </c>
      <c r="G29" s="5" t="inlineStr">
        <is>
          <t>likely custom-
exempt (flag)</t>
        </is>
      </c>
      <c r="H29" s="5" t="inlineStr">
        <is>
          <t>None found (business also appears closed)</t>
        </is>
      </c>
      <c r="I29" s="5" t="inlineStr">
        <is>
          <t>Not on public export lists — verify</t>
        </is>
      </c>
      <c r="J29" s="5" t="inlineStr">
        <is>
          <t>Family (McDonald, since 2001)</t>
        </is>
      </c>
      <c r="K29" s="5" t="inlineStr">
        <is>
          <t>Not noted</t>
        </is>
      </c>
      <c r="L29" s="5" t="inlineStr">
        <is>
          <t>If own kills</t>
        </is>
      </c>
      <c r="M29" s="5" t="inlineStr">
        <is>
          <t>B if USDA confirmed</t>
        </is>
      </c>
      <c r="N29" s="5" t="inlineStr">
        <is>
          <t>803-707-1040</t>
        </is>
      </c>
      <c r="O29" s="32" t="inlineStr">
        <is>
          <t>CAUTION</t>
        </is>
      </c>
      <c r="P29" s="5" t="inlineStr">
        <is>
          <t>Low-Med</t>
        </is>
      </c>
      <c r="Q29" s="5" t="inlineStr">
        <is>
          <t>FLAG: USDA status unverified — game processors are often custom-exempt (product not for resale). One directory lists it CLOSED; verify still operating.</t>
        </is>
      </c>
    </row>
    <row r="30" ht="58" customHeight="1">
      <c r="A30" s="7" t="inlineStr">
        <is>
          <t>Palmetto Fresh Meats</t>
        </is>
      </c>
      <c r="B30" s="5" t="inlineStr">
        <is>
          <t>Aynor, SC</t>
        </is>
      </c>
      <c r="C30" s="5" t="inlineStr">
        <is>
          <t>USDA slaughter (Est. M47715) — SUSPENDED</t>
        </is>
      </c>
      <c r="D30" s="5" t="inlineStr">
        <is>
          <t>unknown</t>
        </is>
      </c>
      <c r="E30" s="33" t="inlineStr">
        <is>
          <t>unknown
(confirm)</t>
        </is>
      </c>
      <c r="F30" s="5" t="inlineStr">
        <is>
          <t>Yes</t>
        </is>
      </c>
      <c r="G30" s="5" t="inlineStr">
        <is>
          <t>USDA ✓ but
SUSPENDED 2022</t>
        </is>
      </c>
      <c r="H30" s="34" t="inlineStr">
        <is>
          <t>⚠ Humane-handling NOS Feb &amp; Mar 2022 (Est. M47715); PETA sought criminal probe. Also the slaughter suspension.</t>
        </is>
      </c>
      <c r="I30" s="5" t="inlineStr">
        <is>
          <t>Not on public export lists — verify (slaughter susp. 2022)</t>
        </is>
      </c>
      <c r="J30" s="5" t="inlineStr">
        <is>
          <t>unknown</t>
        </is>
      </c>
      <c r="K30" s="5" t="inlineStr">
        <is>
          <t>Not noted</t>
        </is>
      </c>
      <c r="L30" s="5" t="inlineStr">
        <is>
          <t>Unknown</t>
        </is>
      </c>
      <c r="M30" s="5" t="inlineStr">
        <is>
          <t>Unknown</t>
        </is>
      </c>
      <c r="N30" s="5" t="inlineStr">
        <is>
          <t>—</t>
        </is>
      </c>
      <c r="O30" s="37" t="inlineStr">
        <is>
          <t>OUT / FLAG</t>
        </is>
      </c>
      <c r="P30" s="5" t="inlineStr">
        <is>
          <t>Med</t>
        </is>
      </c>
      <c r="Q30" s="5" t="inlineStr">
        <is>
          <t>Slaughter inspection SUSPENDED Feb 2022 (FSIS notice). Was hog-capable USDA slaughter — confirm current operating/inspection status before pursuing.</t>
        </is>
      </c>
    </row>
    <row r="31" ht="20" customHeight="1">
      <c r="A31" s="3" t="inlineStr">
        <is>
          <t>TENNESSEE — USDA-inspected hog-slaughter shops (small custom; Model B)</t>
        </is>
      </c>
    </row>
    <row r="32" ht="58" customHeight="1">
      <c r="A32" s="7" t="inlineStr">
        <is>
          <t>Fayette Packing Co., Inc.</t>
        </is>
      </c>
      <c r="B32" s="5" t="inlineStr">
        <is>
          <t>Eads, TN (Memphis area)</t>
        </is>
      </c>
      <c r="C32" s="5" t="inlineStr">
        <is>
          <t>USDA slaughter + processing</t>
        </is>
      </c>
      <c r="D32" s="5" t="inlineStr">
        <is>
          <t>unknown (largest of TN group est.)</t>
        </is>
      </c>
      <c r="E32" s="33" t="inlineStr">
        <is>
          <t>unknown
(confirm)</t>
        </is>
      </c>
      <c r="F32" s="5" t="inlineStr">
        <is>
          <t>Yes</t>
        </is>
      </c>
      <c r="G32" s="5" t="inlineStr">
        <is>
          <t>USDA ✓</t>
        </is>
      </c>
      <c r="H32" s="34" t="inlineStr">
        <is>
          <t>⚠ Humane-handling NOS Apr 2023 (Est. M6555 — 4 stun attempts on a cow); held in abeyance.</t>
        </is>
      </c>
      <c r="I32" s="5" t="inlineStr">
        <is>
          <t>Not on public export lists — verify w/ APHIS VS</t>
        </is>
      </c>
      <c r="J32" s="5" t="inlineStr">
        <is>
          <t>Family since 1952 (3 generations, Keith) — strong culture</t>
        </is>
      </c>
      <c r="K32" s="5" t="inlineStr">
        <is>
          <t>Not noted</t>
        </is>
      </c>
      <c r="L32" s="5" t="inlineStr">
        <is>
          <t>Possible</t>
        </is>
      </c>
      <c r="M32" s="5" t="inlineStr">
        <is>
          <t>Good B</t>
        </is>
      </c>
      <c r="N32" s="5" t="inlineStr">
        <is>
          <t>901-867-3826
fayettepackingco.com</t>
        </is>
      </c>
      <c r="O32" s="32" t="inlineStr">
        <is>
          <t>POSSIBLE</t>
        </is>
      </c>
      <c r="P32" s="5" t="inlineStr">
        <is>
          <t>Med</t>
        </is>
      </c>
      <c r="Q32" s="5" t="inlineStr">
        <is>
          <t>Established multi-gen family; likely the highest-capacity of the TN group. Confirm weekly hogs.</t>
        </is>
      </c>
    </row>
    <row r="33" ht="58" customHeight="1">
      <c r="A33" s="7" t="inlineStr">
        <is>
          <t>Underground Slaughter / Processing</t>
        </is>
      </c>
      <c r="B33" s="5" t="inlineStr">
        <is>
          <t>Walling, TN</t>
        </is>
      </c>
      <c r="C33" s="5" t="inlineStr">
        <is>
          <t>USDA multi-species (growing)</t>
        </is>
      </c>
      <c r="D33" s="5" t="inlineStr">
        <is>
          <t>unknown</t>
        </is>
      </c>
      <c r="E33" s="33" t="inlineStr">
        <is>
          <t>unknown
(confirm)</t>
        </is>
      </c>
      <c r="F33" s="5" t="inlineStr">
        <is>
          <t>Yes</t>
        </is>
      </c>
      <c r="G33" s="5" t="inlineStr">
        <is>
          <t>USDA ✓</t>
        </is>
      </c>
      <c r="H33" s="5" t="inlineStr">
        <is>
          <t>None found (a logged FOIA request is not an enforcement action)</t>
        </is>
      </c>
      <c r="I33" s="5" t="inlineStr">
        <is>
          <t>Not on public export lists — verify</t>
        </is>
      </c>
      <c r="J33" s="5" t="inlineStr">
        <is>
          <t>Growing processor</t>
        </is>
      </c>
      <c r="K33" s="5" t="inlineStr">
        <is>
          <t>Not noted</t>
        </is>
      </c>
      <c r="L33" s="5" t="inlineStr">
        <is>
          <t>Possible</t>
        </is>
      </c>
      <c r="M33" s="5" t="inlineStr">
        <is>
          <t>Good B</t>
        </is>
      </c>
      <c r="N33" s="5" t="inlineStr">
        <is>
          <t>931-330-6328</t>
        </is>
      </c>
      <c r="O33" s="32" t="inlineStr">
        <is>
          <t>POSSIBLE</t>
        </is>
      </c>
      <c r="P33" s="5" t="inlineStr">
        <is>
          <t>Med</t>
        </is>
      </c>
      <c r="Q33" s="5" t="inlineStr">
        <is>
          <t>Growing capacity; also TN's exclusive USDA small-farmer poultry processor. Call re: hog capacity.</t>
        </is>
      </c>
    </row>
    <row r="34" ht="58" customHeight="1">
      <c r="A34" s="7" t="inlineStr">
        <is>
          <t>Cherry Meat Company</t>
        </is>
      </c>
      <c r="B34" s="5" t="inlineStr">
        <is>
          <t>Chapel Hill, TN</t>
        </is>
      </c>
      <c r="C34" s="5" t="inlineStr">
        <is>
          <t>USDA slaughter + processing</t>
        </is>
      </c>
      <c r="D34" s="5" t="inlineStr">
        <is>
          <t>~18/wk (80/month verified)</t>
        </is>
      </c>
      <c r="E34" s="31" t="inlineStr">
        <is>
          <t>SMALL
(0-300/wk)</t>
        </is>
      </c>
      <c r="F34" s="5" t="inlineStr">
        <is>
          <t>Yes</t>
        </is>
      </c>
      <c r="G34" s="5" t="inlineStr">
        <is>
          <t>USDA ✓</t>
        </is>
      </c>
      <c r="H34" s="5" t="inlineStr">
        <is>
          <t>None found (very small; FSIS grant 2021)</t>
        </is>
      </c>
      <c r="I34" s="5" t="inlineStr">
        <is>
          <t>Not on public export lists — verify</t>
        </is>
      </c>
      <c r="J34" s="5" t="inlineStr">
        <is>
          <t>Family (Cherry / Bear Creek Farm) — strong culture</t>
        </is>
      </c>
      <c r="K34" s="5" t="inlineStr">
        <is>
          <t>Not noted</t>
        </is>
      </c>
      <c r="L34" s="5" t="inlineStr">
        <is>
          <t>Low-vol</t>
        </is>
      </c>
      <c r="M34" s="5" t="inlineStr">
        <is>
          <t>Good B (high-touch)</t>
        </is>
      </c>
      <c r="N34" s="5" t="inlineStr">
        <is>
          <t>931-364-7924
cherrymeat.com</t>
        </is>
      </c>
      <c r="O34" s="32" t="inlineStr">
        <is>
          <t>POSSIBLE</t>
        </is>
      </c>
      <c r="P34" s="5" t="inlineStr">
        <is>
          <t>High</t>
        </is>
      </c>
      <c r="Q34" s="5" t="inlineStr">
        <is>
          <t>SMALL tier — verified ~80 hogs/MONTH (~18/wk). With capacity now open this is a legitimate high-touch, family-culture option for pilot or specialty work; it simply cannot carry volume alone.</t>
        </is>
      </c>
    </row>
    <row r="35" ht="58" customHeight="1">
      <c r="A35" s="7" t="inlineStr">
        <is>
          <t>Other TN USDA hog shops (roll-up)</t>
        </is>
      </c>
      <c r="B35" s="5" t="inlineStr">
        <is>
          <t>various, TN</t>
        </is>
      </c>
      <c r="C35" s="5" t="inlineStr">
        <is>
          <t>USDA small custom slaughter</t>
        </is>
      </c>
      <c r="D35" s="5" t="inlineStr">
        <is>
          <t>unknown (tens–low 100s/wk est.)</t>
        </is>
      </c>
      <c r="E35" s="31" t="inlineStr">
        <is>
          <t>SMALL
(0-300/wk)</t>
        </is>
      </c>
      <c r="F35" s="5" t="inlineStr">
        <is>
          <t>Yes</t>
        </is>
      </c>
      <c r="G35" s="5" t="inlineStr">
        <is>
          <t>USDA ✓</t>
        </is>
      </c>
      <c r="H35" s="34" t="inlineStr">
        <is>
          <t>⚠ Harris Country Meats (Greeneville, M20686): humane NOS 2024. Volunteer/412 (Lexington, M6561): humane NOS Nov 2024. Others: none found.</t>
        </is>
      </c>
      <c r="I35" s="5" t="inlineStr">
        <is>
          <t>Not on public export lists — verify each w/ APHIS VS</t>
        </is>
      </c>
      <c r="J35" s="5" t="inlineStr">
        <is>
          <t>Small family shops</t>
        </is>
      </c>
      <c r="K35" s="5" t="inlineStr">
        <is>
          <t>Not noted</t>
        </is>
      </c>
      <c r="L35" s="5" t="inlineStr">
        <is>
          <t>Possible</t>
        </is>
      </c>
      <c r="M35" s="5" t="inlineStr">
        <is>
          <t>B</t>
        </is>
      </c>
      <c r="N35" s="5" t="inlineStr">
        <is>
          <t>see notes →</t>
        </is>
      </c>
      <c r="O35" s="32" t="inlineStr">
        <is>
          <t>POSSIBLE</t>
        </is>
      </c>
      <c r="P35" s="5" t="inlineStr">
        <is>
          <t>Low-Med</t>
        </is>
      </c>
      <c r="Q35" s="5" t="inlineStr">
        <is>
          <t>Per UT Center for Profitable Ag list: D&amp;D Meats (Celina 931-261-9967); Hampton Meat (Decatur 423-334-1079); Harris Country Meats (Greeneville 423-638-1538); K&amp;J (Paris 731-642-6490); McBride (S. Pittsburg 423-837-4888); SAN Meat Packing (Afton 423-638-7001); Stone Mountain Meats (Greeneville 423-556-6328); Wells/Badr Halal (Brighton 901-475-1700, halal); Volunteer/412 (Lexington 731-769-6936); ZK Ranches (Springfield 615-991-1262). Confirm weekly hog kill each.</t>
        </is>
      </c>
    </row>
    <row r="36" ht="20" customHeight="1">
      <c r="A36" s="3" t="inlineStr">
        <is>
          <t>VIRGINIA — strongest welfare bench (humane-certified USDA abattoirs; Model B)</t>
        </is>
      </c>
    </row>
    <row r="37" ht="58" customHeight="1">
      <c r="A37" s="7" t="inlineStr">
        <is>
          <t>EcoFriendly Foods, LLC</t>
        </is>
      </c>
      <c r="B37" s="5" t="inlineStr">
        <is>
          <t>Moneta, VA</t>
        </is>
      </c>
      <c r="C37" s="5" t="inlineStr">
        <is>
          <t>USDA + Certified Humane multi-species harvest</t>
        </is>
      </c>
      <c r="D37" s="5" t="inlineStr">
        <is>
          <t>unknown</t>
        </is>
      </c>
      <c r="E37" s="31" t="inlineStr">
        <is>
          <t>SMALL
(0-300/wk)</t>
        </is>
      </c>
      <c r="F37" s="5" t="inlineStr">
        <is>
          <t>Yes</t>
        </is>
      </c>
      <c r="G37" s="5" t="inlineStr">
        <is>
          <t>USDA ✓</t>
        </is>
      </c>
      <c r="H37" s="5" t="inlineStr">
        <is>
          <t>None found in FSIS/recall/AWI — BUT reportedly CEASED operations / bankruptcy ~2020. Verify still operating!</t>
        </is>
      </c>
      <c r="I37" s="5" t="inlineStr">
        <is>
          <t>Not on public export lists — verify (and confirm still operating)</t>
        </is>
      </c>
      <c r="J37" s="5" t="inlineStr">
        <is>
          <t>CERTIFIED HUMANE — strongest welfare match in the study</t>
        </is>
      </c>
      <c r="K37" s="5" t="inlineStr">
        <is>
          <t>Custom multi-species harvest for outside producers</t>
        </is>
      </c>
      <c r="L37" s="5" t="inlineStr">
        <is>
          <t>Worth asking (A)</t>
        </is>
      </c>
      <c r="M37" s="5" t="inlineStr">
        <is>
          <t>Excellent B (already does custom harvest)</t>
        </is>
      </c>
      <c r="N37" s="5" t="inlineStr">
        <is>
          <t>540-525-0352
ecofriendly.com</t>
        </is>
      </c>
      <c r="O37" s="32" t="inlineStr">
        <is>
          <t>CAUTION</t>
        </is>
      </c>
      <c r="P37" s="5" t="inlineStr">
        <is>
          <t>Med</t>
        </is>
      </c>
      <c r="Q37" s="5" t="inlineStr">
        <is>
          <t>SMALL tier (~20-80/wk). Deep study: it IS open (the reported 2020 bankruptcy is UNSUPPORTED) — but its 'Certified Humane' claim traces only to a 2010 DISTRIBUTOR record, and there is no public evidence it sells line/cooler access or contract harvest. Held at CAUTION on the refuted cert + unsupported operating models, not on volume.</t>
        </is>
      </c>
    </row>
    <row r="38" ht="58" customHeight="1">
      <c r="A38" s="7" t="inlineStr">
        <is>
          <t>T&amp;E Meats (True &amp; Essential)</t>
        </is>
      </c>
      <c r="B38" s="5" t="inlineStr">
        <is>
          <t>Harrisonburg, VA</t>
        </is>
      </c>
      <c r="C38" s="5" t="inlineStr">
        <is>
          <t>USDA + AWA slaughter + processing</t>
        </is>
      </c>
      <c r="D38" s="5" t="inlineStr">
        <is>
          <t>unknown (small)</t>
        </is>
      </c>
      <c r="E38" s="31" t="inlineStr">
        <is>
          <t>SMALL
(0-300/wk)</t>
        </is>
      </c>
      <c r="F38" s="5" t="inlineStr">
        <is>
          <t>Yes (hogs Thu &amp; Fri)</t>
        </is>
      </c>
      <c r="G38" s="5" t="inlineStr">
        <is>
          <t>USDA ✓</t>
        </is>
      </c>
      <c r="H38" s="5" t="inlineStr">
        <is>
          <t>None found in public sources</t>
        </is>
      </c>
      <c r="I38" s="5" t="inlineStr">
        <is>
          <t>Not on public export lists — verify w/ APHIS VS</t>
        </is>
      </c>
      <c r="J38" s="5" t="inlineStr">
        <is>
          <t>AWA humane; mission-driven independent (Salatin/Cloud); site since 1930s — very strong</t>
        </is>
      </c>
      <c r="K38" s="5" t="inlineStr">
        <is>
          <t>Not noted</t>
        </is>
      </c>
      <c r="L38" s="5" t="inlineStr">
        <is>
          <t>Worth asking (A)</t>
        </is>
      </c>
      <c r="M38" s="5" t="inlineStr">
        <is>
          <t>Excellent B</t>
        </is>
      </c>
      <c r="N38" s="5" t="inlineStr">
        <is>
          <t>540-434-4415
temeats.com</t>
        </is>
      </c>
      <c r="O38" s="29" t="inlineStr">
        <is>
          <t>STRONG FIT</t>
        </is>
      </c>
      <c r="P38" s="5" t="inlineStr">
        <is>
          <t>High</t>
        </is>
      </c>
      <c r="Q38" s="5" t="inlineStr">
        <is>
          <t>USDA + Animal Welfare Approved; slaughters hogs Thu/Fri (verified); uses Grandin methods; serves 60+ farms. Small — confirm weekly count.</t>
        </is>
      </c>
    </row>
    <row r="39" ht="58" customHeight="1">
      <c r="A39" s="7" t="inlineStr">
        <is>
          <t>Blue Ridge Meats of Front Royal</t>
        </is>
      </c>
      <c r="B39" s="5" t="inlineStr">
        <is>
          <t>Middletown, VA</t>
        </is>
      </c>
      <c r="C39" s="5" t="inlineStr">
        <is>
          <t>USDA + AWA abattoir</t>
        </is>
      </c>
      <c r="D39" s="5" t="inlineStr">
        <is>
          <t>unknown</t>
        </is>
      </c>
      <c r="E39" s="33" t="inlineStr">
        <is>
          <t>unknown
(confirm)</t>
        </is>
      </c>
      <c r="F39" s="5" t="inlineStr">
        <is>
          <t>Yes</t>
        </is>
      </c>
      <c r="G39" s="5" t="inlineStr">
        <is>
          <t>USDA ✓</t>
        </is>
      </c>
      <c r="H39" s="5" t="inlineStr">
        <is>
          <t>None found (do NOT confuse with 'Blue Ridge Beef' pet-food recalls)</t>
        </is>
      </c>
      <c r="I39" s="5" t="inlineStr">
        <is>
          <t>Not on public export lists — verify</t>
        </is>
      </c>
      <c r="J39" s="5" t="inlineStr">
        <is>
          <t>AWA-approved (humane) since 2006</t>
        </is>
      </c>
      <c r="K39" s="5" t="inlineStr">
        <is>
          <t>Not noted</t>
        </is>
      </c>
      <c r="L39" s="5" t="inlineStr">
        <is>
          <t>Mobile-slaughter option</t>
        </is>
      </c>
      <c r="M39" s="5" t="inlineStr">
        <is>
          <t>Strong B</t>
        </is>
      </c>
      <c r="N39" s="5" t="inlineStr">
        <is>
          <t>540-636-6050
blueridgemeats.com</t>
        </is>
      </c>
      <c r="O39" s="29" t="inlineStr">
        <is>
          <t>STRONG FIT</t>
        </is>
      </c>
      <c r="P39" s="5" t="inlineStr">
        <is>
          <t>High</t>
        </is>
      </c>
      <c r="Q39" s="5" t="inlineStr">
        <is>
          <t>USDA + AWA; full-service slaughter incl. pork + game; artisan focus; also offers mobile slaughter.</t>
        </is>
      </c>
    </row>
    <row r="40" ht="58" customHeight="1">
      <c r="A40" s="7" t="inlineStr">
        <is>
          <t>Fauquier's Finest Custom Meat</t>
        </is>
      </c>
      <c r="B40" s="5" t="inlineStr">
        <is>
          <t>Bealeton, VA</t>
        </is>
      </c>
      <c r="C40" s="5" t="inlineStr">
        <is>
          <t>USDA/FSIS slaughter + processing</t>
        </is>
      </c>
      <c r="D40" s="5" t="inlineStr">
        <is>
          <t>unknown</t>
        </is>
      </c>
      <c r="E40" s="33" t="inlineStr">
        <is>
          <t>unknown
(confirm)</t>
        </is>
      </c>
      <c r="F40" s="5" t="inlineStr">
        <is>
          <t>Yes</t>
        </is>
      </c>
      <c r="G40" s="5" t="inlineStr">
        <is>
          <t>USDA ✓ (FSIS
slaughter listed)</t>
        </is>
      </c>
      <c r="H40" s="34" t="inlineStr">
        <is>
          <t>⚠ REPEAT humane-handling suspensions 2021 &amp; Dec 2024 (+ a 2018 violation). Est. M33940.</t>
        </is>
      </c>
      <c r="I40" s="5" t="inlineStr">
        <is>
          <t>FSIS Est. M33940; not on public export lists — verify</t>
        </is>
      </c>
      <c r="J40" s="5" t="inlineStr">
        <is>
          <t>Not noted</t>
        </is>
      </c>
      <c r="K40" s="5" t="inlineStr">
        <is>
          <t>Not noted</t>
        </is>
      </c>
      <c r="L40" s="5" t="inlineStr">
        <is>
          <t>Worth asking (A)</t>
        </is>
      </c>
      <c r="M40" s="5" t="inlineStr">
        <is>
          <t>Strong B</t>
        </is>
      </c>
      <c r="N40" s="5" t="inlineStr">
        <is>
          <t>540-439-7227
finestbutcher.com</t>
        </is>
      </c>
      <c r="O40" s="32" t="inlineStr">
        <is>
          <t>CAUTION</t>
        </is>
      </c>
      <c r="P40" s="5" t="inlineStr">
        <is>
          <t>Med-High</t>
        </is>
      </c>
      <c r="Q40" s="5" t="inlineStr">
        <is>
          <t>FSIS-listed for BOTH slaughter &amp; processing incl. hogs — BUT see enforcement: REPEAT humane-handling suspensions (2018, 2021, Dec 2024). A pattern that cuts against the welfare requirement — vet carefully before pursuing.</t>
        </is>
      </c>
    </row>
    <row r="41" ht="58" customHeight="1">
      <c r="A41" s="7" t="inlineStr">
        <is>
          <t>Other VA USDA slaughter (roll-up)</t>
        </is>
      </c>
      <c r="B41" s="5" t="inlineStr">
        <is>
          <t>various, VA</t>
        </is>
      </c>
      <c r="C41" s="5" t="inlineStr">
        <is>
          <t>USDA slaughter</t>
        </is>
      </c>
      <c r="D41" s="5" t="inlineStr">
        <is>
          <t>unknown</t>
        </is>
      </c>
      <c r="E41" s="33" t="inlineStr">
        <is>
          <t>unknown
(confirm)</t>
        </is>
      </c>
      <c r="F41" s="5" t="inlineStr">
        <is>
          <t>Yes (confirm per-facility)</t>
        </is>
      </c>
      <c r="G41" s="5" t="inlineStr">
        <is>
          <t>USDA ✓</t>
        </is>
      </c>
      <c r="H41" s="34" t="inlineStr">
        <is>
          <t>⚠ Donald's Meat Processing (Lexington, M39968): repeat humane suspension 2023 → 3-yr consent decision. Others: none found.</t>
        </is>
      </c>
      <c r="I41" s="5" t="inlineStr">
        <is>
          <t>Not on public export lists — verify each</t>
        </is>
      </c>
      <c r="J41" s="5" t="inlineStr">
        <is>
          <t>Varies</t>
        </is>
      </c>
      <c r="K41" s="5" t="inlineStr">
        <is>
          <t>Not noted</t>
        </is>
      </c>
      <c r="L41" s="5" t="inlineStr">
        <is>
          <t>Possible</t>
        </is>
      </c>
      <c r="M41" s="5" t="inlineStr">
        <is>
          <t>B</t>
        </is>
      </c>
      <c r="N41" s="5" t="inlineStr">
        <is>
          <t>see notes →</t>
        </is>
      </c>
      <c r="O41" s="32" t="inlineStr">
        <is>
          <t>POSSIBLE</t>
        </is>
      </c>
      <c r="P41" s="5" t="inlineStr">
        <is>
          <t>Low-Med</t>
        </is>
      </c>
      <c r="Q41" s="5" t="inlineStr">
        <is>
          <t>From VA slaughter list: Gore's (Edinburg 540-984-8138); Smith Valley Meats (Rich Creek 540-726-3992); Washington County Meat Packing (Bristol 276-466-3000); Central Meat Packing (Chesapeake 757-547-2161); Country Road Meats (Amelia 804-561-5235); Donald's (Lexington 540-464-1846); Crabill's (Toms Brook 540-436-3248); DeHaven's (Winchester 540-662-4004); Russell Meat Packing (Castlewood 276-794-7600); Schrock's (Gladys 434-283-5400). Also verify: 5 Pillar Meats (Farmville) may slaughter cattle/sheep/goat only; Seven Hills (Lynchburg) primarily beef.</t>
        </is>
      </c>
    </row>
    <row r="42" ht="58" customHeight="1">
      <c r="A42" s="7" t="inlineStr">
        <is>
          <t>VA state-inspected (roll-up)</t>
        </is>
      </c>
      <c r="B42" s="5" t="inlineStr">
        <is>
          <t>various, VA</t>
        </is>
      </c>
      <c r="C42" s="5" t="inlineStr">
        <is>
          <t>STATE-inspected slaughter (NOT USDA)</t>
        </is>
      </c>
      <c r="D42" s="5" t="inlineStr">
        <is>
          <t>unknown</t>
        </is>
      </c>
      <c r="E42" s="31" t="inlineStr">
        <is>
          <t>SMALL
(0-300/wk)</t>
        </is>
      </c>
      <c r="F42" s="5" t="inlineStr">
        <is>
          <t>Yes</t>
        </is>
      </c>
      <c r="G42" s="5" t="inlineStr">
        <is>
          <t>STATE only
(NOT USDA)</t>
        </is>
      </c>
      <c r="H42" s="5" t="inlineStr">
        <is>
          <t>Not in FSIS federal enforcement data (state-inspected) — check VDACS state records</t>
        </is>
      </c>
      <c r="I42" s="5" t="inlineStr">
        <is>
          <t>State-inspected (not FSIS) — export path unlikely; verify</t>
        </is>
      </c>
      <c r="J42" s="5" t="inlineStr">
        <is>
          <t>Varies</t>
        </is>
      </c>
      <c r="K42" s="5" t="inlineStr">
        <is>
          <t>Not noted</t>
        </is>
      </c>
      <c r="L42" s="5" t="inlineStr">
        <is>
          <t>Possible</t>
        </is>
      </c>
      <c r="M42" s="5" t="inlineStr">
        <is>
          <t>B</t>
        </is>
      </c>
      <c r="N42" s="5" t="inlineStr">
        <is>
          <t>see notes →</t>
        </is>
      </c>
      <c r="O42" s="32" t="inlineStr">
        <is>
          <t>CAUTION</t>
        </is>
      </c>
      <c r="P42" s="5" t="inlineStr">
        <is>
          <t>Low</t>
        </is>
      </c>
      <c r="Q42" s="5" t="inlineStr">
        <is>
          <t>NOT USDA-FSIS — FLAG for export/APHIS purposes: Adam's Custom Slaughter (Amissville); Ande's (Timberville); Griffith's (Luray); Green Valley (Monroe); Virginia Tech (Blacksburg).</t>
        </is>
      </c>
    </row>
    <row r="43" ht="20" customHeight="1">
      <c r="A43" s="3" t="inlineStr">
        <is>
          <t>IOWA &amp; MIDWEST — best fits (dedicated organ / tissue harvesters)</t>
        </is>
      </c>
    </row>
    <row r="44" ht="58" customHeight="1">
      <c r="A44" s="7" t="inlineStr">
        <is>
          <t>Midwest Research Swine (MRS)</t>
        </is>
      </c>
      <c r="B44" s="5" t="inlineStr">
        <is>
          <t>Glencoe / Gibbon, MN</t>
        </is>
      </c>
      <c r="C44" s="5" t="inlineStr">
        <is>
          <t>Porcine-ONLY abattoir + tissue-harvest facility</t>
        </is>
      </c>
      <c r="D44" s="5" t="inlineStr">
        <is>
          <t>~385 (20k/yr)</t>
        </is>
      </c>
      <c r="E44" s="29" t="inlineStr">
        <is>
          <t>MEDIUM
(350-2,500/wk)</t>
        </is>
      </c>
      <c r="F44" s="5" t="inlineStr">
        <is>
          <t>Yes</t>
        </is>
      </c>
      <c r="G44" s="5" t="inlineStr">
        <is>
          <t>meat insp.
unconfirmed</t>
        </is>
      </c>
      <c r="H44" s="5" t="inlineStr">
        <is>
          <t>None found (small research facility; rarely in enforcement data)</t>
        </is>
      </c>
      <c r="I44" s="5" t="inlineStr">
        <is>
          <t>Holds APHIS Class B/R (AWA licenses); research-tissue export via APHIS VS/TRACES by-products channel NOT confirmed — verify (correct channel)</t>
        </is>
      </c>
      <c r="J44" s="5" t="inlineStr">
        <is>
          <t>Strong — closed herd, stringent QC; family (Theis, since 1978), ~20 staff</t>
        </is>
      </c>
      <c r="K44" s="5" t="inlineStr">
        <is>
          <t>YES — CORE BUSINESS: whole organs (decellularization), veins/arteries for implantation, mesh tissue, bio-samples; xeno/vaccine/stem-cell research</t>
        </is>
      </c>
      <c r="L44" s="5" t="inlineStr">
        <is>
          <t>Plausible (has harvest facility)</t>
        </is>
      </c>
      <c r="M44" s="5" t="inlineStr">
        <is>
          <t>Best fit — harvest to spec</t>
        </is>
      </c>
      <c r="N44" s="5" t="inlineStr">
        <is>
          <t>midwestresearchswine.com
(phone via site)</t>
        </is>
      </c>
      <c r="O44" s="29" t="inlineStr">
        <is>
          <t>STRONG FIT</t>
        </is>
      </c>
      <c r="P44" s="5" t="inlineStr">
        <is>
          <t>High</t>
        </is>
      </c>
      <c r="Q44" s="5" t="inlineStr">
        <is>
          <t>THE standout — already exactly our operation at our scale. Clients incl. Mayo, U.Minnesota, Harvard, 40+ firms. Holds USDA APHIS Class B/R (AWA research licenses; distinct from an FSIS meat grant — confirm meat-inspection status).</t>
        </is>
      </c>
    </row>
    <row r="45" ht="58" customHeight="1">
      <c r="A45" s="7" t="inlineStr">
        <is>
          <t>Smithfield BioScience — Denison</t>
        </is>
      </c>
      <c r="B45" s="5" t="inlineStr">
        <is>
          <t>Denison, IA
(+ Monmouth IL, Milan MO)</t>
        </is>
      </c>
      <c r="C45" s="5" t="inlineStr">
        <is>
          <t>LARGE packer + biologics program</t>
        </is>
      </c>
      <c r="D45" s="5" t="inlineStr">
        <is>
          <t>~10,000 / DAY
(organ exception)</t>
        </is>
      </c>
      <c r="E45" s="35" t="inlineStr">
        <is>
          <t>HIGH
(&gt;5,000/wk)</t>
        </is>
      </c>
      <c r="F45" s="5" t="inlineStr">
        <is>
          <t>Yes</t>
        </is>
      </c>
      <c r="G45" s="5" t="inlineStr">
        <is>
          <t>USDA ✓ (Est. 717)
export-cert</t>
        </is>
      </c>
      <c r="H45" s="34" t="inlineStr">
        <is>
          <t>⚠ REPEAT humane-handling: NOIE 2021 &amp; 2023; suspension 09/2024 (egregious). ASPCA line-speed concerns. Est. M717.</t>
        </is>
      </c>
      <c r="I45" s="5" t="inlineStr">
        <is>
          <t>FSIS export-certified (edible, Est. M717). Research-tissue via APHIS VS/TRACES unverified</t>
        </is>
      </c>
      <c r="J45" s="5" t="inlineStr">
        <is>
          <t>Industrial scale, but a structured biologics unit</t>
        </is>
      </c>
      <c r="K45" s="5" t="inlineStr">
        <is>
          <t>YES — full program: PELVIC (bladder, ovary); ABDOMINAL (kidney, liver, pancreas, sm. intestine, mucosa, peritoneum, pepsin lining); THORACIC (heart, valves, lung, aorta, pericardium, trachea); glands/skin/eyes</t>
        </is>
      </c>
      <c r="L45" s="5" t="inlineStr">
        <is>
          <t>Negotiate (industrial site)</t>
        </is>
      </c>
      <c r="M45" s="5" t="inlineStr">
        <is>
          <t>Strong — harvests in-house to customer spec</t>
        </is>
      </c>
      <c r="N45" s="5" t="inlineStr">
        <is>
          <t>smithfieldbioscience.com</t>
        </is>
      </c>
      <c r="O45" s="29" t="inlineStr">
        <is>
          <t>STRONG FIT
(organ exc.)</t>
        </is>
      </c>
      <c r="P45" s="5" t="inlineStr">
        <is>
          <t>High</t>
        </is>
      </c>
      <c r="Q45" s="5" t="inlineStr">
        <is>
          <t>The large packer that QUALIFIES via your organ exception — covers all three target regions harvested to spec. Model B natural fit; Model A access would need negotiation.</t>
        </is>
      </c>
    </row>
    <row r="46" ht="20" customHeight="1">
      <c r="A46" s="3" t="inlineStr">
        <is>
          <t>IOWA &amp; MIDWEST — mid / small USDA hog plants (standard pork; Model A or B)</t>
        </is>
      </c>
    </row>
    <row r="47" ht="58" customHeight="1">
      <c r="A47" s="7" t="inlineStr">
        <is>
          <t>Lorentz Meats</t>
        </is>
      </c>
      <c r="B47" s="5" t="inlineStr">
        <is>
          <t>Cannon Falls, MN</t>
        </is>
      </c>
      <c r="C47" s="5" t="inlineStr">
        <is>
          <t>USDA niche processor (slaughter→retail)</t>
        </is>
      </c>
      <c r="D47" s="5" t="inlineStr">
        <is>
          <t>up to ~600 (120/day est.)</t>
        </is>
      </c>
      <c r="E47" s="29" t="inlineStr">
        <is>
          <t>MEDIUM
(350-2,500/wk)</t>
        </is>
      </c>
      <c r="F47" s="5" t="inlineStr">
        <is>
          <t>Yes</t>
        </is>
      </c>
      <c r="G47" s="5" t="inlineStr">
        <is>
          <t>USDA ✓</t>
        </is>
      </c>
      <c r="H47" s="5" t="inlineStr">
        <is>
          <t>Recall 2010 (Listeria, cooked ham, Class I). No humane-handling action found.</t>
        </is>
      </c>
      <c r="I47" s="5" t="inlineStr">
        <is>
          <t>FSIS export-certified (edible, general; Est. M21207). EU-specific unverified</t>
        </is>
      </c>
      <c r="J47" s="5" t="inlineStr">
        <is>
          <t>Strong — explicit humane-slaughter positioning; family since 1968, ~140 staff; organic/grass-fed ties</t>
        </is>
      </c>
      <c r="K47" s="5" t="inlineStr">
        <is>
          <t>None known</t>
        </is>
      </c>
      <c r="L47" s="5" t="inlineStr">
        <is>
          <t>Good Model A host (fee-for-service, small-producer friendly)</t>
        </is>
      </c>
      <c r="M47" s="5" t="inlineStr">
        <is>
          <t>Plausible</t>
        </is>
      </c>
      <c r="N47" s="5" t="inlineStr">
        <is>
          <t>(507) 263-3618
lorentzmeats.com</t>
        </is>
      </c>
      <c r="O47" s="32" t="inlineStr">
        <is>
          <t>POSSIBLE</t>
        </is>
      </c>
      <c r="P47" s="5" t="inlineStr">
        <is>
          <t>Med</t>
        </is>
      </c>
      <c r="Q47" s="5" t="inlineStr">
        <is>
          <t>Strong welfare &amp; culture signals (Nahunta-type). Confirm true pork-day cadence / weekly hog count.</t>
        </is>
      </c>
    </row>
    <row r="48" ht="58" customHeight="1">
      <c r="A48" s="7" t="inlineStr">
        <is>
          <t>SIG International, Iowa</t>
        </is>
      </c>
      <c r="B48" s="5" t="inlineStr">
        <is>
          <t>Boyden, IA</t>
        </is>
      </c>
      <c r="C48" s="5" t="inlineStr">
        <is>
          <t>USDA slaughter+processing (Est. M20748)</t>
        </is>
      </c>
      <c r="D48" s="5" t="inlineStr">
        <is>
          <t>unknown (small-mid)</t>
        </is>
      </c>
      <c r="E48" s="33" t="inlineStr">
        <is>
          <t>unknown
(confirm)</t>
        </is>
      </c>
      <c r="F48" s="5" t="inlineStr">
        <is>
          <t>Yes</t>
        </is>
      </c>
      <c r="G48" s="5" t="inlineStr">
        <is>
          <t>USDA ✓
export-cert (Japan)</t>
        </is>
      </c>
      <c r="H48" s="5" t="inlineStr">
        <is>
          <t>None found in public sources</t>
        </is>
      </c>
      <c r="I48" s="5" t="inlineStr">
        <is>
          <t>FSIS export-certified (edible; exports to Japan — Japan ≠ EU). EU/APHIS unverified</t>
        </is>
      </c>
      <c r="J48" s="5" t="inlineStr">
        <is>
          <t>Berkshire / USDA-organic; export QC discipline</t>
        </is>
      </c>
      <c r="K48" s="5" t="inlineStr">
        <is>
          <t>None found</t>
        </is>
      </c>
      <c r="L48" s="5" t="inlineStr">
        <is>
          <t>Likely Model A host</t>
        </is>
      </c>
      <c r="M48" s="5" t="inlineStr">
        <is>
          <t>Plausible</t>
        </is>
      </c>
      <c r="N48" s="5" t="inlineStr">
        <is>
          <t>(712) 725-2172
sigiowa.com</t>
        </is>
      </c>
      <c r="O48" s="32" t="inlineStr">
        <is>
          <t>POSSIBLE</t>
        </is>
      </c>
      <c r="P48" s="5" t="inlineStr">
        <is>
          <t>Med</t>
        </is>
      </c>
      <c r="Q48" s="5" t="inlineStr">
        <is>
          <t>Niche premium/Berkshire, organic, export-grade QC (Japan). Confirm weekly hog throughput.</t>
        </is>
      </c>
    </row>
    <row r="49" ht="58" customHeight="1">
      <c r="A49" s="7" t="inlineStr">
        <is>
          <t>Eickman's Processing Co.</t>
        </is>
      </c>
      <c r="B49" s="5" t="inlineStr">
        <is>
          <t>Seward, IL</t>
        </is>
      </c>
      <c r="C49" s="5" t="inlineStr">
        <is>
          <t>USDA (Est. M31776), small family plant</t>
        </is>
      </c>
      <c r="D49" s="5" t="inlineStr">
        <is>
          <t>small (low-100s/wk est.)</t>
        </is>
      </c>
      <c r="E49" s="31" t="inlineStr">
        <is>
          <t>SMALL
(0-300/wk)</t>
        </is>
      </c>
      <c r="F49" s="5" t="inlineStr">
        <is>
          <t>Yes</t>
        </is>
      </c>
      <c r="G49" s="5" t="inlineStr">
        <is>
          <t>USDA ✓</t>
        </is>
      </c>
      <c r="H49" s="5" t="inlineStr">
        <is>
          <t>Recall 2010 (underprocessed canned). No humane-handling action found.</t>
        </is>
      </c>
      <c r="I49" s="5" t="inlineStr">
        <is>
          <t>Not on public export lists — verify</t>
        </is>
      </c>
      <c r="J49" s="5" t="inlineStr">
        <is>
          <t>Long-tenured family operation (~70 yrs, ~30 staff) — stable culture</t>
        </is>
      </c>
      <c r="K49" s="5" t="inlineStr">
        <is>
          <t>None</t>
        </is>
      </c>
      <c r="L49" s="5" t="inlineStr">
        <is>
          <t>Model A small batches</t>
        </is>
      </c>
      <c r="M49" s="5" t="inlineStr">
        <is>
          <t>Plausible</t>
        </is>
      </c>
      <c r="N49" s="5" t="inlineStr">
        <is>
          <t>(815) 247-8451
eickmans.com</t>
        </is>
      </c>
      <c r="O49" s="32" t="inlineStr">
        <is>
          <t>POSSIBLE</t>
        </is>
      </c>
      <c r="P49" s="5" t="inlineStr">
        <is>
          <t>Med</t>
        </is>
      </c>
      <c r="Q49" s="5" t="inlineStr">
        <is>
          <t>SMALL tier (~low-100s/wk est.). Stable family culture, USDA. Viable now that capacity is open — good Model A small-batch partner.</t>
        </is>
      </c>
    </row>
    <row r="50" ht="58" customHeight="1">
      <c r="A50" s="7" t="inlineStr">
        <is>
          <t>Ruthven Meat Processing</t>
        </is>
      </c>
      <c r="B50" s="5" t="inlineStr">
        <is>
          <t>Ruthven, IA</t>
        </is>
      </c>
      <c r="C50" s="5" t="inlineStr">
        <is>
          <t>USDA (Est. M2118), FSIS 'Very Small'</t>
        </is>
      </c>
      <c r="D50" s="5" t="inlineStr">
        <is>
          <t>low (very small)</t>
        </is>
      </c>
      <c r="E50" s="31" t="inlineStr">
        <is>
          <t>SMALL
(0-300/wk)</t>
        </is>
      </c>
      <c r="F50" s="5" t="inlineStr">
        <is>
          <t>Hogs NOT
confirmed</t>
        </is>
      </c>
      <c r="G50" s="5" t="inlineStr">
        <is>
          <t>USDA ✓</t>
        </is>
      </c>
      <c r="H50" s="5" t="inlineStr">
        <is>
          <t>None found in public sources</t>
        </is>
      </c>
      <c r="I50" s="5" t="inlineStr">
        <is>
          <t>Not on public export lists — verify</t>
        </is>
      </c>
      <c r="J50" s="5" t="inlineStr">
        <is>
          <t>Small locker</t>
        </is>
      </c>
      <c r="K50" s="5" t="inlineStr">
        <is>
          <t>Unknown</t>
        </is>
      </c>
      <c r="L50" s="5" t="inlineStr">
        <is>
          <t>Model A small batch</t>
        </is>
      </c>
      <c r="M50" s="5" t="inlineStr">
        <is>
          <t>Plausible</t>
        </is>
      </c>
      <c r="N50" s="5" t="inlineStr">
        <is>
          <t>(712) 837-5334</t>
        </is>
      </c>
      <c r="O50" s="32" t="inlineStr">
        <is>
          <t>CAUTION</t>
        </is>
      </c>
      <c r="P50" s="5" t="inlineStr">
        <is>
          <t>Low-Med</t>
        </is>
      </c>
      <c r="Q50" s="5" t="inlineStr">
        <is>
          <t>FSIS 'Very Small' volume class (fits low band) BUT swine slaughter NOT confirmed — verify it actually takes hogs before relying on it.</t>
        </is>
      </c>
    </row>
    <row r="51" ht="20" customHeight="1">
      <c r="A51" s="3" t="inlineStr">
        <is>
          <t>IOWA &amp; MIDWEST — large packers (excluded unless a biologics program is confirmed)</t>
        </is>
      </c>
    </row>
    <row r="52" ht="58" customHeight="1">
      <c r="A52" s="7" t="inlineStr">
        <is>
          <t>Sioux-Preme Packing / Perdue</t>
        </is>
      </c>
      <c r="B52" s="5" t="inlineStr">
        <is>
          <t>Sioux Center, IA</t>
        </is>
      </c>
      <c r="C52" s="5" t="inlineStr">
        <is>
          <t>Large niche pork (Est. M5537)</t>
        </is>
      </c>
      <c r="D52" s="5" t="inlineStr">
        <is>
          <t>~4,500 / DAY</t>
        </is>
      </c>
      <c r="E52" s="35" t="inlineStr">
        <is>
          <t>HIGH
(&gt;5,000/wk)</t>
        </is>
      </c>
      <c r="F52" s="5" t="inlineStr">
        <is>
          <t>Yes</t>
        </is>
      </c>
      <c r="G52" s="5" t="inlineStr">
        <is>
          <t>USDA ✓
organic</t>
        </is>
      </c>
      <c r="H52" s="34" t="inlineStr">
        <is>
          <t>⚠ Humane-handling: NOIE 11/2020, suspension 04/2021 (Est. M5537); PETA sought charges (none filed on record).</t>
        </is>
      </c>
      <c r="I52" s="5" t="inlineStr">
        <is>
          <t>Export status not confirmed on public lists — verify</t>
        </is>
      </c>
      <c r="J52" s="5" t="inlineStr">
        <is>
          <t>NEGATIVE signal — an animal-rights group publicly sought charges over handling</t>
        </is>
      </c>
      <c r="K52" s="5" t="inlineStr">
        <is>
          <t>No biologics program found</t>
        </is>
      </c>
      <c r="L52" s="5" t="inlineStr">
        <is>
          <t>Unlikely</t>
        </is>
      </c>
      <c r="M52" s="5" t="inlineStr">
        <is>
          <t>Unlikely</t>
        </is>
      </c>
      <c r="N52" s="5" t="inlineStr">
        <is>
          <t>(712) 722-2555</t>
        </is>
      </c>
      <c r="O52" s="32" t="inlineStr">
        <is>
          <t>CAUTION</t>
        </is>
      </c>
      <c r="P52" s="5" t="inlineStr">
        <is>
          <t>High</t>
        </is>
      </c>
      <c r="Q52" s="5" t="inlineStr">
        <is>
          <t>HIGH tier — no longer excluded on size. Held at CAUTION on WELFARE, not volume: humane-handling NOIE 11/2020 and suspension 04/2021 (Est. M5537), and PETA sought criminal charges. No organ program found. Weigh heavily against the Nahunta standard.</t>
        </is>
      </c>
    </row>
    <row r="53" ht="58" customHeight="1">
      <c r="A53" s="7" t="inlineStr">
        <is>
          <t>Seaboard Triumph Foods</t>
        </is>
      </c>
      <c r="B53" s="5" t="inlineStr">
        <is>
          <t>Sioux City, IA</t>
        </is>
      </c>
      <c r="C53" s="5" t="inlineStr">
        <is>
          <t>Very large packer</t>
        </is>
      </c>
      <c r="D53" s="5" t="inlineStr">
        <is>
          <t>~10,000/DAY (up to 20-24k)</t>
        </is>
      </c>
      <c r="E53" s="35" t="inlineStr">
        <is>
          <t>HIGH
(&gt;5,000/wk)</t>
        </is>
      </c>
      <c r="F53" s="5" t="inlineStr">
        <is>
          <t>Yes</t>
        </is>
      </c>
      <c r="G53" s="5" t="inlineStr">
        <is>
          <t>USDA ✓</t>
        </is>
      </c>
      <c r="H53" s="5" t="inlineStr">
        <is>
          <t>No FSIS humane/recall found. Non-FSIS press: labor / child-labor fines, emissions.</t>
        </is>
      </c>
      <c r="I53" s="5" t="inlineStr">
        <is>
          <t>FSIS export-certified (edible, general; Est. M46071). EU-specific unverified</t>
        </is>
      </c>
      <c r="J53" s="5" t="inlineStr">
        <is>
          <t>Industrial</t>
        </is>
      </c>
      <c r="K53" s="5" t="inlineStr">
        <is>
          <t>NOT confirmed (no research-organ program found)</t>
        </is>
      </c>
      <c r="L53" s="5" t="inlineStr">
        <is>
          <t>Unlikely</t>
        </is>
      </c>
      <c r="M53" s="5" t="inlineStr">
        <is>
          <t>Unlikely</t>
        </is>
      </c>
      <c r="N53" s="5" t="inlineStr">
        <is>
          <t>—</t>
        </is>
      </c>
      <c r="O53" s="32" t="inlineStr">
        <is>
          <t>POSSIBLE</t>
        </is>
      </c>
      <c r="P53" s="5" t="inlineStr">
        <is>
          <t>High</t>
        </is>
      </c>
      <c r="Q53" s="5" t="inlineStr">
        <is>
          <t>HIGH tier. No longer excluded on size (~10-24k/day). Biologics program UNCONFIRMED — do NOT assume one exists; ask directly. Non-FSIS labour/child-labour press on record.</t>
        </is>
      </c>
    </row>
    <row r="54" ht="58" customHeight="1">
      <c r="A54" s="7" t="inlineStr">
        <is>
          <t>Prestage Foods of Iowa</t>
        </is>
      </c>
      <c r="B54" s="5" t="inlineStr">
        <is>
          <t>Eagle Grove, IA</t>
        </is>
      </c>
      <c r="C54" s="5" t="inlineStr">
        <is>
          <t>Very large packer</t>
        </is>
      </c>
      <c r="D54" s="5" t="inlineStr">
        <is>
          <t>~10,000-12,000/DAY</t>
        </is>
      </c>
      <c r="E54" s="35" t="inlineStr">
        <is>
          <t>HIGH
(&gt;5,000/wk)</t>
        </is>
      </c>
      <c r="F54" s="5" t="inlineStr">
        <is>
          <t>Yes</t>
        </is>
      </c>
      <c r="G54" s="5" t="inlineStr">
        <is>
          <t>USDA ✓</t>
        </is>
      </c>
      <c r="H54" s="34" t="inlineStr">
        <is>
          <t>⚠ REPEAT humane-handling suspensions 2020 &amp; 04/2022 (egregious). Est. M51340. PETA sought kill-floor cameras.</t>
        </is>
      </c>
      <c r="I54" s="5" t="inlineStr">
        <is>
          <t>Export-oriented; 'Certification–Export' not directly confirmed. EU unverified</t>
        </is>
      </c>
      <c r="J54" s="5" t="inlineStr">
        <is>
          <t>Industrial</t>
        </is>
      </c>
      <c r="K54" s="5" t="inlineStr">
        <is>
          <t>No organ program found</t>
        </is>
      </c>
      <c r="L54" s="5" t="inlineStr">
        <is>
          <t>Unlikely</t>
        </is>
      </c>
      <c r="M54" s="5" t="inlineStr">
        <is>
          <t>Unlikely</t>
        </is>
      </c>
      <c r="N54" s="5" t="inlineStr">
        <is>
          <t>—</t>
        </is>
      </c>
      <c r="O54" s="32" t="inlineStr">
        <is>
          <t>POSSIBLE</t>
        </is>
      </c>
      <c r="P54" s="5" t="inlineStr">
        <is>
          <t>High</t>
        </is>
      </c>
      <c r="Q54" s="5" t="inlineStr">
        <is>
          <t>HIGH tier. No longer excluded on size (~10-12k hogs/day). No organ program found — confirm directly. Documented repeat humane-handling suspensions (see enforcement).</t>
        </is>
      </c>
    </row>
    <row r="55" ht="58" customHeight="1">
      <c r="A55" s="7" t="inlineStr">
        <is>
          <t>Wholestone Farms</t>
        </is>
      </c>
      <c r="B55" s="5" t="inlineStr">
        <is>
          <t>Fremont, NE</t>
        </is>
      </c>
      <c r="C55" s="5" t="inlineStr">
        <is>
          <t>Very large packer</t>
        </is>
      </c>
      <c r="D55" s="5" t="inlineStr">
        <is>
          <t>~8,200/DAY (3M→5.6M/yr)</t>
        </is>
      </c>
      <c r="E55" s="35" t="inlineStr">
        <is>
          <t>HIGH
(&gt;5,000/wk)</t>
        </is>
      </c>
      <c r="F55" s="5" t="inlineStr">
        <is>
          <t>Yes</t>
        </is>
      </c>
      <c r="G55" s="5" t="inlineStr">
        <is>
          <t>USDA ✓</t>
        </is>
      </c>
      <c r="H55" s="34" t="inlineStr">
        <is>
          <t>⚠ Humane-handling NOIE 12/2019 (Est. M46491; captive bolt on a condemned hog).</t>
        </is>
      </c>
      <c r="I55" s="5" t="inlineStr">
        <is>
          <t>Not confirmed on public lists — verify</t>
        </is>
      </c>
      <c r="J55" s="5" t="inlineStr">
        <is>
          <t>Industrial</t>
        </is>
      </c>
      <c r="K55" s="5" t="inlineStr">
        <is>
          <t>Biologics unknown</t>
        </is>
      </c>
      <c r="L55" s="5" t="inlineStr">
        <is>
          <t>Unlikely</t>
        </is>
      </c>
      <c r="M55" s="5" t="inlineStr">
        <is>
          <t>Unlikely</t>
        </is>
      </c>
      <c r="N55" s="5" t="inlineStr">
        <is>
          <t>—</t>
        </is>
      </c>
      <c r="O55" s="32" t="inlineStr">
        <is>
          <t>POSSIBLE</t>
        </is>
      </c>
      <c r="P55" s="5" t="inlineStr">
        <is>
          <t>High</t>
        </is>
      </c>
      <c r="Q55" s="5" t="inlineStr">
        <is>
          <t>HIGH tier. No longer excluded on size. Biologics unknown — confirm. Humane-handling NOIE 12/2019 on record.</t>
        </is>
      </c>
    </row>
    <row r="56" ht="58" customHeight="1">
      <c r="A56" s="7" t="inlineStr">
        <is>
          <t>Other large regional (context)</t>
        </is>
      </c>
      <c r="B56" s="5" t="inlineStr">
        <is>
          <t>IA / Midwest</t>
        </is>
      </c>
      <c r="C56" s="5" t="inlineStr">
        <is>
          <t>Very large packers</t>
        </is>
      </c>
      <c r="D56" s="5" t="inlineStr">
        <is>
          <t>&gt;3,000/wk</t>
        </is>
      </c>
      <c r="E56" s="35" t="inlineStr">
        <is>
          <t>HIGH
(&gt;5,000/wk)</t>
        </is>
      </c>
      <c r="F56" s="5" t="inlineStr">
        <is>
          <t>Yes/mixed</t>
        </is>
      </c>
      <c r="G56" s="5" t="inlineStr">
        <is>
          <t>USDA ✓</t>
        </is>
      </c>
      <c r="H56" s="5" t="inlineStr">
        <is>
          <t>Varies by plant — check FSIS Quarterly Enforcement Reports per establishment #</t>
        </is>
      </c>
      <c r="I56" s="5" t="inlineStr">
        <is>
          <t>Varies — check FSIS 'Eligible Establishments by Country' + TRACES</t>
        </is>
      </c>
      <c r="J56" s="5" t="inlineStr">
        <is>
          <t>Industrial</t>
        </is>
      </c>
      <c r="K56" s="5" t="inlineStr">
        <is>
          <t>Not confirmed</t>
        </is>
      </c>
      <c r="L56" s="5" t="inlineStr">
        <is>
          <t>Unlikely</t>
        </is>
      </c>
      <c r="M56" s="5" t="inlineStr">
        <is>
          <t>Unlikely</t>
        </is>
      </c>
      <c r="N56" s="5" t="inlineStr">
        <is>
          <t>—</t>
        </is>
      </c>
      <c r="O56" s="32" t="inlineStr">
        <is>
          <t>CAUTION</t>
        </is>
      </c>
      <c r="P56" s="5" t="inlineStr">
        <is>
          <t>Med</t>
        </is>
      </c>
      <c r="Q56" s="5" t="inlineStr">
        <is>
          <t>Tyson Fresh Meats (Columbus Junction, Storm Lake, Waterloo IA); JBS/Cargill pork (Ottumwa/Marshalltown). Tyson Perry IA CLOSED 2024. Iowa Premium/National Beef (Tama) = BEEF — exclude. Biologics programs unverified.</t>
        </is>
      </c>
    </row>
    <row r="57" ht="20" customHeight="1">
      <c r="A57" s="3" t="inlineStr">
        <is>
          <t>ADJACENT SOURCES — research minipig suppliers (scale mismatch; comparator only)</t>
        </is>
      </c>
    </row>
    <row r="58" ht="58" customHeight="1">
      <c r="A58" s="7" t="inlineStr">
        <is>
          <t>Sinclair BioResources</t>
        </is>
      </c>
      <c r="B58" s="5" t="inlineStr">
        <is>
          <t>Auxvasse, MO</t>
        </is>
      </c>
      <c r="C58" s="5" t="inlineStr">
        <is>
          <t>Minipig supplier + bio-samples</t>
        </is>
      </c>
      <c r="D58" s="5" t="inlineStr">
        <is>
          <t>n/a (research minipigs)</t>
        </is>
      </c>
      <c r="E58" s="33" t="inlineStr">
        <is>
          <t>n/a</t>
        </is>
      </c>
      <c r="F58" s="5" t="inlineStr">
        <is>
          <t>Yes (minipigs)</t>
        </is>
      </c>
      <c r="G58" s="5" t="inlineStr">
        <is>
          <t>unknown</t>
        </is>
      </c>
      <c r="H58" s="5" t="inlineStr">
        <is>
          <t>None found (research minipig facility)</t>
        </is>
      </c>
      <c r="I58" s="5" t="inlineStr">
        <is>
          <t>Research minipig; APHIS VS channel — verify</t>
        </is>
      </c>
      <c r="J58" s="5" t="inlineStr">
        <is>
          <t>Research-scale program</t>
        </is>
      </c>
      <c r="K58" s="5" t="inlineStr">
        <is>
          <t>Minipig tissue / bio-samples (Sinclair, Yucatan, Hanford)</t>
        </is>
      </c>
      <c r="L58" s="5" t="inlineStr">
        <is>
          <t>n/a</t>
        </is>
      </c>
      <c r="M58" s="5" t="inlineStr">
        <is>
          <t>Comparator only</t>
        </is>
      </c>
      <c r="N58" s="5" t="inlineStr">
        <is>
          <t>sinclairbioresources.com</t>
        </is>
      </c>
      <c r="O58" s="32" t="inlineStr">
        <is>
          <t>CAUTION</t>
        </is>
      </c>
      <c r="P58" s="5" t="inlineStr">
        <is>
          <t>Med</t>
        </is>
      </c>
      <c r="Q58" s="5" t="inlineStr">
        <is>
          <t>MISMATCH: research minipigs at research scale, not 200-3,000/wk market hogs; tissue blocks would be minipig-sized. Useful as a comparator/specialty source, not a throughput abattoir.</t>
        </is>
      </c>
    </row>
    <row r="59" ht="20" customHeight="1">
      <c r="A59" s="3" t="inlineStr">
        <is>
          <t>NORTH CAROLINA — NEWLY FOUND (registry sweep, NCDA&amp;CS directories 2026-07-24)</t>
        </is>
      </c>
    </row>
    <row r="60" ht="58" customHeight="1">
      <c r="A60" s="7" t="inlineStr">
        <is>
          <t>The Pork Company (Villari Food Group)</t>
        </is>
      </c>
      <c r="B60" s="5" t="inlineStr">
        <is>
          <t>Warsaw, NC (Duplin)</t>
        </is>
      </c>
      <c r="C60" s="5" t="inlineStr">
        <is>
          <t>USDA federal fresh-pork HARVEST plant</t>
        </is>
      </c>
      <c r="D60" s="5" t="inlineStr">
        <is>
          <t>~7,500/wk (1,500 hd/day, EMI 2017)</t>
        </is>
      </c>
      <c r="E60" s="35" t="inlineStr">
        <is>
          <t>HIGH
(&gt;5,000/wk)</t>
        </is>
      </c>
      <c r="F60" s="5" t="inlineStr">
        <is>
          <t>Yes — MARKET HOGS</t>
        </is>
      </c>
      <c r="G60" s="5" t="inlineStr">
        <is>
          <t>USDA ✓ M20608</t>
        </is>
      </c>
      <c r="H60" s="34" t="inlineStr">
        <is>
          <t>⚠⚠ REPEAT humane-handling: NOIE 11 May 2022 AND NOIE 8 May 2025 (Est. M20608). Both letters 403-blocked — READ THEM before approaching.</t>
        </is>
      </c>
      <c r="I60" s="5" t="inlineStr">
        <is>
          <t>Sister plant Villari Food Group is EXPORT-CERTIFIED for pork (FSIS, edible). APHIS by-product listing unverified</t>
        </is>
      </c>
      <c r="J60" s="5" t="inlineStr">
        <is>
          <t>⚠⚠ TWO humane-handling NOIEs — 11 May 2022 AND 8 May 2025 (repeat pattern, 3 yrs apart)</t>
        </is>
      </c>
      <c r="K60" s="5" t="inlineStr">
        <is>
          <t>Unknown. Sister plant Villari Food Group (Warsaw) is export-certified for pork — the group already runs an export-certified cold chain</t>
        </is>
      </c>
      <c r="L60" s="5" t="inlineStr">
        <is>
          <t>Unlikely at 1,500 hd/day</t>
        </is>
      </c>
      <c r="M60" s="5" t="inlineStr">
        <is>
          <t>Model B candidate on volume</t>
        </is>
      </c>
      <c r="N60" s="5" t="inlineStr">
        <is>
          <t>(910) 293-2157
villarifood.com</t>
        </is>
      </c>
      <c r="O60" s="32" t="inlineStr">
        <is>
          <t>CAUTION</t>
        </is>
      </c>
      <c r="P60" s="5" t="inlineStr">
        <is>
          <t>Med</t>
        </is>
      </c>
      <c r="Q60" s="5" t="inlineStr">
        <is>
          <t>BIGGEST REGIONAL VOLUME PRIZE outside Smithfield — and the most exposed. Market hogs (not sows, not roasters). ~12 mi from Parks = a second Warsaw cluster. READ BOTH NOIE LETTERS before approaching; a 3-year repeat of humane-handling enforcement is a real reputational risk for a biomedical supplier.</t>
        </is>
      </c>
    </row>
    <row r="61" ht="58" customHeight="1">
      <c r="A61" s="7" t="inlineStr">
        <is>
          <t>Parks Family Meats, LLC</t>
        </is>
      </c>
      <c r="B61" s="5" t="inlineStr">
        <is>
          <t>Warsaw, NC (Duplin)</t>
        </is>
      </c>
      <c r="C61" s="5" t="inlineStr">
        <is>
          <t>Talmadge-Aiken slaughter + processing</t>
        </is>
      </c>
      <c r="D61" s="5" t="inlineStr">
        <is>
          <t>~1,750-2,000/wk (400/day co. capacity)</t>
        </is>
      </c>
      <c r="E61" s="29" t="inlineStr">
        <is>
          <t>MEDIUM
(350-2,500/wk)</t>
        </is>
      </c>
      <c r="F61" s="5" t="inlineStr">
        <is>
          <t>Yes — SWINE-ONLY</t>
        </is>
      </c>
      <c r="G61" s="5" t="inlineStr">
        <is>
          <t>USDA ✓ TA-18296A
(interstate/export eligible)</t>
        </is>
      </c>
      <c r="H61" s="5" t="inlineStr">
        <is>
          <t>None found (FSIS unreachable — NOT a clean bill)</t>
        </is>
      </c>
      <c r="I61" s="5" t="inlineStr">
        <is>
          <t>TA = interstate/export eligible. Company claims Caribbean export (self-reported, UNVERIFIED). APHIS listing not found</t>
        </is>
      </c>
      <c r="J61" s="5" t="inlineStr">
        <is>
          <t>None found (NOT a clean bill — FSIS unreachable)</t>
        </is>
      </c>
      <c r="K61" s="5" t="inlineStr">
        <is>
          <t>Unknown — roasters usually dressed head-on; viscera disposition needs a call</t>
        </is>
      </c>
      <c r="L61" s="5" t="inlineStr">
        <is>
          <t>STRONG — 20 staff, single 15,000 sq ft floor, one decision-maker</t>
        </is>
      </c>
      <c r="M61" s="5" t="inlineStr">
        <is>
          <t>Only if juvenile tissue acceptable</t>
        </is>
      </c>
      <c r="N61" s="5" t="inlineStr">
        <is>
          <t>(910) 293-4614
Mike Maxwell · parkslivestock.com</t>
        </is>
      </c>
      <c r="O61" s="32" t="inlineStr">
        <is>
          <t>CAUTION</t>
        </is>
      </c>
      <c r="P61" s="5" t="inlineStr">
        <is>
          <t>Med-High</t>
        </is>
      </c>
      <c r="Q61" s="5" t="inlineStr">
        <is>
          <t>⚠ CRITICAL: ROASTER-PIG specialist, live weight 10-150 lb — JUVENILE anatomy. Pelvic/abdominal/thoracic blocks would be immature and far smaller than a 280 lb market hog, so the head count is MISLEADING for our use. ASK LIVE WEIGHT BEFORE ANYTHING ELSE. Conversely: near-unique regional source if you ever want pediatric-analogue tissue.</t>
        </is>
      </c>
    </row>
    <row r="62" ht="58" customHeight="1">
      <c r="A62" s="7" t="inlineStr">
        <is>
          <t>Caldwell Meat Processing Co.</t>
        </is>
      </c>
      <c r="B62" s="5" t="inlineStr">
        <is>
          <t>Maiden, NC (Lincoln)</t>
        </is>
      </c>
      <c r="C62" s="5" t="inlineStr">
        <is>
          <t>NC STATE-inspected slaughter + processing</t>
        </is>
      </c>
      <c r="D62" s="5" t="inlineStr">
        <is>
          <t>unknown (est. SMALL)</t>
        </is>
      </c>
      <c r="E62" s="31" t="inlineStr">
        <is>
          <t>SMALL
(0-300/wk)</t>
        </is>
      </c>
      <c r="F62" s="5" t="inlineStr">
        <is>
          <t>Yes — SWINE-ONLY</t>
        </is>
      </c>
      <c r="G62" s="5" t="inlineStr">
        <is>
          <t>STATE only P-312
(NOT USDA — intrastate)</t>
        </is>
      </c>
      <c r="H62" s="5" t="inlineStr">
        <is>
          <t>State-inspected — never appears in FSIS data; absence is meaningless. Check NCDA state records.</t>
        </is>
      </c>
      <c r="I62" s="5" t="inlineStr">
        <is>
          <t>State-inspected — intrastate NC only; not export eligible as edible product</t>
        </is>
      </c>
      <c r="J62" s="5" t="inlineStr">
        <is>
          <t>None found (state plants never appear in FSIS data — absence is meaningless here)</t>
        </is>
      </c>
      <c r="K62" s="5" t="inlineStr">
        <is>
          <t>unknown</t>
        </is>
      </c>
      <c r="L62" s="5" t="inlineStr">
        <is>
          <t>Plausible</t>
        </is>
      </c>
      <c r="M62" s="5" t="inlineStr">
        <is>
          <t>Implausible (state inspection blocks interstate edible movement)</t>
        </is>
      </c>
      <c r="N62" s="5" t="inlineStr">
        <is>
          <t>(828) 428-8833</t>
        </is>
      </c>
      <c r="O62" s="32" t="inlineStr">
        <is>
          <t>POSSIBLE</t>
        </is>
      </c>
      <c r="P62" s="5" t="inlineStr">
        <is>
          <t>Med</t>
        </is>
      </c>
      <c r="Q62" s="5" t="inlineStr">
        <is>
          <t>NEW swine-only plant. Intrastate NC sales only — FLAG for export. Check whether our tissue moves as inedible/research material, which may change the interstate calculus.</t>
        </is>
      </c>
    </row>
    <row r="63" ht="58" customHeight="1">
      <c r="A63" s="7" t="inlineStr">
        <is>
          <t>McLaughlin's</t>
        </is>
      </c>
      <c r="B63" s="5" t="inlineStr">
        <is>
          <t>Mooresville, NC (Rowan)</t>
        </is>
      </c>
      <c r="C63" s="5" t="inlineStr">
        <is>
          <t>NC STATE-inspected slaughter + processing</t>
        </is>
      </c>
      <c r="D63" s="5" t="inlineStr">
        <is>
          <t>unknown (est. SMALL)</t>
        </is>
      </c>
      <c r="E63" s="31" t="inlineStr">
        <is>
          <t>SMALL
(0-300/wk)</t>
        </is>
      </c>
      <c r="F63" s="5" t="inlineStr">
        <is>
          <t>Yes — SWINE-ONLY</t>
        </is>
      </c>
      <c r="G63" s="5" t="inlineStr">
        <is>
          <t>STATE only P-85
(NOT USDA — intrastate)</t>
        </is>
      </c>
      <c r="H63" s="5" t="inlineStr">
        <is>
          <t>State-inspected — not in FSIS data by construction</t>
        </is>
      </c>
      <c r="I63" s="5" t="inlineStr">
        <is>
          <t>State-inspected — intrastate NC only</t>
        </is>
      </c>
      <c r="J63" s="5" t="inlineStr">
        <is>
          <t>None found (state plant — not in FSIS data)</t>
        </is>
      </c>
      <c r="K63" s="5" t="inlineStr">
        <is>
          <t>unknown</t>
        </is>
      </c>
      <c r="L63" s="5" t="inlineStr">
        <is>
          <t>Plausible</t>
        </is>
      </c>
      <c r="M63" s="5" t="inlineStr">
        <is>
          <t>Implausible</t>
        </is>
      </c>
      <c r="N63" s="5" t="inlineStr">
        <is>
          <t>(704) 235-8003</t>
        </is>
      </c>
      <c r="O63" s="32" t="inlineStr">
        <is>
          <t>POSSIBLE</t>
        </is>
      </c>
      <c r="P63" s="5" t="inlineStr">
        <is>
          <t>Med</t>
        </is>
      </c>
      <c r="Q63" s="5" t="inlineStr">
        <is>
          <t>NEW swine-only state plant.</t>
        </is>
      </c>
    </row>
    <row r="64" ht="58" customHeight="1">
      <c r="A64" s="7" t="inlineStr">
        <is>
          <t>Price's Custom Meat Cutting &amp; Abattoir</t>
        </is>
      </c>
      <c r="B64" s="5" t="inlineStr">
        <is>
          <t>Hickory, NC (Burke)</t>
        </is>
      </c>
      <c r="C64" s="5" t="inlineStr">
        <is>
          <t>NC STATE-inspected slaughter + processing</t>
        </is>
      </c>
      <c r="D64" s="5" t="inlineStr">
        <is>
          <t>unknown (est. SMALL)</t>
        </is>
      </c>
      <c r="E64" s="31" t="inlineStr">
        <is>
          <t>SMALL
(0-300/wk)</t>
        </is>
      </c>
      <c r="F64" s="5" t="inlineStr">
        <is>
          <t>Yes — SWINE-ONLY</t>
        </is>
      </c>
      <c r="G64" s="5" t="inlineStr">
        <is>
          <t>STATE only P-307
(NOT USDA — intrastate)</t>
        </is>
      </c>
      <c r="H64" s="5" t="inlineStr">
        <is>
          <t>State-inspected — not in FSIS data by construction</t>
        </is>
      </c>
      <c r="I64" s="5" t="inlineStr">
        <is>
          <t>State-inspected — intrastate NC only</t>
        </is>
      </c>
      <c r="J64" s="5" t="inlineStr">
        <is>
          <t>None found (state plant — not in FSIS data)</t>
        </is>
      </c>
      <c r="K64" s="5" t="inlineStr">
        <is>
          <t>unknown</t>
        </is>
      </c>
      <c r="L64" s="5" t="inlineStr">
        <is>
          <t>Plausible</t>
        </is>
      </c>
      <c r="M64" s="5" t="inlineStr">
        <is>
          <t>Implausible</t>
        </is>
      </c>
      <c r="N64" s="5" t="inlineStr">
        <is>
          <t>(828) 381-8978</t>
        </is>
      </c>
      <c r="O64" s="32" t="inlineStr">
        <is>
          <t>POSSIBLE</t>
        </is>
      </c>
      <c r="P64" s="5" t="inlineStr">
        <is>
          <t>Med</t>
        </is>
      </c>
      <c r="Q64" s="5" t="inlineStr">
        <is>
          <t>NEW swine-only state plant.</t>
        </is>
      </c>
    </row>
    <row r="65" ht="58" customHeight="1">
      <c r="A65" s="7" t="inlineStr">
        <is>
          <t>Contentnea Farms, LLC</t>
        </is>
      </c>
      <c r="B65" s="5" t="inlineStr">
        <is>
          <t>Walstonburg, NC (Greene)</t>
        </is>
      </c>
      <c r="C65" s="5" t="inlineStr">
        <is>
          <t>Talmadge-Aiken multi-species slaughter</t>
        </is>
      </c>
      <c r="D65" s="5" t="inlineStr">
        <is>
          <t>unknown (est. SMALL)</t>
        </is>
      </c>
      <c r="E65" s="33" t="inlineStr">
        <is>
          <t>unknown
(confirm)</t>
        </is>
      </c>
      <c r="F65" s="5" t="inlineStr">
        <is>
          <t>Yes (A,B,C,D,E)</t>
        </is>
      </c>
      <c r="G65" s="5" t="inlineStr">
        <is>
          <t>USDA ✓ TA-2583
(interstate/export eligible)</t>
        </is>
      </c>
      <c r="H65" s="5" t="inlineStr">
        <is>
          <t>None found (FSIS unreachable)</t>
        </is>
      </c>
      <c r="I65" s="5" t="inlineStr">
        <is>
          <t>Talmadge-Aiken — interstate/export eligible. APHIS listing unverified</t>
        </is>
      </c>
      <c r="J65" s="5" t="inlineStr">
        <is>
          <t>None found (FSIS unreachable)</t>
        </is>
      </c>
      <c r="K65" s="5" t="inlineStr">
        <is>
          <t>unknown</t>
        </is>
      </c>
      <c r="L65" s="5" t="inlineStr">
        <is>
          <t>Plausible</t>
        </is>
      </c>
      <c r="M65" s="5" t="inlineStr">
        <is>
          <t>Plausible</t>
        </is>
      </c>
      <c r="N65" s="5" t="inlineStr">
        <is>
          <t>(252) 717-9229</t>
        </is>
      </c>
      <c r="O65" s="32" t="inlineStr">
        <is>
          <t>POSSIBLE</t>
        </is>
      </c>
      <c r="P65" s="5" t="inlineStr">
        <is>
          <t>Med</t>
        </is>
      </c>
      <c r="Q65" s="5" t="inlineStr">
        <is>
          <t>NEW. ~30 mi east of Wilson — EXTENDS THE EASTERN-NC AGGREGATION CLUSTER, and TA means export-eligible.</t>
        </is>
      </c>
    </row>
    <row r="66" ht="58" customHeight="1">
      <c r="A66" s="7" t="inlineStr">
        <is>
          <t>Assured Community Processing LLC</t>
        </is>
      </c>
      <c r="B66" s="5" t="inlineStr">
        <is>
          <t>Micro, NC (Johnston)</t>
        </is>
      </c>
      <c r="C66" s="5" t="inlineStr">
        <is>
          <t>USDA federal, FSIS 'Very Small'</t>
        </is>
      </c>
      <c r="D66" s="5" t="inlineStr">
        <is>
          <t>unknown (est. SMALL)</t>
        </is>
      </c>
      <c r="E66" s="33" t="inlineStr">
        <is>
          <t>unknown
(confirm)</t>
        </is>
      </c>
      <c r="F66" s="5" t="inlineStr">
        <is>
          <t>CONFIRM SWINE</t>
        </is>
      </c>
      <c r="G66" s="5" t="inlineStr">
        <is>
          <t>USDA ✓ M2123
(grant 2023 — new plant)</t>
        </is>
      </c>
      <c r="H66" s="5" t="inlineStr">
        <is>
          <t>None found (FSIS unreachable)</t>
        </is>
      </c>
      <c r="I66" s="5" t="inlineStr">
        <is>
          <t>Federal grant — export structurally possible. Not on public export lists</t>
        </is>
      </c>
      <c r="J66" s="5" t="inlineStr">
        <is>
          <t>None found (FSIS unreachable)</t>
        </is>
      </c>
      <c r="K66" s="5" t="inlineStr">
        <is>
          <t>unknown</t>
        </is>
      </c>
      <c r="L66" s="5" t="inlineStr">
        <is>
          <t>Plausible</t>
        </is>
      </c>
      <c r="M66" s="5" t="inlineStr">
        <is>
          <t>Plausible</t>
        </is>
      </c>
      <c r="N66" s="5" t="inlineStr">
        <is>
          <t>(919) 284-0064</t>
        </is>
      </c>
      <c r="O66" s="32" t="inlineStr">
        <is>
          <t>POSSIBLE</t>
        </is>
      </c>
      <c r="P66" s="5" t="inlineStr">
        <is>
          <t>Low-Med</t>
        </is>
      </c>
      <c r="Q66" s="5" t="inlineStr">
        <is>
          <t>NEW. Sits INSIDE the Wilson cluster (~20 mi SW). Species not stated in the mirrored FSIS record — confirm it takes hogs.</t>
        </is>
      </c>
    </row>
    <row r="67" ht="58" customHeight="1">
      <c r="A67" s="7" t="inlineStr">
        <is>
          <t>Country Slaughter and Meats</t>
        </is>
      </c>
      <c r="B67" s="5" t="inlineStr">
        <is>
          <t>Rockingham, NC (Richmond)</t>
        </is>
      </c>
      <c r="C67" s="5" t="inlineStr">
        <is>
          <t>USDA federal, FSIS 'Very Small'</t>
        </is>
      </c>
      <c r="D67" s="5" t="inlineStr">
        <is>
          <t>unknown (est. SMALL)</t>
        </is>
      </c>
      <c r="E67" s="33" t="inlineStr">
        <is>
          <t>unknown
(confirm)</t>
        </is>
      </c>
      <c r="F67" s="5" t="inlineStr">
        <is>
          <t>CONFIRM SWINE</t>
        </is>
      </c>
      <c r="G67" s="5" t="inlineStr">
        <is>
          <t>USDA ✓ M32012</t>
        </is>
      </c>
      <c r="H67" s="5" t="inlineStr">
        <is>
          <t>None found (FSIS unreachable)</t>
        </is>
      </c>
      <c r="I67" s="5" t="inlineStr">
        <is>
          <t>Federal grant. Not on public export lists</t>
        </is>
      </c>
      <c r="J67" s="5" t="inlineStr">
        <is>
          <t>None found (FSIS unreachable)</t>
        </is>
      </c>
      <c r="K67" s="5" t="inlineStr">
        <is>
          <t>unknown</t>
        </is>
      </c>
      <c r="L67" s="5" t="inlineStr">
        <is>
          <t>Plausible</t>
        </is>
      </c>
      <c r="M67" s="5" t="inlineStr">
        <is>
          <t>Plausible</t>
        </is>
      </c>
      <c r="N67" s="5" t="inlineStr">
        <is>
          <t>(910) 895-0838</t>
        </is>
      </c>
      <c r="O67" s="32" t="inlineStr">
        <is>
          <t>POSSIBLE</t>
        </is>
      </c>
      <c r="P67" s="5" t="inlineStr">
        <is>
          <t>Low-Med</t>
        </is>
      </c>
      <c r="Q67" s="5" t="inlineStr">
        <is>
          <t>NEW federal plant. Confirm swine.</t>
        </is>
      </c>
    </row>
    <row r="68" ht="58" customHeight="1">
      <c r="A68" s="7" t="inlineStr">
        <is>
          <t>Flowers Slaughter House (George Flowers)</t>
        </is>
      </c>
      <c r="B68" s="5" t="inlineStr">
        <is>
          <t>Sims, NC (Wilson)</t>
        </is>
      </c>
      <c r="C68" s="5" t="inlineStr">
        <is>
          <t>USDA FEDERAL (not TA) — 'Very Small'</t>
        </is>
      </c>
      <c r="D68" s="5" t="inlineStr">
        <is>
          <t>unknown (est. SMALL)</t>
        </is>
      </c>
      <c r="E68" s="31" t="inlineStr">
        <is>
          <t>SMALL
(0-300/wk)</t>
        </is>
      </c>
      <c r="F68" s="5" t="inlineStr">
        <is>
          <t>Yes (beef + pork)</t>
        </is>
      </c>
      <c r="G68" s="5" t="inlineStr">
        <is>
          <t>USDA ✓ M21747 + P21747
(grant 2022)</t>
        </is>
      </c>
      <c r="H68" s="5" t="inlineStr">
        <is>
          <t>None found (FSIS unreachable)</t>
        </is>
      </c>
      <c r="I68" s="5" t="inlineStr">
        <is>
          <t>Federal (M21747). Not on public export lists</t>
        </is>
      </c>
      <c r="J68" s="5" t="inlineStr">
        <is>
          <t>None found (FSIS unreachable)</t>
        </is>
      </c>
      <c r="K68" s="5" t="inlineStr">
        <is>
          <t>unknown</t>
        </is>
      </c>
      <c r="L68" s="5" t="inlineStr">
        <is>
          <t>Plausible</t>
        </is>
      </c>
      <c r="M68" s="5" t="inlineStr">
        <is>
          <t>Plausible</t>
        </is>
      </c>
      <c r="N68" s="5" t="inlineStr">
        <is>
          <t>(252) 237-2982</t>
        </is>
      </c>
      <c r="O68" s="32" t="inlineStr">
        <is>
          <t>POSSIBLE</t>
        </is>
      </c>
      <c r="P68" s="5" t="inlineStr">
        <is>
          <t>Med</t>
        </is>
      </c>
      <c r="Q68" s="5" t="inlineStr">
        <is>
          <t>CORRECTION: this is straight FEDERAL, not Talmadge-Aiken. ~4 miles from Custom Quality Packers — core of the Wilson cluster.</t>
        </is>
      </c>
    </row>
    <row r="69" ht="58" customHeight="1">
      <c r="A69" s="7" t="inlineStr">
        <is>
          <t>13 multi-species TA plants (roll-up)</t>
        </is>
      </c>
      <c r="B69" s="5" t="inlineStr">
        <is>
          <t>across NC</t>
        </is>
      </c>
      <c r="C69" s="5" t="inlineStr">
        <is>
          <t>Talmadge-Aiken multi-species (incl. swine)</t>
        </is>
      </c>
      <c r="D69" s="5" t="inlineStr">
        <is>
          <t>unknown — est. 10-80 hogs/wk each</t>
        </is>
      </c>
      <c r="E69" s="31" t="inlineStr">
        <is>
          <t>SMALL
(0-300/wk)</t>
        </is>
      </c>
      <c r="F69" s="5" t="inlineStr">
        <is>
          <t>Yes (C among A-E)</t>
        </is>
      </c>
      <c r="G69" s="5" t="inlineStr">
        <is>
          <t>USDA ✓ Talmadge-Aiken
(interstate/export eligible)</t>
        </is>
      </c>
      <c r="H69" s="5" t="inlineStr">
        <is>
          <t>Not individually researched — Wayne Mays and Wilkes/Thomas Bros carry actions (see their own rows)</t>
        </is>
      </c>
      <c r="I69" s="5" t="inlineStr">
        <is>
          <t>All Talmadge-Aiken = federal-equivalent, so interstate/export eligible in structure. APHIS listing unverified for all</t>
        </is>
      </c>
      <c r="J69" s="5" t="inlineStr">
        <is>
          <t>None found (FSIS unreachable)</t>
        </is>
      </c>
      <c r="K69" s="5" t="inlineStr">
        <is>
          <t>unknown</t>
        </is>
      </c>
      <c r="L69" s="5" t="inlineStr">
        <is>
          <t>Plausible (Model A / aggregation)</t>
        </is>
      </c>
      <c r="M69" s="5" t="inlineStr">
        <is>
          <t>Weak — low hog share</t>
        </is>
      </c>
      <c r="N69" s="5" t="inlineStr">
        <is>
          <t>see notes →</t>
        </is>
      </c>
      <c r="O69" s="32" t="inlineStr">
        <is>
          <t>POSSIBLE</t>
        </is>
      </c>
      <c r="P69" s="5" t="inlineStr">
        <is>
          <t>Med</t>
        </is>
      </c>
      <c r="Q69" s="5" t="inlineStr">
        <is>
          <t>NEW (13 of 18 TA swine plants were missed): Contentnea TA-2583 (Walstonburg); SCR International TA-9199 (Fairmont, 910-628-8267); Plantation Processing TA-790 (Marshville, 704-385-9429); Cruse TA-46354 (Concord); Select Meats TA-10757 (Kannapolis, 704-933-7550); Mitchell's TA-46822 (Walnut Cove); Circle S Meats TA-1916 (Rutherfordton, 828-429-3047); Blueridge Processing TA-2225 (Marion, 828-803-1264); Cool Springs TA-1041 (Yadkinville, 336-835-5377); Wayne Mays TA-21848 (Taylorsville); Wilkes Abattoir/Apple Brandy TA-19511 (N. Wilkesboro); Acre Station TA-19904; Riverside TA-20981. A shared kill floor means a LOW hog share — these are aggregation candidates, not volume plays.</t>
        </is>
      </c>
    </row>
    <row r="70" ht="58" customHeight="1">
      <c r="A70" s="7" t="inlineStr">
        <is>
          <t>NC state-inspected multi-species (roll-up)</t>
        </is>
      </c>
      <c r="B70" s="5" t="inlineStr">
        <is>
          <t>across NC</t>
        </is>
      </c>
      <c r="C70" s="5" t="inlineStr">
        <is>
          <t>NC STATE-inspected (intrastate only)</t>
        </is>
      </c>
      <c r="D70" s="5" t="inlineStr">
        <is>
          <t>unknown (est. SMALL)</t>
        </is>
      </c>
      <c r="E70" s="31" t="inlineStr">
        <is>
          <t>SMALL
(0-300/wk)</t>
        </is>
      </c>
      <c r="F70" s="5" t="inlineStr">
        <is>
          <t>Yes</t>
        </is>
      </c>
      <c r="G70" s="5" t="inlineStr">
        <is>
          <t>STATE only
(NOT USDA — FLAG)</t>
        </is>
      </c>
      <c r="H70" s="5" t="inlineStr">
        <is>
          <t>State-inspected — not in FSIS data by construction</t>
        </is>
      </c>
      <c r="I70" s="5" t="inlineStr">
        <is>
          <t>State-inspected — intrastate NC only (FLAG for export)</t>
        </is>
      </c>
      <c r="J70" s="5" t="inlineStr">
        <is>
          <t>Not in FSIS data by construction</t>
        </is>
      </c>
      <c r="K70" s="5" t="inlineStr">
        <is>
          <t>unknown</t>
        </is>
      </c>
      <c r="L70" s="5" t="inlineStr">
        <is>
          <t>Plausible</t>
        </is>
      </c>
      <c r="M70" s="5" t="inlineStr">
        <is>
          <t>Implausible</t>
        </is>
      </c>
      <c r="N70" s="5" t="inlineStr">
        <is>
          <t>see notes →</t>
        </is>
      </c>
      <c r="O70" s="32" t="inlineStr">
        <is>
          <t>CAUTION</t>
        </is>
      </c>
      <c r="P70" s="5" t="inlineStr">
        <is>
          <t>Med</t>
        </is>
      </c>
      <c r="Q70" s="5" t="inlineStr">
        <is>
          <t>NEW: Crawley's Abattoir P-101 (Morganton); Farmington Meat P-381 (Mocksville); Gale McLamb Meats P-221 (Dunn); K&amp;B Meat P-55 (Bryson City); McLamb's Abattoir P-247 (Benson); Quaqua Creek Farm P-375 (Ruffin). Intrastate NC sales only.</t>
        </is>
      </c>
    </row>
    <row r="71" ht="58" customHeight="1">
      <c r="A71" s="7" t="inlineStr">
        <is>
          <t>Frank Corriher Beef and Sausage</t>
        </is>
      </c>
      <c r="B71" s="5" t="inlineStr">
        <is>
          <t>China Grove, NC (Rowan)</t>
        </is>
      </c>
      <c r="C71" s="5" t="inlineStr">
        <is>
          <t>TA — AMBIGUOUS record</t>
        </is>
      </c>
      <c r="D71" s="5" t="inlineStr">
        <is>
          <t>unknown</t>
        </is>
      </c>
      <c r="E71" s="33" t="inlineStr">
        <is>
          <t>unknown
(confirm)</t>
        </is>
      </c>
      <c r="F71" s="5" t="inlineStr">
        <is>
          <t>Ambiguous — see notes</t>
        </is>
      </c>
      <c r="G71" s="5" t="inlineStr">
        <is>
          <t>USDA ✓ TA-21022 / M21022</t>
        </is>
      </c>
      <c r="H71" s="5" t="inlineStr">
        <is>
          <t>None found</t>
        </is>
      </c>
      <c r="I71" s="5" t="inlineStr">
        <is>
          <t>TA/federal number exists — verify</t>
        </is>
      </c>
      <c r="J71" s="5" t="inlineStr">
        <is>
          <t>None found</t>
        </is>
      </c>
      <c r="K71" s="5" t="inlineStr">
        <is>
          <t>unknown</t>
        </is>
      </c>
      <c r="L71" s="5" t="inlineStr">
        <is>
          <t>Unknown</t>
        </is>
      </c>
      <c r="M71" s="5" t="inlineStr">
        <is>
          <t>Unknown</t>
        </is>
      </c>
      <c r="N71" s="5" t="inlineStr">
        <is>
          <t>(704) 857-5519</t>
        </is>
      </c>
      <c r="O71" s="32" t="inlineStr">
        <is>
          <t>CAUTION</t>
        </is>
      </c>
      <c r="P71" s="5" t="inlineStr">
        <is>
          <t>Low</t>
        </is>
      </c>
      <c r="Q71" s="5" t="inlineStr">
        <is>
          <t>DATA ANOMALY: NCDA lists Activities='Processing' but populates Slaughter Species='C' — every other processing-only plant leaves that blank. Either a stale slaughter grant or a data error. Worth ONE phone call.</t>
        </is>
      </c>
    </row>
    <row r="72" ht="58" customHeight="1">
      <c r="A72" s="7" t="inlineStr">
        <is>
          <t>Deer Shack Processing</t>
        </is>
      </c>
      <c r="B72" s="5" t="inlineStr">
        <is>
          <t>Mount Holly, NC (Gaston)</t>
        </is>
      </c>
      <c r="C72" s="5" t="inlineStr">
        <is>
          <t>CUSTOM-EXEMPT</t>
        </is>
      </c>
      <c r="D72" s="5" t="inlineStr">
        <is>
          <t>unknown</t>
        </is>
      </c>
      <c r="E72" s="33" t="inlineStr">
        <is>
          <t>unknown
(confirm)</t>
        </is>
      </c>
      <c r="F72" s="5" t="inlineStr">
        <is>
          <t>Yes — SWINE-ONLY</t>
        </is>
      </c>
      <c r="G72" s="5" t="inlineStr">
        <is>
          <t>CUSTOM-EXEMPT
(no inspection, no sale)</t>
        </is>
      </c>
      <c r="H72" s="5" t="inlineStr">
        <is>
          <t>Custom-exempt — outside FSIS enforcement</t>
        </is>
      </c>
      <c r="I72" s="5" t="inlineStr">
        <is>
          <t>Custom-exempt — not saleable, not exportable</t>
        </is>
      </c>
      <c r="J72" s="5" t="inlineStr">
        <is>
          <t>n/a</t>
        </is>
      </c>
      <c r="K72" s="5" t="inlineStr">
        <is>
          <t>n/a</t>
        </is>
      </c>
      <c r="L72" s="5" t="inlineStr">
        <is>
          <t>Not usable for a regulated chain</t>
        </is>
      </c>
      <c r="M72" s="5" t="inlineStr">
        <is>
          <t>No</t>
        </is>
      </c>
      <c r="N72" s="5" t="inlineStr">
        <is>
          <t>(704) 718-9135</t>
        </is>
      </c>
      <c r="O72" s="37" t="inlineStr">
        <is>
          <t>OUT / FLAG</t>
        </is>
      </c>
      <c r="P72" s="5" t="inlineStr">
        <is>
          <t>Med</t>
        </is>
      </c>
      <c r="Q72" s="5" t="inlineStr">
        <is>
          <t>Custom-exempt: owner-return only, product cannot be sold. Listed for completeness.</t>
        </is>
      </c>
    </row>
    <row r="73" ht="58" customHeight="1">
      <c r="A73" s="7" t="inlineStr">
        <is>
          <t>Randolph Packing / Harpley's</t>
        </is>
      </c>
      <c r="B73" s="5" t="inlineStr">
        <is>
          <t>Asheboro, NC</t>
        </is>
      </c>
      <c r="C73" s="5" t="inlineStr">
        <is>
          <t>BEEF packer — EXCLUDED</t>
        </is>
      </c>
      <c r="D73" s="5" t="inlineStr">
        <is>
          <t>n/a — ~350-400 CATTLE/day</t>
        </is>
      </c>
      <c r="E73" s="33" t="inlineStr">
        <is>
          <t>n/a</t>
        </is>
      </c>
      <c r="F73" s="5" t="inlineStr">
        <is>
          <t>NO — beef only</t>
        </is>
      </c>
      <c r="G73" s="5" t="inlineStr">
        <is>
          <t>USDA ✓</t>
        </is>
      </c>
      <c r="H73" s="5" t="inlineStr">
        <is>
          <t>n/a — beef plant, excluded</t>
        </is>
      </c>
      <c r="I73" s="5" t="inlineStr">
        <is>
          <t>n/a</t>
        </is>
      </c>
      <c r="J73" s="5" t="inlineStr">
        <is>
          <t>n/a</t>
        </is>
      </c>
      <c r="K73" s="5" t="inlineStr">
        <is>
          <t>n/a</t>
        </is>
      </c>
      <c r="L73" s="5" t="inlineStr">
        <is>
          <t>No</t>
        </is>
      </c>
      <c r="M73" s="5" t="inlineStr">
        <is>
          <t>No</t>
        </is>
      </c>
      <c r="N73" s="5" t="inlineStr">
        <is>
          <t>—</t>
        </is>
      </c>
      <c r="O73" s="37" t="inlineStr">
        <is>
          <t>OUT / FLAG</t>
        </is>
      </c>
      <c r="P73" s="5" t="inlineStr">
        <is>
          <t>Med-High</t>
        </is>
      </c>
      <c r="Q73" s="5" t="inlineStr">
        <is>
          <t>VERIFIED EXCLUSION (saves a trip): looks like a large slaughter plant and is an NCMPA member, but it is BEEF — 30th-largest US beef packer. No hog slaughter found.</t>
        </is>
      </c>
    </row>
    <row r="74" ht="20" customHeight="1">
      <c r="A74" s="3" t="inlineStr">
        <is>
          <t>SOUTH CAROLINA — NEWLY FOUND (Clemson SCMPID official workbook)</t>
        </is>
      </c>
    </row>
    <row r="75" ht="58" customHeight="1">
      <c r="A75" s="7" t="inlineStr">
        <is>
          <t>SC 'Cross Utilization Federal' slaughter plants (roll-up)</t>
        </is>
      </c>
      <c r="B75" s="5" t="inlineStr">
        <is>
          <t>SC</t>
        </is>
      </c>
      <c r="C75" s="5" t="inlineStr">
        <is>
          <t>FEDERAL est. inspected by SC state staff (SC's Talmadge-Aiken analogue)</t>
        </is>
      </c>
      <c r="D75" s="5" t="inlineStr">
        <is>
          <t>unknown</t>
        </is>
      </c>
      <c r="E75" s="33" t="inlineStr">
        <is>
          <t>unknown
(confirm)</t>
        </is>
      </c>
      <c r="F75" s="5" t="inlineStr">
        <is>
          <t>CONFIRM — no species column in SC file</t>
        </is>
      </c>
      <c r="G75" s="5" t="inlineStr">
        <is>
          <t>USDA federal-equivalent
(interstate/export eligible)</t>
        </is>
      </c>
      <c r="H75" s="5" t="inlineStr">
        <is>
          <t>None found — and SC LEGALLY REFUSES to release humane records, so screening returns false negatives by construction</t>
        </is>
      </c>
      <c r="I75" s="5" t="inlineStr">
        <is>
          <t>Federal-equivalent — SC's ONLY export-eligible slaughter route. APHIS listing unverified</t>
        </is>
      </c>
      <c r="J75" s="5" t="inlineStr">
        <is>
          <t>None found</t>
        </is>
      </c>
      <c r="K75" s="5" t="inlineStr">
        <is>
          <t>unknown</t>
        </is>
      </c>
      <c r="L75" s="5" t="inlineStr">
        <is>
          <t>Plausible</t>
        </is>
      </c>
      <c r="M75" s="5" t="inlineStr">
        <is>
          <t>Plausible</t>
        </is>
      </c>
      <c r="N75" s="5" t="inlineStr">
        <is>
          <t>see notes →</t>
        </is>
      </c>
      <c r="O75" s="32" t="inlineStr">
        <is>
          <t>POSSIBLE</t>
        </is>
      </c>
      <c r="P75" s="5" t="inlineStr">
        <is>
          <t>Med</t>
        </is>
      </c>
      <c r="Q75" s="5" t="inlineStr">
        <is>
          <t>KEY STRUCTURAL FIND: SC's analogue to Talmadge-Aiken is 'Cross Utilization Federal' — only SIX exist and FOUR slaughter: Halal International Processing, York (19825) 803-684-9248; Loris Cold Storage &amp; Retail, Loris (33916) 843-756-1741; Snow Creek Meat Processing, Seneca (20478) 864-972-1570; Wilson Processing Co., Richland (45371) 864-882-9073. These are SC's only export-eligible slaughter route.</t>
        </is>
      </c>
    </row>
    <row r="76" ht="58" customHeight="1">
      <c r="A76" s="7" t="inlineStr">
        <is>
          <t>SC state-inspected slaughter plants (roll-up)</t>
        </is>
      </c>
      <c r="B76" s="5" t="inlineStr">
        <is>
          <t>SC</t>
        </is>
      </c>
      <c r="C76" s="5" t="inlineStr">
        <is>
          <t>SC STATE-inspected (intrastate only)</t>
        </is>
      </c>
      <c r="D76" s="5" t="inlineStr">
        <is>
          <t>unknown (est. SMALL)</t>
        </is>
      </c>
      <c r="E76" s="31" t="inlineStr">
        <is>
          <t>SMALL
(0-300/wk)</t>
        </is>
      </c>
      <c r="F76" s="5" t="inlineStr">
        <is>
          <t>CONFIRM — no species column</t>
        </is>
      </c>
      <c r="G76" s="5" t="inlineStr">
        <is>
          <t>STATE only
(NOT USDA — FLAG)</t>
        </is>
      </c>
      <c r="H76" s="5" t="inlineStr">
        <is>
          <t>SC law blocks release of humane-handling records — public screening is unreliable by construction</t>
        </is>
      </c>
      <c r="I76" s="5" t="inlineStr">
        <is>
          <t>State-inspected — intrastate SC only</t>
        </is>
      </c>
      <c r="J76" s="5" t="inlineStr">
        <is>
          <t>SC LEGALLY REFUSES to release humane-handling records — screening returns false negatives by construction</t>
        </is>
      </c>
      <c r="K76" s="5" t="inlineStr">
        <is>
          <t>unknown</t>
        </is>
      </c>
      <c r="L76" s="5" t="inlineStr">
        <is>
          <t>Plausible</t>
        </is>
      </c>
      <c r="M76" s="5" t="inlineStr">
        <is>
          <t>Implausible</t>
        </is>
      </c>
      <c r="N76" s="5" t="inlineStr">
        <is>
          <t>see notes →</t>
        </is>
      </c>
      <c r="O76" s="32" t="inlineStr">
        <is>
          <t>CAUTION</t>
        </is>
      </c>
      <c r="P76" s="5" t="inlineStr">
        <is>
          <t>Med</t>
        </is>
      </c>
      <c r="Q76" s="5" t="inlineStr">
        <is>
          <t>B&amp;W Packing, Pauline (32); Caughman's, Lexington (51); Conway Fresh Meat (10); Cordray's, Ravenel (119); G&amp;W, Hickory Grove (30); Howards Abattoir, Pendleton (91) SLAUGHTER-ONLY; Lee's Sausage, Orangeburg (69); Michael's Deer/Hog Processing, Ehrhardt (92) SLAUGHTER-ONLY 803-267-2025; Mullins Food (6); Vaughn Packing, Greer (93); AVS Meat Lab, Clemson (1). Union Packing (100) flagged INACTIVE. The SC workbook has NO species column — hog capability must be confirmed by phone. SC has ZERO plants on the national sow list.</t>
        </is>
      </c>
    </row>
    <row r="77" ht="20" customHeight="1">
      <c r="A77" s="3" t="inlineStr">
        <is>
          <t>TENNESSEE &amp; VIRGINIA — SOW plants and corrections</t>
        </is>
      </c>
    </row>
    <row r="78" ht="58" customHeight="1">
      <c r="A78" s="7" t="inlineStr">
        <is>
          <t>Swaggerty Sausage Co.</t>
        </is>
      </c>
      <c r="B78" s="5" t="inlineStr">
        <is>
          <t>Kodak, TN (Sevier)</t>
        </is>
      </c>
      <c r="C78" s="5" t="inlineStr">
        <is>
          <t>USDA federal — PRIMARILY SOWS</t>
        </is>
      </c>
      <c r="D78" s="5" t="inlineStr">
        <is>
          <t>~4,250/wk (850 hd/day)</t>
        </is>
      </c>
      <c r="E78" s="36" t="inlineStr">
        <is>
          <t>MEDIUM-HIGH
(2,500-5,000/wk)</t>
        </is>
      </c>
      <c r="F78" s="5" t="inlineStr">
        <is>
          <t>Yes — SOWS</t>
        </is>
      </c>
      <c r="G78" s="5" t="inlineStr">
        <is>
          <t>USDA ✓ M8314 + V8314</t>
        </is>
      </c>
      <c r="H78" s="34" t="inlineStr">
        <is>
          <t>⚠ Two TN OSHA machine-guarding actions (2018 complaint-driven, 2024 planned; same 1910.212(a)(1) standard 6 yrs apart)</t>
        </is>
      </c>
      <c r="I78" s="5" t="inlineStr">
        <is>
          <t>Federal (M8314). Not confirmed on public export lists</t>
        </is>
      </c>
      <c r="J78" s="5" t="inlineStr">
        <is>
          <t>⚠ Two TN OSHA machine-guarding actions 6 yrs apart (2018, 2024, same standard) — worker-welfare flag</t>
        </is>
      </c>
      <c r="K78" s="5" t="inlineStr">
        <is>
          <t>No existing organ programme — would have to be BUILT</t>
        </is>
      </c>
      <c r="L78" s="5" t="inlineStr">
        <is>
          <t>Possible</t>
        </is>
      </c>
      <c r="M78" s="5" t="inlineStr">
        <is>
          <t>Plausible</t>
        </is>
      </c>
      <c r="N78" s="5" t="inlineStr">
        <is>
          <t>2827 Swaggerty Rd, Kodak TN 37764</t>
        </is>
      </c>
      <c r="O78" s="32" t="inlineStr">
        <is>
          <t>POSSIBLE</t>
        </is>
      </c>
      <c r="P78" s="5" t="inlineStr">
        <is>
          <t>Med</t>
        </is>
      </c>
      <c r="Q78" s="5" t="inlineStr">
        <is>
          <t>#7 US SOW plant; 50,000 sq ft expansion recently online. MEDIUM-HIGH tier. Sow anatomy is closer to adult human scale — potentially an ADVANTAGE for pelvic/bariatric blocks. Confirm against the anatomical spec.</t>
        </is>
      </c>
    </row>
    <row r="79" ht="58" customHeight="1">
      <c r="A79" s="7" t="inlineStr">
        <is>
          <t>Wampler's Farm Sausage Co.</t>
        </is>
      </c>
      <c r="B79" s="5" t="inlineStr">
        <is>
          <t>Lenoir City, TN (Loudon)</t>
        </is>
      </c>
      <c r="C79" s="5" t="inlineStr">
        <is>
          <t>USDA federal — PRIMARILY SOWS</t>
        </is>
      </c>
      <c r="D79" s="5" t="inlineStr">
        <is>
          <t>~1,500/wk (300 hd/day)</t>
        </is>
      </c>
      <c r="E79" s="29" t="inlineStr">
        <is>
          <t>MEDIUM
(350-2,500/wk)</t>
        </is>
      </c>
      <c r="F79" s="5" t="inlineStr">
        <is>
          <t>Yes — SOWS</t>
        </is>
      </c>
      <c r="G79" s="5" t="inlineStr">
        <is>
          <t>USDA ✓ M9065 + P9065 + V9065</t>
        </is>
      </c>
      <c r="H79" s="5" t="inlineStr">
        <is>
          <t>None found in FSIS enforcement. Labour flag: production hiring via 3 staffing agencies at $12-14/hr</t>
        </is>
      </c>
      <c r="I79" s="5" t="inlineStr">
        <is>
          <t>Federal (M9065). Not confirmed on public export lists</t>
        </is>
      </c>
      <c r="J79" s="5" t="inlineStr">
        <is>
          <t>Family-owned since 1937 BUT production hiring routes through 3 staffing agencies at $12-14/hr — against the tenure criterion</t>
        </is>
      </c>
      <c r="K79" s="5" t="inlineStr">
        <is>
          <t>unknown</t>
        </is>
      </c>
      <c r="L79" s="5" t="inlineStr">
        <is>
          <t>Possible</t>
        </is>
      </c>
      <c r="M79" s="5" t="inlineStr">
        <is>
          <t>Plausible</t>
        </is>
      </c>
      <c r="N79" s="5" t="inlineStr">
        <is>
          <t>(865) 986-2056
781 Highway 70 W</t>
        </is>
      </c>
      <c r="O79" s="32" t="inlineStr">
        <is>
          <t>POSSIBLE</t>
        </is>
      </c>
      <c r="P79" s="5" t="inlineStr">
        <is>
          <t>Med</t>
        </is>
      </c>
      <c r="Q79" s="5" t="inlineStr">
        <is>
          <t>FSIS activities confirmed to include Meat Slaughter (not processing-only). MEDIUM tier, SOW plant. Identity trap: the '73-year employee' story belongs to Family Brands LLC (M6515), a different Wampler plant in the same town.</t>
        </is>
      </c>
    </row>
    <row r="80" ht="58" customHeight="1">
      <c r="A80" s="7" t="inlineStr">
        <is>
          <t>Tyson (Hillshire / Jimmy Dean) — Newbern</t>
        </is>
      </c>
      <c r="B80" s="5" t="inlineStr">
        <is>
          <t>Newbern, TN (Dyer)</t>
        </is>
      </c>
      <c r="C80" s="5" t="inlineStr">
        <is>
          <t>Industrial — PRIMARILY SOWS</t>
        </is>
      </c>
      <c r="D80" s="5" t="inlineStr">
        <is>
          <t>~14,000/wk (2,800 hd/day)</t>
        </is>
      </c>
      <c r="E80" s="35" t="inlineStr">
        <is>
          <t>HIGH
(&gt;5,000/wk)</t>
        </is>
      </c>
      <c r="F80" s="5" t="inlineStr">
        <is>
          <t>Yes — SOWS</t>
        </is>
      </c>
      <c r="G80" s="5" t="inlineStr">
        <is>
          <t>USDA ✓</t>
        </is>
      </c>
      <c r="H80" s="5" t="inlineStr">
        <is>
          <t>Not individually researched</t>
        </is>
      </c>
      <c r="I80" s="5" t="inlineStr">
        <is>
          <t>Federal. Export status not researched</t>
        </is>
      </c>
      <c r="J80" s="5" t="inlineStr">
        <is>
          <t>Corporate industrial</t>
        </is>
      </c>
      <c r="K80" s="5" t="inlineStr">
        <is>
          <t>unknown</t>
        </is>
      </c>
      <c r="L80" s="5" t="inlineStr">
        <is>
          <t>Low plausibility</t>
        </is>
      </c>
      <c r="M80" s="5" t="inlineStr">
        <is>
          <t>Model B only</t>
        </is>
      </c>
      <c r="N80" s="5" t="inlineStr">
        <is>
          <t>—</t>
        </is>
      </c>
      <c r="O80" s="32" t="inlineStr">
        <is>
          <t>POSSIBLE</t>
        </is>
      </c>
      <c r="P80" s="5" t="inlineStr">
        <is>
          <t>Med</t>
        </is>
      </c>
      <c r="Q80" s="5" t="inlineStr">
        <is>
          <t>#3 US SOW plant. HIGH tier — access, not volume, is the constraint. Corporate conversation, not a plant conversation.</t>
        </is>
      </c>
    </row>
    <row r="81" ht="58" customHeight="1">
      <c r="A81" s="7" t="inlineStr">
        <is>
          <t>Gunnoe Sausage Co.</t>
        </is>
      </c>
      <c r="B81" s="5" t="inlineStr">
        <is>
          <t>Goode, VA (Bedford)</t>
        </is>
      </c>
      <c r="C81" s="5" t="inlineStr">
        <is>
          <t>Dedicated SOW slaughterhouse since 1965</t>
        </is>
      </c>
      <c r="D81" s="5" t="inlineStr">
        <is>
          <t>~450/wk (110 hd/day 2016 → 90/day 2017, DECLINING)</t>
        </is>
      </c>
      <c r="E81" s="29" t="inlineStr">
        <is>
          <t>MEDIUM
(350-2,500/wk)</t>
        </is>
      </c>
      <c r="F81" s="5" t="inlineStr">
        <is>
          <t>Yes — SOWS</t>
        </is>
      </c>
      <c r="G81" s="5" t="inlineStr">
        <is>
          <t>unknown — est. no. NOT captured</t>
        </is>
      </c>
      <c r="H81" s="5" t="inlineStr">
        <is>
          <t>None found (FSIS unreachable)</t>
        </is>
      </c>
      <c r="I81" s="5" t="inlineStr">
        <is>
          <t>Establishment number not captured — inspection + export status UNKNOWN</t>
        </is>
      </c>
      <c r="J81" s="5" t="inlineStr">
        <is>
          <t>None found</t>
        </is>
      </c>
      <c r="K81" s="5" t="inlineStr">
        <is>
          <t>unknown</t>
        </is>
      </c>
      <c r="L81" s="5" t="inlineStr">
        <is>
          <t>Plausible (small family op)</t>
        </is>
      </c>
      <c r="M81" s="5" t="inlineStr">
        <is>
          <t>Plausible</t>
        </is>
      </c>
      <c r="N81" s="5" t="inlineStr">
        <is>
          <t>(540) 586-1091
3989 Cifax Rd · gunnoesausage.com</t>
        </is>
      </c>
      <c r="O81" s="32" t="inlineStr">
        <is>
          <t>POSSIBLE</t>
        </is>
      </c>
      <c r="P81" s="5" t="inlineStr">
        <is>
          <t>Med</t>
        </is>
      </c>
      <c r="Q81" s="5" t="inlineStr">
        <is>
          <t>The ONLY VA plant on the national sow list, and the SMALLEST plant on the entire national capacity table — and declining. MEDIUM tier (low). Current operating status UNVERIFIED — confirm before travelling. Establishment number still not captured by any source.</t>
        </is>
      </c>
    </row>
    <row r="82" ht="58" customHeight="1">
      <c r="A82" s="7" t="inlineStr">
        <is>
          <t>VIRGINIA — coverage gap (action required)</t>
        </is>
      </c>
      <c r="B82" s="5" t="inlineStr">
        <is>
          <t>VA statewide</t>
        </is>
      </c>
      <c r="C82" s="5" t="inlineStr">
        <is>
          <t>n/a — enumeration incomplete</t>
        </is>
      </c>
      <c r="D82" s="5" t="inlineStr">
        <is>
          <t>n/a</t>
        </is>
      </c>
      <c r="E82" s="33" t="inlineStr">
        <is>
          <t>n/a</t>
        </is>
      </c>
      <c r="F82" s="5" t="inlineStr">
        <is>
          <t>n/a</t>
        </is>
      </c>
      <c r="G82" s="5" t="inlineStr">
        <is>
          <t>VDACS publishes NO online directory</t>
        </is>
      </c>
      <c r="H82" s="5" t="inlineStr">
        <is>
          <t>n/a</t>
        </is>
      </c>
      <c r="I82" s="5" t="inlineStr">
        <is>
          <t>n/a</t>
        </is>
      </c>
      <c r="J82" s="5" t="inlineStr">
        <is>
          <t>n/a</t>
        </is>
      </c>
      <c r="K82" s="5" t="inlineStr">
        <is>
          <t>n/a</t>
        </is>
      </c>
      <c r="L82" s="5" t="inlineStr">
        <is>
          <t>n/a</t>
        </is>
      </c>
      <c r="M82" s="5" t="inlineStr">
        <is>
          <t>n/a</t>
        </is>
      </c>
      <c r="N82" s="5" t="inlineStr">
        <is>
          <t>VDACS 804-786-4569
omps@vdacs.virginia.gov</t>
        </is>
      </c>
      <c r="O82" s="32" t="inlineStr">
        <is>
          <t>CAUTION</t>
        </is>
      </c>
      <c r="P82" s="5" t="inlineStr">
        <is>
          <t>High</t>
        </is>
      </c>
      <c r="Q82" s="5" t="inlineStr">
        <is>
          <t>HONEST GAP: Virginia is the one state that could NOT be enumerated — VDACS distributes its establishment directory BY REQUEST ONLY and the FSIS per-state PDF is 403-blocked. ONE PHONE CALL to 804-786-4569 will produce more than any further searching. Do this before the strategy meeting.</t>
        </is>
      </c>
    </row>
    <row r="83" ht="20" customHeight="1">
      <c r="A83" s="3" t="inlineStr">
        <is>
          <t>MEDIUM-HIGH BAND (2,500-5,000/wk) — FSIS category-4 sweep, the enumerable universe</t>
        </is>
      </c>
    </row>
    <row r="84" ht="58" customHeight="1">
      <c r="A84" s="7" t="inlineStr">
        <is>
          <t>Swaggerty Sausage Company</t>
        </is>
      </c>
      <c r="B84" s="5" t="inlineStr">
        <is>
          <t>Kodak, TN (Sevier)</t>
        </is>
      </c>
      <c r="C84" s="5" t="inlineStr">
        <is>
          <t>Captive SOW abattoir + sausage mfr (FSIS 'Large')</t>
        </is>
      </c>
      <c r="D84" s="5" t="inlineStr">
        <is>
          <t>~4,250/wk (850 hd/day EMI 2017; cat-4 confirms ≥2,000/wk)</t>
        </is>
      </c>
      <c r="E84" s="36" t="inlineStr">
        <is>
          <t>MEDIUM-HIGH
(2,500-5,000/wk)</t>
        </is>
      </c>
      <c r="F84" s="5" t="inlineStr">
        <is>
          <t>Yes — SOW ONLY (FSIS flags: sow=TRUE, market=FALSE)</t>
        </is>
      </c>
      <c r="G84" s="5" t="inlineStr">
        <is>
          <t>USDA ✓ M8314 + V8314 (V = voluntary grant)</t>
        </is>
      </c>
      <c r="H84" s="5" t="inlineStr">
        <is>
          <t>See the Welfare &amp; culture column — enforcement detail is carried there for these rows</t>
        </is>
      </c>
      <c r="I84" s="5" t="inlineStr">
        <is>
          <t>Not verified — APHIS publishes no searchable list; confirm with APHIS VS</t>
        </is>
      </c>
      <c r="J84" s="5" t="inlineStr">
        <is>
          <t>NO suspension in ANY FSIS QER FY2024Q1-FY2026Q2 (no public record ≠ clean). Prior TN OSHA machine-guarding actions 2018 &amp; 2024</t>
        </is>
      </c>
      <c r="K84" s="5" t="inlineStr">
        <is>
          <t>No existing organ programme — would be built. V-grant is useful for non-amenable/research material</t>
        </is>
      </c>
      <c r="L84" s="5" t="inlineStr">
        <is>
          <t>Plausible — single site, family-owned, decision-maker reachable</t>
        </is>
      </c>
      <c r="M84" s="5" t="inlineStr">
        <is>
          <t>Plausible</t>
        </is>
      </c>
      <c r="N84" s="5" t="inlineStr">
        <is>
          <t>(865) 933-2625
2827 Swaggerty Rd, Kodak TN 37764</t>
        </is>
      </c>
      <c r="O84" s="29" t="inlineStr">
        <is>
          <t>STRONG FIT</t>
        </is>
      </c>
      <c r="P84" s="5" t="inlineStr">
        <is>
          <t>Med-High</t>
        </is>
      </c>
      <c r="Q84" s="5" t="inlineStr">
        <is>
          <t>★ TOP PICK IN BAND and the ONLY named lead that fully verified. SOW-ONLY = uniformly LARGE anatomy, which suits pelvic/abdominal/thoracic blocks. New 50,000 sq ft facility opened 14 Apr 2026 (CEO Doug Swaggerty) — fresh capital, expansion posture. Captive supply = no third-party buyers competing for viscera.</t>
        </is>
      </c>
    </row>
    <row r="85" ht="58" customHeight="1">
      <c r="A85" s="7" t="inlineStr">
        <is>
          <t>Peoria Packing, Ltd.</t>
        </is>
      </c>
      <c r="B85" s="5" t="inlineStr">
        <is>
          <t>Grant Park, IL (slaughter)</t>
        </is>
      </c>
      <c r="C85" s="5" t="inlineStr">
        <is>
          <t>USDA federal slaughter; sister processing plant in Chicago</t>
        </is>
      </c>
      <c r="D85" s="5" t="inlineStr">
        <is>
          <t>~3,000/wk (600 hd/day EMI 2017; cat-4)</t>
        </is>
      </c>
      <c r="E85" s="36" t="inlineStr">
        <is>
          <t>MEDIUM-HIGH
(2,500-5,000/wk)</t>
        </is>
      </c>
      <c r="F85" s="5" t="inlineStr">
        <is>
          <t>Yes — MARKET HOGS (butcher hogs 180-230 lb)</t>
        </is>
      </c>
      <c r="G85" s="5" t="inlineStr">
        <is>
          <t>USDA ✓ M21651 (slaughter)
Sister M21826+V21826 Chicago = Certification-Export</t>
        </is>
      </c>
      <c r="H85" s="5" t="inlineStr">
        <is>
          <t>See the Welfare &amp; culture column — enforcement detail is carried there for these rows</t>
        </is>
      </c>
      <c r="I85" s="5" t="inlineStr">
        <is>
          <t>Not verified — APHIS publishes no searchable list; confirm with APHIS VS</t>
        </is>
      </c>
      <c r="J85" s="5" t="inlineStr">
        <is>
          <t>NO suspension in any QER FY2024-FY2026 (no public record)</t>
        </is>
      </c>
      <c r="K85" s="5" t="inlineStr">
        <is>
          <t>⭐ SELF-DESCRIBED MEDICAL/PHARMA SUPPLIER — their own site says capital improvements 'support our ability to supply high-grade products to the MEDICAL AND PHARMACEUTICAL INDUSTRIES, where quality and compliance are critical', and that they are 'flexible enough to meet our customers' unique specifications'</t>
        </is>
      </c>
      <c r="L85" s="5" t="inlineStr">
        <is>
          <t>Plausible</t>
        </is>
      </c>
      <c r="M85" s="5" t="inlineStr">
        <is>
          <t>EXCELLENT — already positions as medical/pharma supplier with spec flexibility</t>
        </is>
      </c>
      <c r="N85" s="5" t="inlineStr">
        <is>
          <t>(815) 465-9824 (Grant Park)
(312) 226-2600 (Chicago)</t>
        </is>
      </c>
      <c r="O85" s="29" t="inlineStr">
        <is>
          <t>STRONG FIT</t>
        </is>
      </c>
      <c r="P85" s="5" t="inlineStr">
        <is>
          <t>Med</t>
        </is>
      </c>
      <c r="Q85" s="5" t="inlineStr">
        <is>
          <t>★ BEST UNNAMED FIND — a genuine sleeper nobody had surfaced. Market hogs (not sows) so anatomy is smaller — confirm block dimensions suit the spec. Sister plant is export-certified.</t>
        </is>
      </c>
    </row>
    <row r="86" ht="58" customHeight="1">
      <c r="A86" s="7" t="inlineStr">
        <is>
          <t>Perry Way Foods, LLC (Sustainable Swine Resources)</t>
        </is>
      </c>
      <c r="B86" s="5" t="inlineStr">
        <is>
          <t>Watertown, WI</t>
        </is>
      </c>
      <c r="C86" s="5" t="inlineStr">
        <is>
          <t>SOW abattoir + medical tissue operation</t>
        </is>
      </c>
      <c r="D86" s="5" t="inlineStr">
        <is>
          <t>~4,250/wk (850 hd/day EMI 2017) — LIKELY HIGHER NOW (absorbed Momence volume + 2nd shift)</t>
        </is>
      </c>
      <c r="E86" s="36" t="inlineStr">
        <is>
          <t>MEDIUM-HIGH
(2,500-5,000/wk)</t>
        </is>
      </c>
      <c r="F86" s="5" t="inlineStr">
        <is>
          <t>Yes — SOW ONLY</t>
        </is>
      </c>
      <c r="G86" s="5" t="inlineStr">
        <is>
          <t>USDA ✓ M1962 + P1962</t>
        </is>
      </c>
      <c r="H86" s="5" t="inlineStr">
        <is>
          <t>See the Welfare &amp; culture column — enforcement detail is carried there for these rows</t>
        </is>
      </c>
      <c r="I86" s="5" t="inlineStr">
        <is>
          <t>Not verified — APHIS publishes no searchable list; confirm with APHIS VS</t>
        </is>
      </c>
      <c r="J86" s="5" t="inlineStr">
        <is>
          <t>NO suspension in any QER FY2024-FY2026 (no public record)</t>
        </is>
      </c>
      <c r="K86" s="5" t="inlineStr">
        <is>
          <t>⭐⭐ MOST TISSUE-READY PLANT IN THE COUNTRY AT THIS SCALE: DBA Sustainable Swine Resources — self-described 'largest U.S. supplier of SOW TISSUE'. ISO 22442-2 compliant, SQF-certified, GMP-trained staff in DESIGNATED MEDICAL-MATERIAL ROOMS, a 'Customization Center' ADJACENT TO THE HARVEST FLOOR, full animal traceability, overnight fresh-tissue shipping. Serves medical devices, pharma, regenerative medicine, tissue fabrication and medical training/R&amp;D. Director: Dr. Lauren Sammel</t>
        </is>
      </c>
      <c r="L86" s="5" t="inlineStr">
        <is>
          <t>⚠ May be REFUSED on channel conflict</t>
        </is>
      </c>
      <c r="M86" s="5" t="inlineStr">
        <is>
          <t>Already built and running — but for their own account</t>
        </is>
      </c>
      <c r="N86" s="5" t="inlineStr">
        <is>
          <t>(920) 261-1053
1222 Perry Way, Watertown WI 53094</t>
        </is>
      </c>
      <c r="O86" s="32" t="inlineStr">
        <is>
          <t>CAUTION</t>
        </is>
      </c>
      <c r="P86" s="5" t="inlineStr">
        <is>
          <t>Med-High</t>
        </is>
      </c>
      <c r="Q86" s="5" t="inlineStr">
        <is>
          <t>⚠ STRATEGIC: SSR IS A DIRECT COMPETITOR in exactly your space, and controls TWO of the six in-band plants. Model A access may be refused for channel-conflict reasons. Approach as partner-supplier OR treat as competitive intelligence — but read them either way.</t>
        </is>
      </c>
    </row>
    <row r="87" ht="58" customHeight="1">
      <c r="A87" s="7" t="inlineStr">
        <is>
          <t>Banner Creek, LLC (Sustainable Swine Resources)</t>
        </is>
      </c>
      <c r="B87" s="5" t="inlineStr">
        <is>
          <t>Holton, KS</t>
        </is>
      </c>
      <c r="C87" s="5" t="inlineStr">
        <is>
          <t>SOW abattoir (Johnsonville / SSR)</t>
        </is>
      </c>
      <c r="D87" s="5" t="inlineStr">
        <is>
          <t>~5,500/wk (1,100 hd/day EMI 2017) — at/just above ceiling; likely higher post-Momence</t>
        </is>
      </c>
      <c r="E87" s="35" t="inlineStr">
        <is>
          <t>HIGH
(&gt;5,000/wk)</t>
        </is>
      </c>
      <c r="F87" s="5" t="inlineStr">
        <is>
          <t>Yes — SOW ONLY</t>
        </is>
      </c>
      <c r="G87" s="5" t="inlineStr">
        <is>
          <t>USDA ✓ M5536 + P5536</t>
        </is>
      </c>
      <c r="H87" s="5" t="inlineStr">
        <is>
          <t>See the Welfare &amp; culture column — enforcement detail is carried there for these rows</t>
        </is>
      </c>
      <c r="I87" s="5" t="inlineStr">
        <is>
          <t>Not verified — APHIS publishes no searchable list; confirm with APHIS VS</t>
        </is>
      </c>
      <c r="J87" s="5" t="inlineStr">
        <is>
          <t>NO suspension in any QER FY2024-FY2026 (no public record)</t>
        </is>
      </c>
      <c r="K87" s="5" t="inlineStr">
        <is>
          <t>Same SSR medical-tissue infrastructure as Perry Way (ISO 22442-2, GMP rooms, Customization Center)</t>
        </is>
      </c>
      <c r="L87" s="5" t="inlineStr">
        <is>
          <t>⚠ Same competitor caveat</t>
        </is>
      </c>
      <c r="M87" s="5" t="inlineStr">
        <is>
          <t>Already built for their own account</t>
        </is>
      </c>
      <c r="N87" s="5" t="inlineStr">
        <is>
          <t>(785) 364-3126
619 East 4th St, Holton KS 66436</t>
        </is>
      </c>
      <c r="O87" s="32" t="inlineStr">
        <is>
          <t>CAUTION</t>
        </is>
      </c>
      <c r="P87" s="5" t="inlineStr">
        <is>
          <t>Med</t>
        </is>
      </c>
      <c r="Q87" s="5" t="inlineStr">
        <is>
          <t>Second SSR harvest site. Top-of-band or just over. Same channel-conflict caveat as Perry Way.</t>
        </is>
      </c>
    </row>
    <row r="88" ht="58" customHeight="1">
      <c r="A88" s="7" t="inlineStr">
        <is>
          <t>Calihan Processing Cooperative</t>
        </is>
      </c>
      <c r="B88" s="5" t="inlineStr">
        <is>
          <t>Peoria, IL</t>
        </is>
      </c>
      <c r="C88" s="5" t="inlineStr">
        <is>
          <t>Producer-owned cooperative sow/market abattoir</t>
        </is>
      </c>
      <c r="D88" s="5" t="inlineStr">
        <is>
          <t>~3,500/wk — BEST-VERIFIED FIGURE IN THE BAND ('700 sows per day', company's own site)</t>
        </is>
      </c>
      <c r="E88" s="36" t="inlineStr">
        <is>
          <t>MEDIUM-HIGH
(2,500-5,000/wk)</t>
        </is>
      </c>
      <c r="F88" s="5" t="inlineStr">
        <is>
          <t>Yes — MKT + SOW + boar</t>
        </is>
      </c>
      <c r="G88" s="5" t="inlineStr">
        <is>
          <t>USDA ✓ M6775 + V6775
✅ Certification-Export ON THE GRANT</t>
        </is>
      </c>
      <c r="H88" s="5" t="inlineStr">
        <is>
          <t>See the Welfare &amp; culture column — enforcement detail is carried there for these rows</t>
        </is>
      </c>
      <c r="I88" s="5" t="inlineStr">
        <is>
          <t>Not verified — APHIS publishes no searchable list; confirm with APHIS VS</t>
        </is>
      </c>
      <c r="J88" s="5" t="inlineStr">
        <is>
          <t>🚨 TWO INHUMANE-HANDLING (INH) SUSPENSIONS IN TWO YEARS: 05 Oct 2023 (abeyance 12 Oct, reinstated 17 Jan 2024) and 25 Jul 2025 — FSIS documented a FAILED CAPTIVE-BOLT STUN ON A BOAR (bolt lodged in head, animal vocalizing and conscious; line under regulatory control). Re-suspended 23 Sep 2025, reinstated 31 Dec 2025. FSIS wrote the plant 'had previously developed and implemented a systematic approach to humane handling that was considered robust, [but] failed to effectively implement the program'</t>
        </is>
      </c>
      <c r="K88" s="5" t="inlineStr">
        <is>
          <t>unknown</t>
        </is>
      </c>
      <c r="L88" s="5" t="inlineStr">
        <is>
          <t>Plausible</t>
        </is>
      </c>
      <c r="M88" s="5" t="inlineStr">
        <is>
          <t>Plausible — new co-op board may welcome new revenue</t>
        </is>
      </c>
      <c r="N88" s="5" t="inlineStr">
        <is>
          <t>(309) 512-7124
One South Street, Peoria IL 61602
Ben Elbert (Plant Mgr) · Jason Jones (EVP Pork)</t>
        </is>
      </c>
      <c r="O88" s="32" t="inlineStr">
        <is>
          <t>CAUTION</t>
        </is>
      </c>
      <c r="P88" s="5" t="inlineStr">
        <is>
          <t>High</t>
        </is>
      </c>
      <c r="Q88" s="5" t="inlineStr">
        <is>
          <t>Volume, species mix AND export certification are all ideal — but RUN A WELFARE AUDIT BEFORE ANY AGREEMENT. Newly producer-owned (purchase from American Foods Group closed 14 Nov 2025), so the board may be unusually open. Expect the enforcement history to matter to your IRB and customers.</t>
        </is>
      </c>
    </row>
    <row r="89" ht="58" customHeight="1">
      <c r="A89" s="7" t="inlineStr">
        <is>
          <t>Clausen Meat Company, Inc.</t>
        </is>
      </c>
      <c r="B89" s="5" t="inlineStr">
        <is>
          <t>Turlock, CA (Merced)</t>
        </is>
      </c>
      <c r="C89" s="5" t="inlineStr">
        <is>
          <t>Federal abattoir; absorbed Jim's Farm Meats (Atwater)</t>
        </is>
      </c>
      <c r="D89" s="5" t="inlineStr">
        <is>
          <t>unknown precisely — cat-4 proves ≥2,000/wk; 2,500-5,000 is an INFERENCE from the absorbed 850 hd/day plant</t>
        </is>
      </c>
      <c r="E89" s="36" t="inlineStr">
        <is>
          <t>MEDIUM-HIGH
(2,500-5,000/wk)</t>
        </is>
      </c>
      <c r="F89" s="5" t="inlineStr">
        <is>
          <t>Yes — MKT + SOW + roaster</t>
        </is>
      </c>
      <c r="G89" s="5" t="inlineStr">
        <is>
          <t>USDA ✓ M325</t>
        </is>
      </c>
      <c r="H89" s="5" t="inlineStr">
        <is>
          <t>See the Welfare &amp; culture column — enforcement detail is carried there for these rows</t>
        </is>
      </c>
      <c r="I89" s="5" t="inlineStr">
        <is>
          <t>Not verified — APHIS publishes no searchable list; confirm with APHIS VS</t>
        </is>
      </c>
      <c r="J89" s="5" t="inlineStr">
        <is>
          <t>🚨 INH suspension 15 Nov 2023 — NOT reinstated until 12 Apr 2024, roughly FIVE MONTHS out. A long suspension; warrants scrutiny</t>
        </is>
      </c>
      <c r="K89" s="5" t="inlineStr">
        <is>
          <t>unknown</t>
        </is>
      </c>
      <c r="L89" s="5" t="inlineStr">
        <is>
          <t>Plausible</t>
        </is>
      </c>
      <c r="M89" s="5" t="inlineStr">
        <is>
          <t>Plausible</t>
        </is>
      </c>
      <c r="N89" s="5" t="inlineStr">
        <is>
          <t>(209) 667-8690
19455 E Clausen Rd, Turlock CA 95380</t>
        </is>
      </c>
      <c r="O89" s="32" t="inlineStr">
        <is>
          <t>CAUTION</t>
        </is>
      </c>
      <c r="P89" s="5" t="inlineStr">
        <is>
          <t>Low-Med</t>
        </is>
      </c>
      <c r="Q89" s="5" t="inlineStr">
        <is>
          <t>The ONLY serious in-band candidate on the WEST COAST, and rare MKT+SOW+roaster flexibility. Volume is an inference, not a published figure — verify volume AND welfare directly.</t>
        </is>
      </c>
    </row>
    <row r="90" ht="20" customHeight="1">
      <c r="A90" s="3" t="inlineStr">
        <is>
          <t>JUST ABOVE BAND (~5,000-7,500/wk) — viable if the ceiling flexes</t>
        </is>
      </c>
    </row>
    <row r="91" ht="58" customHeight="1">
      <c r="A91" s="7" t="inlineStr">
        <is>
          <t>Leidy's, LLC</t>
        </is>
      </c>
      <c r="B91" s="5" t="inlineStr">
        <is>
          <t>Souderton, PA</t>
        </is>
      </c>
      <c r="C91" s="5" t="inlineStr">
        <is>
          <t>USDA federal — MARKET hogs</t>
        </is>
      </c>
      <c r="D91" s="5" t="inlineStr">
        <is>
          <t>~6,750/wk (1,350 hd/day EMI 2017)</t>
        </is>
      </c>
      <c r="E91" s="35" t="inlineStr">
        <is>
          <t>HIGH
(&gt;5,000/wk)</t>
        </is>
      </c>
      <c r="F91" s="5" t="inlineStr">
        <is>
          <t>Yes — MARKET</t>
        </is>
      </c>
      <c r="G91" s="5" t="inlineStr">
        <is>
          <t>USDA ✓ M9520+P9520+V9520
✅ EXPORT-CERTIFIED</t>
        </is>
      </c>
      <c r="H91" s="5" t="inlineStr">
        <is>
          <t>See the Welfare &amp; culture column — enforcement detail is carried there for these rows</t>
        </is>
      </c>
      <c r="I91" s="5" t="inlineStr">
        <is>
          <t>Not verified — APHIS publishes no searchable list; confirm with APHIS VS</t>
        </is>
      </c>
      <c r="J91" s="5" t="inlineStr">
        <is>
          <t>No QER suspension FY2024-FY2026 (no public record)</t>
        </is>
      </c>
      <c r="K91" s="5" t="inlineStr">
        <is>
          <t>unknown</t>
        </is>
      </c>
      <c r="L91" s="5" t="inlineStr">
        <is>
          <t>Plausible</t>
        </is>
      </c>
      <c r="M91" s="5" t="inlineStr">
        <is>
          <t>Plausible</t>
        </is>
      </c>
      <c r="N91" s="5" t="inlineStr">
        <is>
          <t>(215) 723-4606</t>
        </is>
      </c>
      <c r="O91" s="32" t="inlineStr">
        <is>
          <t>POSSIBLE</t>
        </is>
      </c>
      <c r="P91" s="5" t="inlineStr">
        <is>
          <t>Med</t>
        </is>
      </c>
      <c r="Q91" s="5" t="inlineStr">
        <is>
          <t>MID-ATLANTIC and EXPORT-CERTIFIED — relevant to the Pennsylvania-abattoir lead from Animal Biotech. Closest large export-capable plant to the NC operation.</t>
        </is>
      </c>
    </row>
    <row r="92" ht="58" customHeight="1">
      <c r="A92" s="7" t="inlineStr">
        <is>
          <t>Tri Eagle Provisions</t>
        </is>
      </c>
      <c r="B92" s="5" t="inlineStr">
        <is>
          <t>Tippecanoe, IN</t>
        </is>
      </c>
      <c r="C92" s="5" t="inlineStr">
        <is>
          <t>USDA federal — market + roaster</t>
        </is>
      </c>
      <c r="D92" s="5" t="inlineStr">
        <is>
          <t>~5,500/wk (1,100 hd/day EMI 2017)</t>
        </is>
      </c>
      <c r="E92" s="35" t="inlineStr">
        <is>
          <t>HIGH
(&gt;5,000/wk)</t>
        </is>
      </c>
      <c r="F92" s="5" t="inlineStr">
        <is>
          <t>Yes — MKT + roaster</t>
        </is>
      </c>
      <c r="G92" s="5" t="inlineStr">
        <is>
          <t>USDA ✓ M17496</t>
        </is>
      </c>
      <c r="H92" s="5" t="inlineStr">
        <is>
          <t>See the Welfare &amp; culture column — enforcement detail is carried there for these rows</t>
        </is>
      </c>
      <c r="I92" s="5" t="inlineStr">
        <is>
          <t>Not verified — APHIS publishes no searchable list; confirm with APHIS VS</t>
        </is>
      </c>
      <c r="J92" s="5" t="inlineStr">
        <is>
          <t>No QER suspension FY2024-FY2026</t>
        </is>
      </c>
      <c r="K92" s="5" t="inlineStr">
        <is>
          <t>unknown</t>
        </is>
      </c>
      <c r="L92" s="5" t="inlineStr">
        <is>
          <t>Plausible</t>
        </is>
      </c>
      <c r="M92" s="5" t="inlineStr">
        <is>
          <t>Plausible</t>
        </is>
      </c>
      <c r="N92" s="5" t="inlineStr">
        <is>
          <t>(574) 223-4600</t>
        </is>
      </c>
      <c r="O92" s="32" t="inlineStr">
        <is>
          <t>POSSIBLE</t>
        </is>
      </c>
      <c r="P92" s="5" t="inlineStr">
        <is>
          <t>Med</t>
        </is>
      </c>
      <c r="Q92" s="5" t="inlineStr">
        <is>
          <t>DBAs Vin Lee Ron, Maple Creek Packing.</t>
        </is>
      </c>
    </row>
    <row r="93" ht="58" customHeight="1">
      <c r="A93" s="7" t="inlineStr">
        <is>
          <t>Verschoor Meats</t>
        </is>
      </c>
      <c r="B93" s="5" t="inlineStr">
        <is>
          <t>Sioux City, IA</t>
        </is>
      </c>
      <c r="C93" s="5" t="inlineStr">
        <is>
          <t>USDA federal — market + boar</t>
        </is>
      </c>
      <c r="D93" s="5" t="inlineStr">
        <is>
          <t>~6,000/wk (1,200 hd/day EMI 2017)</t>
        </is>
      </c>
      <c r="E93" s="35" t="inlineStr">
        <is>
          <t>HIGH
(&gt;5,000/wk)</t>
        </is>
      </c>
      <c r="F93" s="5" t="inlineStr">
        <is>
          <t>Yes — MKT + boar</t>
        </is>
      </c>
      <c r="G93" s="5" t="inlineStr">
        <is>
          <t>USDA ✓ M363</t>
        </is>
      </c>
      <c r="H93" s="5" t="inlineStr">
        <is>
          <t>See the Welfare &amp; culture column — enforcement detail is carried there for these rows</t>
        </is>
      </c>
      <c r="I93" s="5" t="inlineStr">
        <is>
          <t>Not verified — APHIS publishes no searchable list; confirm with APHIS VS</t>
        </is>
      </c>
      <c r="J93" s="5" t="inlineStr">
        <is>
          <t>No QER suspension FY2024-FY2026</t>
        </is>
      </c>
      <c r="K93" s="5" t="inlineStr">
        <is>
          <t>unknown</t>
        </is>
      </c>
      <c r="L93" s="5" t="inlineStr">
        <is>
          <t>Plausible</t>
        </is>
      </c>
      <c r="M93" s="5" t="inlineStr">
        <is>
          <t>Plausible</t>
        </is>
      </c>
      <c r="N93" s="5" t="inlineStr">
        <is>
          <t>(712) 252-1847</t>
        </is>
      </c>
      <c r="O93" s="32" t="inlineStr">
        <is>
          <t>POSSIBLE</t>
        </is>
      </c>
      <c r="P93" s="5" t="inlineStr">
        <is>
          <t>Med</t>
        </is>
      </c>
      <c r="Q93" s="5" t="inlineStr">
        <is>
          <t>Iowa option just above band.</t>
        </is>
      </c>
    </row>
    <row r="94" ht="58" customHeight="1">
      <c r="A94" s="7" t="inlineStr">
        <is>
          <t>Premium Minnesota Pork</t>
        </is>
      </c>
      <c r="B94" s="5" t="inlineStr">
        <is>
          <t>Luverne, MN</t>
        </is>
      </c>
      <c r="C94" s="5" t="inlineStr">
        <is>
          <t>USDA federal — market</t>
        </is>
      </c>
      <c r="D94" s="5" t="inlineStr">
        <is>
          <t>unknown — FSIS category 4 (≥2,000/wk)</t>
        </is>
      </c>
      <c r="E94" s="33" t="inlineStr">
        <is>
          <t>unknown
(confirm)</t>
        </is>
      </c>
      <c r="F94" s="5" t="inlineStr">
        <is>
          <t>Yes — MARKET</t>
        </is>
      </c>
      <c r="G94" s="5" t="inlineStr">
        <is>
          <t>USDA ✓ M21069L (newer grant, 2022)</t>
        </is>
      </c>
      <c r="H94" s="5" t="inlineStr">
        <is>
          <t>See the Welfare &amp; culture column — enforcement detail is carried there for these rows</t>
        </is>
      </c>
      <c r="I94" s="5" t="inlineStr">
        <is>
          <t>Not verified — APHIS publishes no searchable list; confirm with APHIS VS</t>
        </is>
      </c>
      <c r="J94" s="5" t="inlineStr">
        <is>
          <t>No QER suspension FY2024-FY2026</t>
        </is>
      </c>
      <c r="K94" s="5" t="inlineStr">
        <is>
          <t>unknown</t>
        </is>
      </c>
      <c r="L94" s="5" t="inlineStr">
        <is>
          <t>Plausible</t>
        </is>
      </c>
      <c r="M94" s="5" t="inlineStr">
        <is>
          <t>Plausible</t>
        </is>
      </c>
      <c r="N94" s="5" t="inlineStr">
        <is>
          <t>(712) 752-8666</t>
        </is>
      </c>
      <c r="O94" s="32" t="inlineStr">
        <is>
          <t>POSSIBLE</t>
        </is>
      </c>
      <c r="P94" s="5" t="inlineStr">
        <is>
          <t>Low-Med</t>
        </is>
      </c>
      <c r="Q94" s="5" t="inlineStr">
        <is>
          <t>Newer establishment; volume unpublished.</t>
        </is>
      </c>
    </row>
    <row r="95" ht="20" customHeight="1">
      <c r="A95" s="3" t="inlineStr">
        <is>
          <t>SOW &amp; DUAL-CLASS PLANTS — verified against USDA's own species flags</t>
        </is>
      </c>
    </row>
    <row r="96" ht="58" customHeight="1">
      <c r="A96" s="7" t="inlineStr">
        <is>
          <t>Pioneer Packing Company, Inc.</t>
        </is>
      </c>
      <c r="B96" s="5" t="inlineStr">
        <is>
          <t>Bowling Green, OH</t>
        </is>
      </c>
      <c r="C96" s="5" t="inlineStr">
        <is>
          <t>PURE SOW/BOAR abattoir (FSIS 'Small')</t>
        </is>
      </c>
      <c r="D96" s="5" t="inlineStr">
        <is>
          <t>~2,250-2,430/wk (450 hd/day EMI 2017, flat)</t>
        </is>
      </c>
      <c r="E96" s="29" t="inlineStr">
        <is>
          <t>MEDIUM
(350-2,500/wk)</t>
        </is>
      </c>
      <c r="F96" s="5" t="inlineStr">
        <is>
          <t>Yes — SOW + BOAR ONLY (market_swine flag BLANK)</t>
        </is>
      </c>
      <c r="G96" s="5" t="inlineStr">
        <is>
          <t>USDA ✓ M372 (grant 2021)</t>
        </is>
      </c>
      <c r="H96" s="5" t="inlineStr">
        <is>
          <t>See the Welfare &amp; culture column — enforcement detail is carried there for these rows</t>
        </is>
      </c>
      <c r="I96" s="5" t="inlineStr">
        <is>
          <t>Not verified — APHIS publishes no searchable list; confirm with APHIS VS</t>
        </is>
      </c>
      <c r="J96" s="5" t="inlineStr">
        <is>
          <t>Not on the current FSIS enforcement page (that page covers only ~Aug 2025-Jul 2026 — NOT a clean record)</t>
        </is>
      </c>
      <c r="K96" s="5" t="inlineStr">
        <is>
          <t>⭐⭐ DECISIVE: their own site says they specialise in 'the production of PRE-RIGOR pork, including whole hog pre-rigor pork'. Pre-rigor / hot-boning means product moving off the floor within ~1-1¾ HOURS post-mortem. A plant already engineered around sub-2-hour warm-carcass throughput is structurally the closest thing to a tissue-harvest operation in the entire cohort — the cold-chain and speed discipline our programme needs already exists commercially</t>
        </is>
      </c>
      <c r="L96" s="5" t="inlineStr">
        <is>
          <t>STRONG — sow+boar only, single small site, pre-rigor culture</t>
        </is>
      </c>
      <c r="M96" s="5" t="inlineStr">
        <is>
          <t>STRONG — 'harvest to our spec' extends an existing SKU concept rather than creating a new discipline</t>
        </is>
      </c>
      <c r="N96" s="5" t="inlineStr">
        <is>
          <t>(419) 352-5283
510 Napoleon Rd, Bowling Green OH 43402
Mon-Fri 7am-2pm</t>
        </is>
      </c>
      <c r="O96" s="29" t="inlineStr">
        <is>
          <t>STRONG FIT</t>
        </is>
      </c>
      <c r="P96" s="5" t="inlineStr">
        <is>
          <t>Med-High</t>
        </is>
      </c>
      <c r="Q96" s="5" t="inlineStr">
        <is>
          <t>★ THE STANDOUT OF THE WHOLE RE-INVESTIGATION. Cleanest sow-only signature in USDA's data, and uniquely it ALREADY runs a sub-2-hour warm-carcass business. Location correction: Bowling Green, not the 'Pioneer Packing, Ohio' in earlier notes. Volume figure is 2017-vintage — confirm by phone.</t>
        </is>
      </c>
    </row>
    <row r="97" ht="58" customHeight="1">
      <c r="A97" s="7" t="inlineStr">
        <is>
          <t>F.B. Purnell Sausage Co.</t>
        </is>
      </c>
      <c r="B97" s="5" t="inlineStr">
        <is>
          <t>Simpsonville, KY</t>
        </is>
      </c>
      <c r="C97" s="5" t="inlineStr">
        <is>
          <t>Sow + market slaughter + sausage mfr</t>
        </is>
      </c>
      <c r="D97" s="5" t="inlineStr">
        <is>
          <t>~2,500-2,700/wk (600/day 2016 → 500/day 2017 — DECLINING)</t>
        </is>
      </c>
      <c r="E97" s="36" t="inlineStr">
        <is>
          <t>MEDIUM-HIGH
(2,500-5,000/wk)</t>
        </is>
      </c>
      <c r="F97" s="5" t="inlineStr">
        <is>
          <t>Yes — BOTH sow AND market (USDA flags both = Yes)</t>
        </is>
      </c>
      <c r="G97" s="5" t="inlineStr">
        <is>
          <t>USDA ✓ M7464 + P7464 (grant 2021; category refreshed 2025-06)</t>
        </is>
      </c>
      <c r="H97" s="5" t="inlineStr">
        <is>
          <t>See the Welfare &amp; culture column — enforcement detail is carried there for these rows</t>
        </is>
      </c>
      <c r="I97" s="5" t="inlineStr">
        <is>
          <t>Not verified — APHIS publishes no searchable list; confirm with APHIS VS</t>
        </is>
      </c>
      <c r="J97" s="5" t="inlineStr">
        <is>
          <t>Not on the current FSIS enforcement page (1-yr window only — not a clean record)</t>
        </is>
      </c>
      <c r="K97" s="5" t="inlineStr">
        <is>
          <t>None found</t>
        </is>
      </c>
      <c r="L97" s="5" t="inlineStr">
        <is>
          <t>Plausible — small, family-run, single site, already runs a poultry grant so used to multi-programme oversight</t>
        </is>
      </c>
      <c r="M97" s="5" t="inlineStr">
        <is>
          <t>Plausible, but sausage-focused workflow means viscera likely already committed to rendering</t>
        </is>
      </c>
      <c r="N97" s="5" t="inlineStr">
        <is>
          <t>(502) 722-5626
6931 Shelbyville Rd · itsgooo-od.com</t>
        </is>
      </c>
      <c r="O97" s="32" t="inlineStr">
        <is>
          <t>POSSIBLE</t>
        </is>
      </c>
      <c r="P97" s="5" t="inlineStr">
        <is>
          <t>Med</t>
        </is>
      </c>
      <c r="Q97" s="5" t="inlineStr">
        <is>
          <t>BEST DUAL-CLASS SUPPLY: the only plant flagged for BOTH sow and market-hog slaughter, so animal class can be specced PER TISSUE BLOCK. Volume trend was downward 2016→2017.</t>
        </is>
      </c>
    </row>
    <row r="98" ht="58" customHeight="1">
      <c r="A98" s="7" t="inlineStr">
        <is>
          <t>BEF Foods (Bob Evans) — Xenia</t>
        </is>
      </c>
      <c r="B98" s="5" t="inlineStr">
        <is>
          <t>Xenia, OH</t>
        </is>
      </c>
      <c r="C98" s="5" t="inlineStr">
        <is>
          <t>SOW-ONLY abattoir; Post Holdings subsidiary</t>
        </is>
      </c>
      <c r="D98" s="5" t="inlineStr">
        <is>
          <t>~2,500-2,700/wk (500 hd/day, flat)</t>
        </is>
      </c>
      <c r="E98" s="36" t="inlineStr">
        <is>
          <t>MEDIUM-HIGH
(2,500-5,000/wk)</t>
        </is>
      </c>
      <c r="F98" s="5" t="inlineStr">
        <is>
          <t>Yes — SOW ONLY</t>
        </is>
      </c>
      <c r="G98" s="5" t="inlineStr">
        <is>
          <t>USDA ✓ M6785 (grant 2020)</t>
        </is>
      </c>
      <c r="H98" s="5" t="inlineStr">
        <is>
          <t>See the Welfare &amp; culture column — enforcement detail is carried there for these rows</t>
        </is>
      </c>
      <c r="I98" s="5" t="inlineStr">
        <is>
          <t>Not verified — APHIS publishes no searchable list; confirm with APHIS VS</t>
        </is>
      </c>
      <c r="J98" s="5" t="inlineStr">
        <is>
          <t>🚨 FSIS NOTICE OF INTENDED ENFORCEMENT 22 Mar 2018 — EGREGIOUS humane violation: a non-ambulatory, moribund-condemned SOW stunned while sitting upright, remained CONSCIOUS and vocalised 2-3 times after the first captive-bolt discharge; THREE attempts required. Second incident 3 Jul 2018; PETA sought a criminal probe. Also an EPA CERCLA docket (CERCLA-05-2024-0006) naming Bob Evans Farms Inc., Xenia — not opened, flagged for diligence</t>
        </is>
      </c>
      <c r="K98" s="5" t="inlineStr">
        <is>
          <t>None found</t>
        </is>
      </c>
      <c r="L98" s="5" t="inlineStr">
        <is>
          <t>WEAK-MEDIUM — big-corporate parent means legal/insurance friction for third-party staff on the kill floor</t>
        </is>
      </c>
      <c r="M98" s="5" t="inlineStr">
        <is>
          <t>MEDIUM</t>
        </is>
      </c>
      <c r="N98" s="5" t="inlineStr">
        <is>
          <t>(937) 372-4494
640 Birch Rd, Xenia OH 45385</t>
        </is>
      </c>
      <c r="O98" s="32" t="inlineStr">
        <is>
          <t>CAUTION</t>
        </is>
      </c>
      <c r="P98" s="5" t="inlineStr">
        <is>
          <t>Med-High</t>
        </is>
      </c>
      <c r="Q98" s="5" t="inlineStr">
        <is>
          <t>OPERATING STATUS RESOLVED: a Yelp 'CLOSED' listing is retail-only; Post Holdings' FY2025 Form 10-K confirms owned sausage plants at Xenia AND Hillsdale and live-sow procurement at parent level. The 2018 record makes reputational diligence mandatory for a welfare-led buyer.</t>
        </is>
      </c>
    </row>
    <row r="99" ht="58" customHeight="1">
      <c r="A99" s="7" t="inlineStr">
        <is>
          <t>BEF Foods (Bob Evans) — Hillsdale</t>
        </is>
      </c>
      <c r="B99" s="5" t="inlineStr">
        <is>
          <t>Hillsdale, MI</t>
        </is>
      </c>
      <c r="C99" s="5" t="inlineStr">
        <is>
          <t>SOW-ONLY abattoir (open since 1964)</t>
        </is>
      </c>
      <c r="D99" s="5" t="inlineStr">
        <is>
          <t>~2,500-2,700/wk (500 hd/day)</t>
        </is>
      </c>
      <c r="E99" s="36" t="inlineStr">
        <is>
          <t>MEDIUM-HIGH
(2,500-5,000/wk)</t>
        </is>
      </c>
      <c r="F99" s="5" t="inlineStr">
        <is>
          <t>Yes — SOW ONLY</t>
        </is>
      </c>
      <c r="G99" s="5" t="inlineStr">
        <is>
          <t>USDA ✓ M952 (grant 2021)</t>
        </is>
      </c>
      <c r="H99" s="5" t="inlineStr">
        <is>
          <t>See the Welfare &amp; culture column — enforcement detail is carried there for these rows</t>
        </is>
      </c>
      <c r="I99" s="5" t="inlineStr">
        <is>
          <t>Not verified — APHIS publishes no searchable list; confirm with APHIS VS</t>
        </is>
      </c>
      <c r="J99" s="5" t="inlineStr">
        <is>
          <t>Not on the current enforcement page — BUT corporate humane-handling systems are shared with Xenia, so treat the 2018 Xenia action as a COMPANY-LEVEL signal</t>
        </is>
      </c>
      <c r="K99" s="5" t="inlineStr">
        <is>
          <t>None found</t>
        </is>
      </c>
      <c r="L99" s="5" t="inlineStr">
        <is>
          <t>WEAK-MEDIUM (corporate)</t>
        </is>
      </c>
      <c r="M99" s="5" t="inlineStr">
        <is>
          <t>MEDIUM</t>
        </is>
      </c>
      <c r="N99" s="5" t="inlineStr">
        <is>
          <t>No phone in the USDA file — route via Post / Bob Evans corporate</t>
        </is>
      </c>
      <c r="O99" s="32" t="inlineStr">
        <is>
          <t>CAUTION</t>
        </is>
      </c>
      <c r="P99" s="5" t="inlineStr">
        <is>
          <t>Med</t>
        </is>
      </c>
      <c r="Q99" s="5" t="inlineStr">
        <is>
          <t>Confirmed operating by the same Post FY2025 10-K sentence.</t>
        </is>
      </c>
    </row>
    <row r="100" ht="58" customHeight="1">
      <c r="A100" s="7" t="inlineStr">
        <is>
          <t>Dean Sausage Co. (Attalla)</t>
        </is>
      </c>
      <c r="B100" s="5" t="inlineStr">
        <is>
          <t>Attalla, AL</t>
        </is>
      </c>
      <c r="C100" s="5" t="inlineStr">
        <is>
          <t>SOW slaughter plant marketed purely as a sausage brand</t>
        </is>
      </c>
      <c r="D100" s="5" t="inlineStr">
        <is>
          <t>~1,500-1,620/wk (300 hd/day, flat)</t>
        </is>
      </c>
      <c r="E100" s="29" t="inlineStr">
        <is>
          <t>MEDIUM
(350-2,500/wk)</t>
        </is>
      </c>
      <c r="F100" s="5" t="inlineStr">
        <is>
          <t>Yes — SOW (USDA slaughter=Yes, sow_slaughter=Yes)</t>
        </is>
      </c>
      <c r="G100" s="5" t="inlineStr">
        <is>
          <t>USDA ✓ M6621 + P6621</t>
        </is>
      </c>
      <c r="H100" s="5" t="inlineStr">
        <is>
          <t>See the Welfare &amp; culture column — enforcement detail is carried there for these rows</t>
        </is>
      </c>
      <c r="I100" s="5" t="inlineStr">
        <is>
          <t>Not verified — APHIS publishes no searchable list; confirm with APHIS VS</t>
        </is>
      </c>
      <c r="J100" s="5" t="inlineStr">
        <is>
          <t>🚨 OSHA 20 Mar 2024 — $116,153 proposed, 7 REPEAT + 2 serious violations: lockout/tagout failures, inadequate machine guarding, BLOCKED EXITS, hazard-communication gaps, missing SDSs. This was a FOLLOW-UP to a Dec 2022 inspection (14 violations, $37,000+) — i.e. THEY FAILED TO CORRECT</t>
        </is>
      </c>
      <c r="K100" s="5" t="inlineStr">
        <is>
          <t>None found</t>
        </is>
      </c>
      <c r="L100" s="5" t="inlineStr">
        <is>
          <t>WEAK — placing our own harvesters inside a plant with an active repeat record for machine guarding and blocked egress is a direct worker-safety and insurance exposure</t>
        </is>
      </c>
      <c r="M100" s="5" t="inlineStr">
        <is>
          <t>MEDIUM — arm's-length purchase avoids the exposure</t>
        </is>
      </c>
      <c r="N100" s="5" t="inlineStr">
        <is>
          <t>(256) 538-6082
3750 Pleasant Valley Rd · ~85 staff, founded 1955</t>
        </is>
      </c>
      <c r="O100" s="32" t="inlineStr">
        <is>
          <t>CAUTION</t>
        </is>
      </c>
      <c r="P100" s="5" t="inlineStr">
        <is>
          <t>High</t>
        </is>
      </c>
      <c r="Q100" s="5" t="inlineStr">
        <is>
          <t>TENSION RESOLVED: it IS genuinely a sow-harvest plant — USDA primary data is unambiguous — that markets itself purely as a sausage brand, which is why secondary sources called it a processor. Note its own site claims 'FDA-inspected', which is wrong for a meat slaughter plant (it's USDA/FSIS) — a minor QA-maturity signal. DBAs: Country Best Foods, Kentucky Farm Kitchens.</t>
        </is>
      </c>
    </row>
    <row r="101" ht="58" customHeight="1">
      <c r="A101" s="7" t="inlineStr">
        <is>
          <t>Carlton Packing Co. (dba Carlton Farms)</t>
        </is>
      </c>
      <c r="B101" s="5" t="inlineStr">
        <is>
          <t>Carlton, OR</t>
        </is>
      </c>
      <c r="C101" s="5" t="inlineStr">
        <is>
          <t>Market-hog + roaster slaughter, also beef; custom-exempt too</t>
        </is>
      </c>
      <c r="D101" s="5" t="inlineStr">
        <is>
          <t>~1,875-2,025/wk (375 hd/day, flat) — mixed-species floor means hog share is lower</t>
        </is>
      </c>
      <c r="E101" s="29" t="inlineStr">
        <is>
          <t>MEDIUM
(350-2,500/wk)</t>
        </is>
      </c>
      <c r="F101" s="5" t="inlineStr">
        <is>
          <t>Yes — MARKET + ROASTER, NO SOW</t>
        </is>
      </c>
      <c r="G101" s="5" t="inlineStr">
        <is>
          <t>USDA ✓ M9228 + P9228 + V9228
(V = VOLUNTARY grant)</t>
        </is>
      </c>
      <c r="H101" s="5" t="inlineStr">
        <is>
          <t>See the Welfare &amp; culture column — enforcement detail is carried there for these rows</t>
        </is>
      </c>
      <c r="I101" s="5" t="inlineStr">
        <is>
          <t>Not verified — APHIS publishes no searchable list; confirm with APHIS VS</t>
        </is>
      </c>
      <c r="J101" s="5" t="inlineStr">
        <is>
          <t>None found (limited-window caveat)</t>
        </is>
      </c>
      <c r="K101" s="5" t="inlineStr">
        <is>
          <t>⭐ The V GRANT IS THE KEY DETAIL: voluntary inspection is the mechanism USDA uses for NON-AMENABLE / NON-FOOD-USE product — so this plant already has the regulatory scaffolding for non-food biomedical harvest</t>
        </is>
      </c>
      <c r="L101" s="5" t="inlineStr">
        <is>
          <t>MEDIUM-STRONG — small, clean, traceable</t>
        </is>
      </c>
      <c r="M101" s="5" t="inlineStr">
        <is>
          <t>STRONG</t>
        </is>
      </c>
      <c r="N101" s="5" t="inlineStr">
        <is>
          <t>(503) 852-7166
10600 NW Westside Rd · carltonfarms.com</t>
        </is>
      </c>
      <c r="O101" s="32" t="inlineStr">
        <is>
          <t>POSSIBLE</t>
        </is>
      </c>
      <c r="P101" s="5" t="inlineStr">
        <is>
          <t>Med-High</t>
        </is>
      </c>
      <c r="Q101" s="5" t="inlineStr">
        <is>
          <t>NAME CORRECTION: 'Carlton Packing / Carlton Farms', not 'Carleton Farms'. Acquired by Beef Northwest Feeders Aug 2022 (their first move into pork); founded 1956. Sources ~5 NW farms, pigs raised WITHOUT hormones or antibiotics, some from Hutterite colonies — genuinely valuable for tissue chain-of-custody. CAVEAT: market hogs, NOT sows.</t>
        </is>
      </c>
    </row>
    <row r="102" ht="58" customHeight="1">
      <c r="A102" s="7" t="inlineStr">
        <is>
          <t>Dealaman Enterprises, Inc.</t>
        </is>
      </c>
      <c r="B102" s="5" t="inlineStr">
        <is>
          <t>Warren, NJ</t>
        </is>
      </c>
      <c r="C102" s="5" t="inlineStr">
        <is>
          <t>Market + roaster + sheep slaughter since 1905</t>
        </is>
      </c>
      <c r="D102" s="5" t="inlineStr">
        <is>
          <t>~1,000-1,200/wk — BEST-CORROBORATED FIGURE IN THE STUDY (EMI 200/day AND a Bloomberg-sourced '1,200 pigs a week' agree)</t>
        </is>
      </c>
      <c r="E102" s="29" t="inlineStr">
        <is>
          <t>MEDIUM
(350-2,500/wk)</t>
        </is>
      </c>
      <c r="F102" s="5" t="inlineStr">
        <is>
          <t>Yes — MARKET + ROASTER + sheep. NO SOW</t>
        </is>
      </c>
      <c r="G102" s="5" t="inlineStr">
        <is>
          <t>USDA ✓ M7562 (grant 2021)</t>
        </is>
      </c>
      <c r="H102" s="5" t="inlineStr">
        <is>
          <t>See the Welfare &amp; culture column — enforcement detail is carried there for these rows</t>
        </is>
      </c>
      <c r="I102" s="5" t="inlineStr">
        <is>
          <t>Not verified — APHIS publishes no searchable list; confirm with APHIS VS</t>
        </is>
      </c>
      <c r="J102" s="5" t="inlineStr">
        <is>
          <t>None found (limited-window caveat). Positively framed in trade press — used by small farms 'who value personalized service and humane treatment'</t>
        </is>
      </c>
      <c r="K102" s="5" t="inlineStr">
        <is>
          <t>None found</t>
        </is>
      </c>
      <c r="L102" s="5" t="inlineStr">
        <is>
          <t>MEDIUM — small, relationship-driven, likely receptive</t>
        </is>
      </c>
      <c r="M102" s="5" t="inlineStr">
        <is>
          <t>MEDIUM</t>
        </is>
      </c>
      <c r="N102" s="5" t="inlineStr">
        <is>
          <t>(908) 755-1780 / (908) 647-5533
214 Mountainview Rd · ~30 staff</t>
        </is>
      </c>
      <c r="O102" s="32" t="inlineStr">
        <is>
          <t>CAUTION</t>
        </is>
      </c>
      <c r="P102" s="5" t="inlineStr">
        <is>
          <t>Med-High</t>
        </is>
      </c>
      <c r="Q102" s="5" t="inlineStr">
        <is>
          <t>BLOCKER: known for SUCKLING &amp; ROASTING pigs — small, young carcasses, the opposite end of the size range from sows. Poor fit for adult pelvic/bariatric blocks. ALSO CORRECTS a widely-repeated claim: it is NOT 'the only federally inspected hog slaughterhouse in NJ' — USDA lists SIX, incl. Puro Alentejano (M47945, Salem — does sow+boar) and Henry Kohn/Burlington Beef (M8850, Monroeville — sow).</t>
        </is>
      </c>
    </row>
    <row r="103" ht="20" customHeight="1">
      <c r="A103" s="3" t="inlineStr">
        <is>
          <t>PENNSYLVANIA CLUSTER — the Animal Biotech lead, now closed out (73 PA swine plants enumerated)</t>
        </is>
      </c>
    </row>
    <row r="104" ht="58" customHeight="1">
      <c r="A104" s="7" t="inlineStr">
        <is>
          <t>Leidy's, LLC</t>
        </is>
      </c>
      <c r="B104" s="5" t="inlineStr">
        <is>
          <t>Souderton, PA</t>
        </is>
      </c>
      <c r="C104" s="5" t="inlineStr">
        <is>
          <t>USDA federal market-hog slaughter, operating since 1893</t>
        </is>
      </c>
      <c r="D104" s="5" t="inlineStr">
        <is>
          <t>~5,000-7,000/wk (EMI 1,350/day; company/trade say 1,000-1,200/day; 220+ staff)</t>
        </is>
      </c>
      <c r="E104" s="35" t="inlineStr">
        <is>
          <t>HIGH
(&gt;5,000/wk)</t>
        </is>
      </c>
      <c r="F104" s="5" t="inlineStr">
        <is>
          <t>Yes — MARKET</t>
        </is>
      </c>
      <c r="G104" s="5" t="inlineStr">
        <is>
          <t>USDA ✓ M9520+P9520+V9520
✅ EXPORT-CERTIFIED</t>
        </is>
      </c>
      <c r="H104" s="5" t="inlineStr">
        <is>
          <t>See the Welfare &amp; culture column — enforcement detail is carried there for these rows</t>
        </is>
      </c>
      <c r="I104" s="5" t="inlineStr">
        <is>
          <t>Not verified — APHIS publishes no searchable list; confirm with APHIS VS</t>
        </is>
      </c>
      <c r="J104" s="5" t="inlineStr">
        <is>
          <t>Not on the current FSIS enforcement page (1-yr window)</t>
        </is>
      </c>
      <c r="K104" s="5" t="inlineStr">
        <is>
          <t>None published</t>
        </is>
      </c>
      <c r="L104" s="5" t="inlineStr">
        <is>
          <t>Plausible — ASK WHETHER ABI OR LAMPIRE TECHNICIANS ALREADY HARVEST HERE; if so, a Model A precedent already exists</t>
        </is>
      </c>
      <c r="M104" s="5" t="inlineStr">
        <is>
          <t>Plausible</t>
        </is>
      </c>
      <c r="N104" s="5" t="inlineStr">
        <is>
          <t>(215) 723-4606
266 W Cherry Ln, Souderton PA</t>
        </is>
      </c>
      <c r="O104" s="29" t="inlineStr">
        <is>
          <t>STRONG FIT</t>
        </is>
      </c>
      <c r="P104" s="5" t="inlineStr">
        <is>
          <t>Med</t>
        </is>
      </c>
      <c r="Q104" s="5" t="inlineStr">
        <is>
          <t>★ BEST PA ENTRY POINT. ~5 MILES from Animal Biotech Industries' lab at Harleysville, and one of only TWO PA swine plants holding export certification. Also appears in the 'just above band' group — Medium-High/High boundary.</t>
        </is>
      </c>
    </row>
    <row r="105" ht="58" customHeight="1">
      <c r="A105" s="7" t="inlineStr">
        <is>
          <t>Clemens Food Group</t>
        </is>
      </c>
      <c r="B105" s="5" t="inlineStr">
        <is>
          <t>Hatfield, PA</t>
        </is>
      </c>
      <c r="C105" s="5" t="inlineStr">
        <is>
          <t>Large industrial market-hog packer</t>
        </is>
      </c>
      <c r="D105" s="5" t="inlineStr">
        <is>
          <t>~58,000-63,000/wk (11,700 hd/day)</t>
        </is>
      </c>
      <c r="E105" s="35" t="inlineStr">
        <is>
          <t>HIGH
(&gt;5,000/wk)</t>
        </is>
      </c>
      <c r="F105" s="5" t="inlineStr">
        <is>
          <t>Yes — MARKET</t>
        </is>
      </c>
      <c r="G105" s="5" t="inlineStr">
        <is>
          <t>USDA ✓ M791+P791+V791
✅ EXPORT-CERTIFIED</t>
        </is>
      </c>
      <c r="H105" s="5" t="inlineStr">
        <is>
          <t>See the Welfare &amp; culture column — enforcement detail is carried there for these rows</t>
        </is>
      </c>
      <c r="I105" s="5" t="inlineStr">
        <is>
          <t>Not verified — APHIS publishes no searchable list; confirm with APHIS VS</t>
        </is>
      </c>
      <c r="J105" s="5" t="inlineStr">
        <is>
          <t>Not on the current enforcement page (1-yr window)</t>
        </is>
      </c>
      <c r="K105" s="5" t="inlineStr">
        <is>
          <t>None published</t>
        </is>
      </c>
      <c r="L105" s="5" t="inlineStr">
        <is>
          <t>Unlikely at this scale — corporate-level agreement required</t>
        </is>
      </c>
      <c r="M105" s="5" t="inlineStr">
        <is>
          <t>Model B far more realistic</t>
        </is>
      </c>
      <c r="N105" s="5" t="inlineStr">
        <is>
          <t>2700 Clemens Rd, Hatfield PA</t>
        </is>
      </c>
      <c r="O105" s="32" t="inlineStr">
        <is>
          <t>POSSIBLE</t>
        </is>
      </c>
      <c r="P105" s="5" t="inlineStr">
        <is>
          <t>Med</t>
        </is>
      </c>
      <c r="Q105" s="5" t="inlineStr">
        <is>
          <t>The only HIGH-tier PA option and ~5 miles from Animal Biotech's Harleysville lab. Volume solves everything except access.</t>
        </is>
      </c>
    </row>
    <row r="106" ht="58" customHeight="1">
      <c r="A106" s="7" t="inlineStr">
        <is>
          <t>PA SOW plants (roll-up)</t>
        </is>
      </c>
      <c r="B106" s="5" t="inlineStr">
        <is>
          <t>eastern PA</t>
        </is>
      </c>
      <c r="C106" s="5" t="inlineStr">
        <is>
          <t>USDA federal, sow-capable</t>
        </is>
      </c>
      <c r="D106" s="5" t="inlineStr">
        <is>
          <t>unknown</t>
        </is>
      </c>
      <c r="E106" s="33" t="inlineStr">
        <is>
          <t>unknown
(confirm)</t>
        </is>
      </c>
      <c r="F106" s="5" t="inlineStr">
        <is>
          <t>Yes — market + SOW + roaster (+boar at two)</t>
        </is>
      </c>
      <c r="G106" s="5" t="inlineStr">
        <is>
          <t>USDA ✓ — see notes</t>
        </is>
      </c>
      <c r="H106" s="5" t="inlineStr">
        <is>
          <t>See the Welfare &amp; culture column — enforcement detail is carried there for these rows</t>
        </is>
      </c>
      <c r="I106" s="5" t="inlineStr">
        <is>
          <t>Not verified — APHIS publishes no searchable list; confirm with APHIS VS</t>
        </is>
      </c>
      <c r="J106" s="5" t="inlineStr">
        <is>
          <t>Not on the current enforcement page (1-yr window)</t>
        </is>
      </c>
      <c r="K106" s="5" t="inlineStr">
        <is>
          <t>None published</t>
        </is>
      </c>
      <c r="L106" s="5" t="inlineStr">
        <is>
          <t>Plausible (small plants)</t>
        </is>
      </c>
      <c r="M106" s="5" t="inlineStr">
        <is>
          <t>Plausible</t>
        </is>
      </c>
      <c r="N106" s="5" t="inlineStr">
        <is>
          <t>see notes →</t>
        </is>
      </c>
      <c r="O106" s="32" t="inlineStr">
        <is>
          <t>POSSIBLE</t>
        </is>
      </c>
      <c r="P106" s="5" t="inlineStr">
        <is>
          <t>Med</t>
        </is>
      </c>
      <c r="Q106" s="5" t="inlineStr">
        <is>
          <t>PA plants whose USDA flags include SOW: Smucker's Meats (M21265+P21265+V21265, Mt. Joy); Wayne Nell &amp; Sons (M9548+P9548, East Berlin); Lehigh Valley Meats (M45160+V45160, Nazareth — +boar); Springfield Meat Co. (M9704+V9704, Richlandtown — +boar). Note THREE of the four hold VOLUNTARY (V) grants = the non-amenable/non-food-use scaffolding. Springfield (Richlandtown) is ~10 mi from LAMPIRE at Pipersville.</t>
        </is>
      </c>
    </row>
    <row r="107" ht="58" customHeight="1">
      <c r="A107" s="7" t="inlineStr">
        <is>
          <t>⚑ The ABI / LAMPIRE abattoir inference</t>
        </is>
      </c>
      <c r="B107" s="5" t="inlineStr">
        <is>
          <t>Harleysville &amp; Pipersville, PA</t>
        </is>
      </c>
      <c r="C107" s="5" t="inlineStr">
        <is>
          <t>tissue suppliers, not slaughterers</t>
        </is>
      </c>
      <c r="D107" s="5" t="inlineStr">
        <is>
          <t>n/a</t>
        </is>
      </c>
      <c r="E107" s="33" t="inlineStr">
        <is>
          <t>n/a</t>
        </is>
      </c>
      <c r="F107" s="5" t="inlineStr">
        <is>
          <t>n/a</t>
        </is>
      </c>
      <c r="G107" s="5" t="inlineStr">
        <is>
          <t>n/a — they BUY from PA abattoirs</t>
        </is>
      </c>
      <c r="H107" s="5" t="inlineStr">
        <is>
          <t>See the Welfare &amp; culture column — enforcement detail is carried there for these rows</t>
        </is>
      </c>
      <c r="I107" s="5" t="inlineStr">
        <is>
          <t>Not verified — APHIS publishes no searchable list; confirm with APHIS VS</t>
        </is>
      </c>
      <c r="J107" s="5" t="inlineStr">
        <is>
          <t>n/a</t>
        </is>
      </c>
      <c r="K107" s="5" t="inlineStr">
        <is>
          <t>Animal Biotech Industries (220 Stahl Rd, Harleysville PA, 215-766-7413) states tissues are 'harvested at USDA federally inspected abattoirs'; offers organ CANNULATION and CUSTOM HARVESTING; has EXITED live porcine models to focus on post-mortem tissue; WBENC/WOSB certified. LAMPIRE (Pipersville PA) says it is 'located in Pennsylvania, in close proximity to the top beef, veal and porcine USDA approved abattoir' facilities with 'experienced technicians' who 'procure and process products to your specifications'</t>
        </is>
      </c>
      <c r="L107" s="5" t="inlineStr">
        <is>
          <t>n/a</t>
        </is>
      </c>
      <c r="M107" s="5" t="inlineStr">
        <is>
          <t>n/a</t>
        </is>
      </c>
      <c r="N107" s="5" t="inlineStr">
        <is>
          <t>ABI (215) 766-7413 · LAMPIRE Pipersville</t>
        </is>
      </c>
      <c r="O107" s="32" t="inlineStr">
        <is>
          <t>POSSIBLE</t>
        </is>
      </c>
      <c r="P107" s="5" t="inlineStr">
        <is>
          <t>Med (inference)</t>
        </is>
      </c>
      <c r="Q107" s="5" t="inlineStr">
        <is>
          <t>⚠ LABELLED INFERENCE, NOT FACT: neither company names its abattoirs and NO document links either to a specific plant. The inference rests on (a) both companies' explicit 'nearby PA USDA abattoir' language and (b) geography — ABI Harleysville is ~5 mi from BOTH Clemens (Hatfield) and Leidy's (Souderton); LAMPIRE Pipersville is ~12 mi from the same cluster and ~10 mi from Springfield Meat. CONFIRM BY ASKING THE PLANTS — and note that a plant already hosting ABI or Lampire technicians is a PROVEN Model A precedent, which makes this the single most valuable question in the whole outreach list.</t>
        </is>
      </c>
    </row>
    <row r="108" ht="20" customHeight="1">
      <c r="A108" s="3" t="inlineStr">
        <is>
          <t>⚠ CORRECTED / REFUTED BY THE FSIS PRIMARY-DATA SWEEP</t>
        </is>
      </c>
    </row>
    <row r="109" ht="58" customHeight="1">
      <c r="A109" s="7" t="inlineStr">
        <is>
          <t>Kansas City Sausage / Coastal Protein — REFUTED</t>
        </is>
      </c>
      <c r="B109" s="5" t="inlineStr">
        <is>
          <t>Godwin, NC</t>
        </is>
      </c>
      <c r="C109" s="5" t="inlineStr">
        <is>
          <t>NO ACTIVE FSIS ESTABLISHMENT</t>
        </is>
      </c>
      <c r="D109" s="5" t="inlineStr">
        <is>
          <t>n/a — premise not supported</t>
        </is>
      </c>
      <c r="E109" s="33" t="inlineStr">
        <is>
          <t>n/a</t>
        </is>
      </c>
      <c r="F109" s="5" t="inlineStr">
        <is>
          <t>n/a</t>
        </is>
      </c>
      <c r="G109" s="5" t="inlineStr">
        <is>
          <t>NO active establishment in Godwin NC, zip 28344, or on Martin Road</t>
        </is>
      </c>
      <c r="H109" s="5" t="inlineStr">
        <is>
          <t>See the Welfare &amp; culture column — enforcement detail is carried there for these rows</t>
        </is>
      </c>
      <c r="I109" s="5" t="inlineStr">
        <is>
          <t>Not verified — APHIS publishes no searchable list; confirm with APHIS VS</t>
        </is>
      </c>
      <c r="J109" s="5" t="inlineStr">
        <is>
          <t>n/a</t>
        </is>
      </c>
      <c r="K109" s="5" t="inlineStr">
        <is>
          <t>n/a</t>
        </is>
      </c>
      <c r="L109" s="5" t="inlineStr">
        <is>
          <t>No</t>
        </is>
      </c>
      <c r="M109" s="5" t="inlineStr">
        <is>
          <t>No</t>
        </is>
      </c>
      <c r="N109" s="5" t="inlineStr">
        <is>
          <t>—</t>
        </is>
      </c>
      <c r="O109" s="37" t="inlineStr">
        <is>
          <t>OUT / FLAG</t>
        </is>
      </c>
      <c r="P109" s="5" t="inlineStr">
        <is>
          <t>High</t>
        </is>
      </c>
      <c r="Q109" s="5" t="inlineStr">
        <is>
          <t>MAJOR CORRECTION: the '3,500-5,000 sows/wk slaughter at Godwin' premise is NOT SUPPORTED. 'Kansas City Sausage' and 'Coastal Protein' now exist only as DBAs of Smithfield (acquired 2017). The Godwin site is a $44.8M SAUSAGE MANUFACTURING plant that CONSUMES meat from 700-1,000 sows/day — it does not slaughter. Its associated abattoir is Martin's Pork Products (M6720).</t>
        </is>
      </c>
    </row>
    <row r="110" ht="58" customHeight="1">
      <c r="A110" s="7" t="inlineStr">
        <is>
          <t>Gunnoe Sausage Co. — REFUTED</t>
        </is>
      </c>
      <c r="B110" s="5" t="inlineStr">
        <is>
          <t>Goode, VA</t>
        </is>
      </c>
      <c r="C110" s="5" t="inlineStr">
        <is>
          <t>NO ACTIVE FSIS ESTABLISHMENT</t>
        </is>
      </c>
      <c r="D110" s="5" t="inlineStr">
        <is>
          <t>n/a</t>
        </is>
      </c>
      <c r="E110" s="33" t="inlineStr">
        <is>
          <t>n/a</t>
        </is>
      </c>
      <c r="F110" s="5" t="inlineStr">
        <is>
          <t>n/a</t>
        </is>
      </c>
      <c r="G110" s="5" t="inlineStr">
        <is>
          <t>No active FSIS establishment found</t>
        </is>
      </c>
      <c r="H110" s="5" t="inlineStr">
        <is>
          <t>See the Welfare &amp; culture column — enforcement detail is carried there for these rows</t>
        </is>
      </c>
      <c r="I110" s="5" t="inlineStr">
        <is>
          <t>Not verified — APHIS publishes no searchable list; confirm with APHIS VS</t>
        </is>
      </c>
      <c r="J110" s="5" t="inlineStr">
        <is>
          <t>n/a</t>
        </is>
      </c>
      <c r="K110" s="5" t="inlineStr">
        <is>
          <t>n/a</t>
        </is>
      </c>
      <c r="L110" s="5" t="inlineStr">
        <is>
          <t>No</t>
        </is>
      </c>
      <c r="M110" s="5" t="inlineStr">
        <is>
          <t>No</t>
        </is>
      </c>
      <c r="N110" s="5" t="inlineStr">
        <is>
          <t>—</t>
        </is>
      </c>
      <c r="O110" s="37" t="inlineStr">
        <is>
          <t>OUT / FLAG</t>
        </is>
      </c>
      <c r="P110" s="5" t="inlineStr">
        <is>
          <t>Med-High</t>
        </is>
      </c>
      <c r="Q110" s="5" t="inlineStr">
        <is>
          <t>CONFIRMED CLOSED — two independent agents agree. Gunnoe SHUT DOWN Nov 2022 after 57 years in Goode (~30 employees affected); the BRAND was sold to Logan's Sausage of Alexandria VA (whose Logan Food Company, M17307+P17307, holds NO slaughter grant); the REAL ESTATE was auctioned and marked SOLD 15 Nov 2024 (22.34 acres, 28,000 sq ft incl. 6,700 sq ft cooler/freezer and 4,700 sq ft animal pens). Absent from BOTH the active (7,225) and inactive (932) FSIS directories. The earlier deep study called it 'Virginia's only genuinely in-band plant' — that is now REFUTED. REMOVE FROM PIPELINE.</t>
        </is>
      </c>
    </row>
    <row r="111" ht="58" customHeight="1">
      <c r="A111" s="7" t="inlineStr">
        <is>
          <t>Below-band leads — all REFUTED on volume</t>
        </is>
      </c>
      <c r="B111" s="5" t="inlineStr">
        <is>
          <t>KY / OH / MI / AL / OR / NJ / TX</t>
        </is>
      </c>
      <c r="C111" s="5" t="inlineStr">
        <is>
          <t>FSIS category 2-3 = below 2,000/wk</t>
        </is>
      </c>
      <c r="D111" s="5" t="inlineStr">
        <is>
          <t>below band</t>
        </is>
      </c>
      <c r="E111" s="31" t="inlineStr">
        <is>
          <t>SMALL
(0-300/wk)</t>
        </is>
      </c>
      <c r="F111" s="5" t="inlineStr">
        <is>
          <t>mixed</t>
        </is>
      </c>
      <c r="G111" s="5" t="inlineStr">
        <is>
          <t>USDA ✓ (various)</t>
        </is>
      </c>
      <c r="H111" s="5" t="inlineStr">
        <is>
          <t>See the Welfare &amp; culture column — enforcement detail is carried there for these rows</t>
        </is>
      </c>
      <c r="I111" s="5" t="inlineStr">
        <is>
          <t>Not verified — APHIS publishes no searchable list; confirm with APHIS VS</t>
        </is>
      </c>
      <c r="J111" s="5" t="inlineStr">
        <is>
          <t>various</t>
        </is>
      </c>
      <c r="K111" s="5" t="inlineStr">
        <is>
          <t>unknown</t>
        </is>
      </c>
      <c r="L111" s="5" t="inlineStr">
        <is>
          <t>varies</t>
        </is>
      </c>
      <c r="M111" s="5" t="inlineStr">
        <is>
          <t>varies</t>
        </is>
      </c>
      <c r="N111" s="5" t="inlineStr">
        <is>
          <t>see notes →</t>
        </is>
      </c>
      <c r="O111" s="32" t="inlineStr">
        <is>
          <t>CAUTION</t>
        </is>
      </c>
      <c r="P111" s="5" t="inlineStr">
        <is>
          <t>High</t>
        </is>
      </c>
      <c r="Q111" s="5" t="inlineStr">
        <is>
          <t>All below the Medium-High band per FSIS category: F.B. Purnell (M7464+P7464, Simpsonville KY, MKT+SOW) cat-3; Pioneer Packing (M372, OH, SOW+boar) cat-3; BEF Foods/Bob Evans Xenia OH (M6785) and Hillsdale MI (M952), both still slaughtering SOWS, cat-3; Dean Sausage (M6621+P6621, Attalla AL, SOW) CAT-2 (~20-200/wk — two orders of magnitude below); Carlton Packing (M9228, Carlton OR — note spelling, not 'Carleton Farms') cat-3; Dealaman (M7562, NJ, MKT) cat-3.</t>
        </is>
      </c>
    </row>
    <row r="112" ht="58" customHeight="1">
      <c r="A112" s="7" t="inlineStr">
        <is>
          <t>Plants that no longer slaughter — REFUTED</t>
        </is>
      </c>
      <c r="B112" s="5" t="inlineStr">
        <is>
          <t>OR / TX / IL</t>
        </is>
      </c>
      <c r="C112" s="5" t="inlineStr">
        <is>
          <t>exited slaughter or no establishment</t>
        </is>
      </c>
      <c r="D112" s="5" t="inlineStr">
        <is>
          <t>n/a</t>
        </is>
      </c>
      <c r="E112" s="33" t="inlineStr">
        <is>
          <t>n/a</t>
        </is>
      </c>
      <c r="F112" s="5" t="inlineStr">
        <is>
          <t>n/a</t>
        </is>
      </c>
      <c r="G112" s="5" t="inlineStr">
        <is>
          <t>n/a</t>
        </is>
      </c>
      <c r="H112" s="5" t="inlineStr">
        <is>
          <t>See the Welfare &amp; culture column — enforcement detail is carried there for these rows</t>
        </is>
      </c>
      <c r="I112" s="5" t="inlineStr">
        <is>
          <t>Not verified — APHIS publishes no searchable list; confirm with APHIS VS</t>
        </is>
      </c>
      <c r="J112" s="5" t="inlineStr">
        <is>
          <t>n/a</t>
        </is>
      </c>
      <c r="K112" s="5" t="inlineStr">
        <is>
          <t>n/a</t>
        </is>
      </c>
      <c r="L112" s="5" t="inlineStr">
        <is>
          <t>No</t>
        </is>
      </c>
      <c r="M112" s="5" t="inlineStr">
        <is>
          <t>No</t>
        </is>
      </c>
      <c r="N112" s="5" t="inlineStr">
        <is>
          <t>—</t>
        </is>
      </c>
      <c r="O112" s="37" t="inlineStr">
        <is>
          <t>OUT / FLAG</t>
        </is>
      </c>
      <c r="P112" s="5" t="inlineStr">
        <is>
          <t>High</t>
        </is>
      </c>
      <c r="Q112" s="5" t="inlineStr">
        <is>
          <t>Masami Foods (M6173, OR) — no swine-slaughter flags and NULL volume = NO SLAUGHTER in the last 360 days; appears to have EXITED. Dayton Meat Products (OR) — no active FSIS establishment. Fisher Ham and Meat (Navasota TX) — no swine establishment; Navasota's swine slaughterer is K&amp;C Meat Processing (M13324), cat-3. Johnsonville MOMENCE IL sow plant (1,650 hd/day in 2017) CLOSED June 2025 (274 jobs) — a large chunk of national sow capacity gone.</t>
        </is>
      </c>
    </row>
    <row r="113" ht="58" customHeight="1">
      <c r="A113" s="7" t="inlineStr">
        <is>
          <t>Fauquier's Finest — DATA ANOMALY</t>
        </is>
      </c>
      <c r="B113" s="5" t="inlineStr">
        <is>
          <t>Bealeton, VA</t>
        </is>
      </c>
      <c r="C113" s="5" t="inlineStr">
        <is>
          <t>USDA federal, multi-species</t>
        </is>
      </c>
      <c r="D113" s="5" t="inlineStr">
        <is>
          <t>CONTRADICTORY: FSIS size 'Very Small' (&lt;10 employees / &lt;$2.5M) YET slaughter_volume_category = 4 (≥100,000 head/yr)</t>
        </is>
      </c>
      <c r="E113" s="33" t="inlineStr">
        <is>
          <t>unknown
(confirm)</t>
        </is>
      </c>
      <c r="F113" s="5" t="inlineStr">
        <is>
          <t>Yes — MKT+SOW+boar+beef</t>
        </is>
      </c>
      <c r="G113" s="5" t="inlineStr">
        <is>
          <t>USDA ✓ M33940</t>
        </is>
      </c>
      <c r="H113" s="5" t="inlineStr">
        <is>
          <t>See the Welfare &amp; culture column — enforcement detail is carried there for these rows</t>
        </is>
      </c>
      <c r="I113" s="5" t="inlineStr">
        <is>
          <t>Not verified — APHIS publishes no searchable list; confirm with APHIS VS</t>
        </is>
      </c>
      <c r="J113" s="5" t="inlineStr">
        <is>
          <t>🚨 INH suspension 04 Dec 2024 → reinstated 06 Mar 2025</t>
        </is>
      </c>
      <c r="K113" s="5" t="inlineStr">
        <is>
          <t>unknown</t>
        </is>
      </c>
      <c r="L113" s="5" t="inlineStr">
        <is>
          <t>Structurally suits Model A (custom processor)</t>
        </is>
      </c>
      <c r="M113" s="5" t="inlineStr">
        <is>
          <t>unknown</t>
        </is>
      </c>
      <c r="N113" s="5" t="inlineStr">
        <is>
          <t>(540) 439-7227
11746 AG Industrial Dr, Bealeton VA 22712</t>
        </is>
      </c>
      <c r="O113" s="32" t="inlineStr">
        <is>
          <t>CAUTION</t>
        </is>
      </c>
      <c r="P113" s="5" t="inlineStr">
        <is>
          <t>Low</t>
        </is>
      </c>
      <c r="Q113" s="5" t="inlineStr">
        <is>
          <t>The two FSIS facts are very hard to reconcile — likely a data-entry artifact or an aggregate across species. DO NOT treat as in-band without direct confirmation. Only reason to look: a rare Mid-Atlantic sow+boar slaughterer that is also a custom processor.</t>
        </is>
      </c>
    </row>
  </sheetData>
  <autoFilter ref="A4:Q4"/>
  <mergeCells count="20">
    <mergeCell ref="A31:Q31"/>
    <mergeCell ref="A77:Q77"/>
    <mergeCell ref="A83:Q83"/>
    <mergeCell ref="A59:Q59"/>
    <mergeCell ref="A51:Q51"/>
    <mergeCell ref="A103:Q103"/>
    <mergeCell ref="A1:Q1"/>
    <mergeCell ref="A36:Q36"/>
    <mergeCell ref="A25:Q25"/>
    <mergeCell ref="A90:Q90"/>
    <mergeCell ref="A108:Q108"/>
    <mergeCell ref="A46:Q46"/>
    <mergeCell ref="A74:Q74"/>
    <mergeCell ref="A57:Q57"/>
    <mergeCell ref="A95:Q95"/>
    <mergeCell ref="A2:Q2"/>
    <mergeCell ref="A5:Q5"/>
    <mergeCell ref="A8:Q8"/>
    <mergeCell ref="A22:Q22"/>
    <mergeCell ref="A43:Q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showGridLines="0" workbookViewId="0">
      <pane ySplit="4" topLeftCell="A5" activePane="bottomLeft" state="frozen"/>
      <selection pane="bottomLeft" activeCell="A1" sqref="A1"/>
    </sheetView>
  </sheetViews>
  <sheetFormatPr baseColWidth="8" defaultRowHeight="15"/>
  <cols>
    <col width="22" customWidth="1" min="1" max="1"/>
    <col width="16" customWidth="1" min="2" max="2"/>
    <col width="44" customWidth="1" min="3" max="3"/>
    <col width="26" customWidth="1" min="4" max="4"/>
    <col width="30" customWidth="1" min="5" max="5"/>
    <col width="30" customWidth="1" min="6" max="6"/>
    <col width="22" customWidth="1" min="7" max="7"/>
    <col width="8" customWidth="1" min="8" max="8"/>
    <col width="40" customWidth="1" min="9" max="9"/>
  </cols>
  <sheetData>
    <row r="1" ht="26" customHeight="1">
      <c r="A1" s="1" t="inlineStr">
        <is>
          <t>National Direct-Tissue Suppliers — buy finished porcine tissue/organs</t>
        </is>
      </c>
    </row>
    <row r="2" ht="30" customHeight="1">
      <c r="A2" s="2" t="inlineStr">
        <is>
          <t>Vendors that sell porcine research tissue directly (no slaughterhouse relationship). Prices are QUOTE-ONLY across this industry unless a real published figure is noted; blanks = not public.</t>
        </is>
      </c>
    </row>
    <row r="4" ht="40" customHeight="1">
      <c r="A4" s="6" t="inlineStr">
        <is>
          <t>Supplier</t>
        </is>
      </c>
      <c r="B4" s="6" t="inlineStr">
        <is>
          <t>Location</t>
        </is>
      </c>
      <c r="C4" s="6" t="inlineStr">
        <is>
          <t>Porcine tissue / organs offered
(pelvic · abdominal · thoracic)</t>
        </is>
      </c>
      <c r="D4" s="6" t="inlineStr">
        <is>
          <t>Formats &amp; freshness</t>
        </is>
      </c>
      <c r="E4" s="6" t="inlineStr">
        <is>
          <t>Price per tissue</t>
        </is>
      </c>
      <c r="F4" s="6" t="inlineStr">
        <is>
          <t>Regulatory / quality</t>
        </is>
      </c>
      <c r="G4" s="6" t="inlineStr">
        <is>
          <t>Contact</t>
        </is>
      </c>
      <c r="H4" s="6" t="inlineStr">
        <is>
          <t>Conf.</t>
        </is>
      </c>
      <c r="I4" s="6" t="inlineStr">
        <is>
          <t>EU-export fit (to Europe)</t>
        </is>
      </c>
    </row>
    <row r="5" ht="60" customHeight="1">
      <c r="A5" s="7" t="inlineStr">
        <is>
          <t>Animal Technologies, Inc.</t>
        </is>
      </c>
      <c r="B5" s="5" t="inlineStr">
        <is>
          <t>Tyler, TX</t>
        </is>
      </c>
      <c r="C5" s="5" t="inlineStr">
        <is>
          <t>Broad catalog by region. Thoracic: heart, lungs (±trachea/esophagus), trachea/larynx, aorta. Abdominal: stomach, intestines, liver ±gallbladder, pancreas, spleen, kidney, GI blocks. Pelvic: bladder (±ureters/urethra), repro tract, prostate+bladder, rectum/colon. Known for heart-lung PLUCKS for surgical training; eyes.</t>
        </is>
      </c>
      <c r="D5" s="5" t="inlineStr">
        <is>
          <t>Whole organs, blocks &amp; plucks; fresh or frozen; overnight (24 hr) nationwide.</t>
        </is>
      </c>
      <c r="E5" s="5" t="inlineStr">
        <is>
          <t>QUOTE ONLY — no prices published.</t>
        </is>
      </c>
      <c r="F5" s="5" t="inlineStr">
        <is>
          <t>In business since 1986; US abattoir-sourced (specific certs not stated on pages read).</t>
        </is>
      </c>
      <c r="G5" s="5" t="inlineStr">
        <is>
          <t>animaltechnologies.com · 903-592-1363</t>
        </is>
      </c>
      <c r="H5" s="5" t="inlineStr">
        <is>
          <t>High</t>
        </is>
      </c>
      <c r="I5" s="38" t="inlineStr">
        <is>
          <t>RISKY — USDA-abattoir sourced but no ISO/APHIS/TRACES or export docs; must ask</t>
        </is>
      </c>
    </row>
    <row r="6" ht="60" customHeight="1">
      <c r="A6" s="7" t="inlineStr">
        <is>
          <t>Animal Biotech Industries (ABI)</t>
        </is>
      </c>
      <c r="B6" s="5" t="inlineStr">
        <is>
          <t>Harleysville, PA</t>
        </is>
      </c>
      <c r="C6" s="5" t="inlineStr">
        <is>
          <t>Very comprehensive. Thoracic: heart, lung, trachea, esophagus, aorta, heart-lung blocks (±pericardium/pleura/larynx). Abdominal: stomach, intestines, liver, spleen, pancreas, kidney, biliary. Pelvic: repro organs, bladder, urinary, rectum. Custom tissue blocks; specialized prep e.g. cannulated kidneys.</t>
        </is>
      </c>
      <c r="D6" s="5" t="inlineStr">
        <is>
          <t>Single, paired, or custom blocks; fresh/frozen implied.</t>
        </is>
      </c>
      <c r="E6" s="5" t="inlineStr">
        <is>
          <t>QUOTE ONLY — PDF catalog lists items, not prices.</t>
        </is>
      </c>
      <c r="F6" s="5" t="inlineStr">
        <is>
          <t>Since 1990; USDA federally-inspected abattoir sourcing; markets 'ethically harvested'.</t>
        </is>
      </c>
      <c r="G6" s="5" t="inlineStr">
        <is>
          <t>animalbiotech.com · 215-766-7413</t>
        </is>
      </c>
      <c r="H6" s="5" t="inlineStr">
        <is>
          <t>High</t>
        </is>
      </c>
      <c r="I6" s="38" t="inlineStr">
        <is>
          <t>RISKY — USDA-inspected sourcing + Class B, but no ISO/APHIS/export docs published</t>
        </is>
      </c>
    </row>
    <row r="7" ht="60" customHeight="1">
      <c r="A7" s="7" t="inlineStr">
        <is>
          <t>Innovative Research, Inc.</t>
        </is>
      </c>
      <c r="B7" s="5" t="inlineStr">
        <is>
          <t>Novi, MI (HQ med-conf.)</t>
        </is>
      </c>
      <c r="C7" s="5" t="inlineStr">
        <is>
          <t>'Innovative Grade US Origin' porcine, individually priced. Heart (19 vessel configs), lungs, kidney (±cannulation), bladder, liver, stomach; processed pericardium/SIS/mucosa. MULTI-ORGAN BLOCKS: PELVIC BLOCK (repro tract+bladder+kidneys+ureters+urethra+colon+rectum); Urinary System block.</t>
        </is>
      </c>
      <c r="D7" s="5" t="inlineStr">
        <is>
          <t>Frozen (-20/-80, dry ice) or Fresh in saline/PBS (wet ice); adult/juvenile/fetal.</t>
        </is>
      </c>
      <c r="E7" s="5" t="inlineStr">
        <is>
          <t>PUBLISHED — single organs from $141 (base config); PELVIC BLOCK from $582. Fresh/added vessels/small qty raise it; volume lowers it.</t>
        </is>
      </c>
      <c r="F7" s="5" t="inlineStr">
        <is>
          <t>US-origin abattoir; in-vitro research/mfg use only.</t>
        </is>
      </c>
      <c r="G7" s="5" t="inlineStr">
        <is>
          <t>innov-research.com</t>
        </is>
      </c>
      <c r="H7" s="5" t="inlineStr">
        <is>
          <t>High
(prices)</t>
        </is>
      </c>
      <c r="I7" s="39" t="inlineStr">
        <is>
          <t>LIKELY BLOCKER (device) — 'research use only, not for human/animal use' RUO labeling; no export docs</t>
        </is>
      </c>
    </row>
    <row r="8" ht="60" customHeight="1">
      <c r="A8" s="7" t="inlineStr">
        <is>
          <t>Tissue Source, LLC</t>
        </is>
      </c>
      <c r="B8" s="5" t="inlineStr">
        <is>
          <t>Frankfort, IN</t>
        </is>
      </c>
      <c r="C8" s="5" t="inlineStr">
        <is>
          <t>Custom porcine for device/biologics/pharma/education. Thoracic: heart, valves, lungs, trachea, pericardium, pleura. Abdominal: liver, pancreas, spleen, kidney, gallbladder, stomach, intestines. Pelvic: bladder, uterus, ovaries, testicles, vagina, penis. Overnight shipping.</t>
        </is>
      </c>
      <c r="D8" s="5" t="inlineStr">
        <is>
          <t>Custom; whole organ vs block per request; overnight.</t>
        </is>
      </c>
      <c r="E8" s="5" t="inlineStr">
        <is>
          <t>QUOTE ONLY.</t>
        </is>
      </c>
      <c r="F8" s="5" t="inlineStr">
        <is>
          <t>STRONG QMS: ISO 13485 + ISO 9001; ISO 22442-2, 21 CFR 820 &amp; 58; USDA Class A Breeders License; ante-/post-mortem inspection. Woman-owned, since 2007.</t>
        </is>
      </c>
      <c r="G8" s="5" t="inlineStr">
        <is>
          <t>tissue-source.com · 765-746-6679</t>
        </is>
      </c>
      <c r="H8" s="5" t="inlineStr">
        <is>
          <t>High</t>
        </is>
      </c>
      <c r="I8" s="40" t="inlineStr">
        <is>
          <t>OK (best) — ISO 13485 + 22442-2, USDA Class A, animal traceability; confirm establishment APHIS/TRACES listing</t>
        </is>
      </c>
    </row>
    <row r="9" ht="60" customHeight="1">
      <c r="A9" s="7" t="inlineStr">
        <is>
          <t>Sustainable Swine Resources (SSR)</t>
        </is>
      </c>
      <c r="B9" s="5" t="inlineStr">
        <is>
          <t>WI (Johnsonville LLC)</t>
        </is>
      </c>
      <c r="C9" s="5" t="inlineStr">
        <is>
          <t>Full porcine range: tissues, blood, bone, cartilage, fluids, glands, membranes, organs, nerves, ligaments. Named: stomach, liver, heart, thyroid, pancreas, small intestine, pericardium, peritoneal membrane, leg bones. Custom to spec.</t>
        </is>
      </c>
      <c r="D9" s="5" t="inlineStr">
        <is>
          <t>Custom collection; fresh/frozen.</t>
        </is>
      </c>
      <c r="E9" s="5" t="inlineStr">
        <is>
          <t>QUOTE ONLY.</t>
        </is>
      </c>
      <c r="F9" s="5" t="inlineStr">
        <is>
          <t>30+ years; packer-integrated (Johnsonville).</t>
        </is>
      </c>
      <c r="G9" s="5" t="inlineStr">
        <is>
          <t>ssr-solutions.com</t>
        </is>
      </c>
      <c r="H9" s="5" t="inlineStr">
        <is>
          <t>High</t>
        </is>
      </c>
      <c r="I9" s="40" t="inlineStr">
        <is>
          <t>OK (strong) — ISO 22442-2, USDA/SQF, PQA+ farms, full traceability; confirm ISO 13485 + TRACES</t>
        </is>
      </c>
    </row>
    <row r="10" ht="60" customHeight="1">
      <c r="A10" s="7" t="inlineStr">
        <is>
          <t>Smithfield BioScience</t>
        </is>
      </c>
      <c r="B10" s="5" t="inlineStr">
        <is>
          <t>Smithfield, VA</t>
        </is>
      </c>
      <c r="C10" s="5" t="inlineStr">
        <is>
          <t>Thoracic: aorta, heart, valves, lungs, pericardium, trachea. Abdominal: liver, pancreas, small intestine, stomach/pepsin lining. Pelvic: kidney, ovary. Also brains, eyes, feet, gullet, peritoneum, pituitary, skin, tendon, thyroid.</t>
        </is>
      </c>
      <c r="D10" s="5" t="inlineStr">
        <is>
          <t>Harvested by trained specialists from market hogs/sows; fresh or frozen; large packer-integrated supply.</t>
        </is>
      </c>
      <c r="E10" s="5" t="inlineStr">
        <is>
          <t>QUOTE ONLY.</t>
        </is>
      </c>
      <c r="F10" s="5" t="inlineStr">
        <is>
          <t>Smithfield Foods packer network (USDA-inspected plants).</t>
        </is>
      </c>
      <c r="G10" s="5" t="inlineStr">
        <is>
          <t>smithfieldbioscience.com</t>
        </is>
      </c>
      <c r="H10" s="5" t="inlineStr">
        <is>
          <t>High</t>
        </is>
      </c>
      <c r="I10" s="40" t="inlineStr">
        <is>
          <t>OK (best) — vertically integrated, already exports heparin to EP; confirm they supply tissue blocks + VS certs</t>
        </is>
      </c>
    </row>
    <row r="11" ht="60" customHeight="1">
      <c r="A11" s="7" t="inlineStr">
        <is>
          <t>WG Biomedical (WG Provisions)</t>
        </is>
      </c>
      <c r="B11" s="5" t="inlineStr">
        <is>
          <t>Iowa</t>
        </is>
      </c>
      <c r="C11" s="5" t="inlineStr">
        <is>
          <t>Surgical-training/organ focus, 12 porcine products: PIG PLUCK (heart-lung), heart, lungs, heart valves, pericardial sacs, carotid artery, iliac vessels, pancreas, spleen, thyroid, pig head, mandibles.</t>
        </is>
      </c>
      <c r="D11" s="5" t="inlineStr">
        <is>
          <t>Fresh or frozen.</t>
        </is>
      </c>
      <c r="E11" s="5" t="inlineStr">
        <is>
          <t>QUOTE ONLY — every item is 'Request a Quote'.</t>
        </is>
      </c>
      <c r="F11" s="5" t="inlineStr">
        <is>
          <t>Provisions/packer-affiliated (Iowa).</t>
        </is>
      </c>
      <c r="G11" s="5" t="inlineStr">
        <is>
          <t>wgbiomedical.com · 515-233-4774</t>
        </is>
      </c>
      <c r="H11" s="5" t="inlineStr">
        <is>
          <t>High</t>
        </is>
      </c>
      <c r="I11" s="38" t="inlineStr">
        <is>
          <t>RISKY — device-supply track record but multi-source broker; must document APHIS/TRACES</t>
        </is>
      </c>
    </row>
    <row r="12" ht="60" customHeight="1">
      <c r="A12" s="7" t="inlineStr">
        <is>
          <t>LAMPIRE Biological Labs</t>
        </is>
      </c>
      <c r="B12" s="5" t="inlineStr">
        <is>
          <t>Pipersville, PA</t>
        </is>
      </c>
      <c r="C12" s="5" t="inlineStr">
        <is>
          <t>Custom abattoir collection of porcine tissues, glands, organs, fluids (PA, near USDA porcine abattoirs). Custom prep emphasis; also porcine hide/collagen.</t>
        </is>
      </c>
      <c r="D12" s="5" t="inlineStr">
        <is>
          <t>Media-perfused (your media), snap-frozen in LN2, or lyophilized.</t>
        </is>
      </c>
      <c r="E12" s="5" t="inlineStr">
        <is>
          <t>QUOTE ONLY.</t>
        </is>
      </c>
      <c r="F12" s="5" t="inlineStr">
        <is>
          <t>Established biological labs; abattoir-sourced.</t>
        </is>
      </c>
      <c r="G12" s="5" t="inlineStr">
        <is>
          <t>lampire.com · 215-795-2838</t>
        </is>
      </c>
      <c r="H12" s="5" t="inlineStr">
        <is>
          <t>High</t>
        </is>
      </c>
      <c r="I12" s="38" t="inlineStr">
        <is>
          <t>RISKY — 'worldwide' supply but no ISO/APHIS/TRACES published; must ask</t>
        </is>
      </c>
    </row>
    <row r="13" ht="60" customHeight="1">
      <c r="A13" s="7" t="inlineStr">
        <is>
          <t>Pel-Freez Biologicals</t>
        </is>
      </c>
      <c r="B13" s="5" t="inlineStr">
        <is>
          <t>Rogers, AR</t>
        </is>
      </c>
      <c r="C13" s="5" t="inlineStr">
        <is>
          <t>Long-established animal organs/glands/tissues; whole organs, glands, tissues. Porcine incl. thyroid &amp; other organs. Pigs ~200 lb / 6-8 mo; tissue chilled then frozen -20 within 2-6 hr of slaughter.</t>
        </is>
      </c>
      <c r="D13" s="5" t="inlineStr">
        <is>
          <t>Whole organ/gland; frozen (dry ice) or wet ice; 2-4 wk lead.</t>
        </is>
      </c>
      <c r="E13" s="5" t="inlineStr">
        <is>
          <t>PUBLISHED (partial) — Porcine Thyroid #59452 from $361. Other porcine organ prices not individually verified.</t>
        </is>
      </c>
      <c r="F13" s="5" t="inlineStr">
        <is>
          <t>ISO 9001 certified.</t>
        </is>
      </c>
      <c r="G13" s="5" t="inlineStr">
        <is>
          <t>pel-freez.com</t>
        </is>
      </c>
      <c r="H13" s="5" t="inlineStr">
        <is>
          <t>High
(thyroid)</t>
        </is>
      </c>
      <c r="I13" s="38" t="inlineStr">
        <is>
          <t>RISKY (porcine unverified) — documented USDA on-site inspection is for RABBIT; confirm porcine origin</t>
        </is>
      </c>
    </row>
    <row r="14" ht="60" customHeight="1">
      <c r="A14" s="7" t="inlineStr">
        <is>
          <t>BioChemed Services</t>
        </is>
      </c>
      <c r="B14" s="5" t="inlineStr">
        <is>
          <t>Winchester, VA</t>
        </is>
      </c>
      <c r="C14" s="5" t="inlineStr">
        <is>
          <t>Swine tissue list: adipose, bone, brain, heart, colon, eye, liver, kidney, intestine (lg/sm), lung, nerve, ovaries, pancreas, skeletal muscle, skin, spleen, testes, thyroid, uterus. Custom to spec.</t>
        </is>
      </c>
      <c r="D14" s="5" t="inlineStr">
        <is>
          <t>Custom to spec.</t>
        </is>
      </c>
      <c r="E14" s="5" t="inlineStr">
        <is>
          <t>QUOTE ONLY ('give specs, we quote').</t>
        </is>
      </c>
      <c r="F14" s="5" t="inlineStr">
        <is>
          <t>Custom biologicals supplier.</t>
        </is>
      </c>
      <c r="G14" s="5" t="inlineStr">
        <is>
          <t>biochemed.com · 540-667-3348</t>
        </is>
      </c>
      <c r="H14" s="5" t="inlineStr">
        <is>
          <t>High</t>
        </is>
      </c>
      <c r="I14" s="38" t="inlineStr">
        <is>
          <t>RISKY — US USDA sourcing but 'research/diagnostic/mfg only'; no export docs</t>
        </is>
      </c>
    </row>
    <row r="15" ht="60" customHeight="1">
      <c r="A15" s="7" t="inlineStr">
        <is>
          <t>BioIVT</t>
        </is>
      </c>
      <c r="B15" s="5" t="inlineStr">
        <is>
          <t>Westbury, NY (global)</t>
        </is>
      </c>
      <c r="C15" s="5" t="inlineStr">
        <is>
          <t>Large biospecimen provider; porcine tissues for translational research &amp; surgical models; online 'Configure Pig Tissue' tool. In-vitro research use only.</t>
        </is>
      </c>
      <c r="D15" s="5" t="inlineStr">
        <is>
          <t>Customized; fresh/frozen.</t>
        </is>
      </c>
      <c r="E15" s="5" t="inlineStr">
        <is>
          <t>QUOTE ONLY — customized pricing &amp; lead times.</t>
        </is>
      </c>
      <c r="F15" s="5" t="inlineStr">
        <is>
          <t>Major biospecimen QMS provider.</t>
        </is>
      </c>
      <c r="G15" s="5" t="inlineStr">
        <is>
          <t>bioivt.com</t>
        </is>
      </c>
      <c r="H15" s="5" t="inlineStr">
        <is>
          <t>High</t>
        </is>
      </c>
      <c r="I15" s="39" t="inlineStr">
        <is>
          <t>LIKELY BLOCKER / unknown — no published human-food-chain/APHIS basis; RUO-oriented</t>
        </is>
      </c>
    </row>
    <row r="16" ht="60" customHeight="1">
      <c r="A16" s="7" t="inlineStr">
        <is>
          <t>Sierra for Medical Science</t>
        </is>
      </c>
      <c r="B16" s="5" t="inlineStr">
        <is>
          <t>Whittier, CA area</t>
        </is>
      </c>
      <c r="C16" s="5" t="inlineStr">
        <is>
          <t>Biological/animal tissue incl. porcine to universities, hospitals, device makers for diagnostics, product training, demonstration, QC. Custom protocols; on-site lab suites.</t>
        </is>
      </c>
      <c r="D16" s="5" t="inlineStr">
        <is>
          <t>Custom protocols; fresh/frozen.</t>
        </is>
      </c>
      <c r="E16" s="5" t="inlineStr">
        <is>
          <t>QUOTE ONLY.</t>
        </is>
      </c>
      <c r="F16" s="5" t="inlineStr">
        <is>
          <t>Since 1985.</t>
        </is>
      </c>
      <c r="G16" s="5" t="inlineStr">
        <is>
          <t>sierra-medical.com</t>
        </is>
      </c>
      <c r="H16" s="5" t="inlineStr">
        <is>
          <t>Med-High</t>
        </is>
      </c>
      <c r="I16" s="38" t="inlineStr">
        <is>
          <t>RISKY — device customers worldwide but no published traceability/cert framework</t>
        </is>
      </c>
    </row>
    <row r="17" ht="60" customHeight="1">
      <c r="A17" s="7" t="inlineStr">
        <is>
          <t>Midwest Research Swine (MRS)</t>
        </is>
      </c>
      <c r="B17" s="5" t="inlineStr">
        <is>
          <t>Minnesota</t>
        </is>
      </c>
      <c r="C17" s="5" t="inlineStr">
        <is>
          <t>Porcine-only abattoir; supplies LIVE research swine AND traceable porcine tissues/organs/bio-samples (High Health Herd Yorkshire-Landrace-Duroc). Order by weight/sex/age. Positions as economical.</t>
        </is>
      </c>
      <c r="D17" s="5" t="inlineStr">
        <is>
          <t>Fresh; order to spec.</t>
        </is>
      </c>
      <c r="E17" s="5" t="inlineStr">
        <is>
          <t>QUOTE ONLY — positions as low-cost.</t>
        </is>
      </c>
      <c r="F17" s="5" t="inlineStr">
        <is>
          <t>Porcine-only abattoir; High Health Herd.</t>
        </is>
      </c>
      <c r="G17" s="5" t="inlineStr">
        <is>
          <t>midwestresearchswine.com</t>
        </is>
      </c>
      <c r="H17" s="5" t="inlineStr">
        <is>
          <t>High</t>
        </is>
      </c>
      <c r="I17" s="40" t="inlineStr">
        <is>
          <t>OK (strong) — ISO 13485 + 22442-2, USDA Class B/R, own harvest, ships internationally; confirm TRACES listing</t>
        </is>
      </c>
    </row>
    <row r="18" ht="60" customHeight="1">
      <c r="A18" s="7" t="inlineStr">
        <is>
          <t>Premier BioSource (ex-S&amp;S Farms)</t>
        </is>
      </c>
      <c r="B18" s="5" t="inlineStr">
        <is>
          <t>S. CA / N. IN</t>
        </is>
      </c>
      <c r="C18" s="5" t="inlineStr">
        <is>
          <t>NOT a tissue vendor — sells LIVE research swine &amp; Yucatan minipigs.</t>
        </is>
      </c>
      <c r="D18" s="5" t="inlineStr">
        <is>
          <t>n/a (live animals).</t>
        </is>
      </c>
      <c r="E18" s="5" t="inlineStr">
        <is>
          <t>n/a — live animals, not harvested tissue.</t>
        </is>
      </c>
      <c r="F18" s="5" t="inlineStr">
        <is>
          <t>Live-animal research supplier.</t>
        </is>
      </c>
      <c r="G18" s="5" t="inlineStr">
        <is>
          <t>premierbiosource.com</t>
        </is>
      </c>
      <c r="H18" s="5" t="inlineStr">
        <is>
          <t>High</t>
        </is>
      </c>
      <c r="I18" s="41" t="inlineStr">
        <is>
          <t>n/a — live animals, out of scope</t>
        </is>
      </c>
    </row>
    <row r="19" ht="60" customHeight="1">
      <c r="A19" s="7" t="inlineStr">
        <is>
          <t>Science Care</t>
        </is>
      </c>
      <c r="B19" s="5" t="inlineStr">
        <is>
          <t>Phoenix, AZ</t>
        </is>
      </c>
      <c r="C19" s="5" t="inlineStr">
        <is>
          <t>NOT porcine — HUMAN whole-body donation for research/training.</t>
        </is>
      </c>
      <c r="D19" s="5" t="inlineStr">
        <is>
          <t>n/a.</t>
        </is>
      </c>
      <c r="E19" s="5" t="inlineStr">
        <is>
          <t>n/a — human donation, out of scope.</t>
        </is>
      </c>
      <c r="F19" s="5" t="inlineStr">
        <is>
          <t>Human tissue programme.</t>
        </is>
      </c>
      <c r="G19" s="5" t="inlineStr">
        <is>
          <t>sciencecare.com</t>
        </is>
      </c>
      <c r="H19" s="5" t="inlineStr">
        <is>
          <t>High</t>
        </is>
      </c>
      <c r="I19" s="41" t="inlineStr">
        <is>
          <t>n/a — human tissue, out of scope</t>
        </is>
      </c>
    </row>
    <row r="20" ht="60" customHeight="1">
      <c r="A20" s="7" t="inlineStr">
        <is>
          <t>Zivic Laboratories</t>
        </is>
      </c>
      <c r="B20" s="5" t="inlineStr">
        <is>
          <t>Pittsburgh, PA</t>
        </is>
      </c>
      <c r="C20" s="5" t="inlineStr">
        <is>
          <t>NOT a porcine organ vendor — primarily RODENT tissue, brain/heart matrices, dissection instruments.</t>
        </is>
      </c>
      <c r="D20" s="5" t="inlineStr">
        <is>
          <t>n/a.</t>
        </is>
      </c>
      <c r="E20" s="5" t="inlineStr">
        <is>
          <t>n/a — rodent focus, out of scope.</t>
        </is>
      </c>
      <c r="F20" s="5" t="inlineStr">
        <is>
          <t>Rodent tissue / instruments.</t>
        </is>
      </c>
      <c r="G20" s="5" t="inlineStr">
        <is>
          <t>ziviclab (see sources)</t>
        </is>
      </c>
      <c r="H20" s="5" t="inlineStr">
        <is>
          <t>High</t>
        </is>
      </c>
      <c r="I20" s="41" t="inlineStr">
        <is>
          <t>n/a — rodent, out of scope</t>
        </is>
      </c>
    </row>
    <row r="22" ht="20" customHeight="1">
      <c r="A22" s="3" t="inlineStr">
        <is>
          <t>BUYING DIRECT × EU EXPORT — does the vendor help or hurt onward EU export?</t>
        </is>
      </c>
    </row>
    <row r="23" ht="60" customHeight="1">
      <c r="A23" s="11" t="inlineStr">
        <is>
          <t>•  Buying finished tissue neither confers nor forfeits EU-export eligibility by itself — three things decide it, and they sit at the SLAUGHTERHOUSE level, not the broker's marketing: (1) the material must originate from a specific establishment that is APHIS-approved and on the EU TRACES list; (2) each consignment needs an APHIS-VS-endorsed health certificate + country-of-origin/traceability affidavit; (3) 'research use only / not for human or animal use' (RUO) labeling both signals the vendor won't furnish export docs AND collides with an MDR device pathway (Annex I 13.1 / ISO 22442).</t>
        </is>
      </c>
    </row>
    <row r="24" ht="36" customHeight="1">
      <c r="A24" s="11" t="inlineStr">
        <is>
          <t>•  Consequence: a vendor advertising 'USDA-inspected' (FSIS food inspection) is necessary but NOT sufficient — almost none publicly claim TRACES listing. The EU-cleanest vendors are the ones already in regulated device/pharma supply chains with ISO 13485 + ISO 22442-2 and farm-to-facility traceability from human-food-chain animals.</t>
        </is>
      </c>
    </row>
    <row r="25" ht="28" customHeight="1">
      <c r="A25" s="11" t="inlineStr">
        <is>
          <t>•  Strategic point: because TRACES listing is establishment-level, self-harvesting at ONE hand-picked APHIS-listed abattoir is often CLEANER for EU export than buying from a multi-source broker whose 'many facilities' model makes single-establishment certification harder.</t>
        </is>
      </c>
    </row>
    <row r="27" ht="36" customHeight="1">
      <c r="A27" s="17" t="inlineStr">
        <is>
          <t>Pursue first (EU-cleanest)</t>
        </is>
      </c>
      <c r="B27" s="5" t="inlineStr">
        <is>
          <t>Smithfield BioScience · Tissue Source · Midwest Research Swine · SSR — device/pharma-grade, traceable, human-food-chain, not RUO-blocked. All still need ONE thing in writing: the slaughter establishment is APHIS-approved &amp; TRACES-listed and the vendor will furnish a VS-endorsed health certificate per consignment (none advertise TRACES listing).</t>
        </is>
      </c>
      <c r="C27" s="65" t="n"/>
      <c r="D27" s="65" t="n"/>
      <c r="E27" s="65" t="n"/>
      <c r="F27" s="65" t="n"/>
      <c r="G27" s="65" t="n"/>
      <c r="H27" s="65" t="n"/>
      <c r="I27" s="64" t="n"/>
    </row>
    <row r="28" ht="34" customHeight="1">
      <c r="A28" s="17" t="inlineStr">
        <is>
          <t>Workable with diligence</t>
        </is>
      </c>
      <c r="B28" s="5" t="inlineStr">
        <is>
          <t>ABI · WG Biomedical · LAMPIRE · Sierra · Animal Technologies — USDA-abattoir sourcing + device customers, but no published ISO/APHIS/TRACES/cert framework. Multi-source brokers (WG, Sierra, LAMPIRE) make single-establishment TRACES harder.</t>
        </is>
      </c>
      <c r="C28" s="65" t="n"/>
      <c r="D28" s="65" t="n"/>
      <c r="E28" s="65" t="n"/>
      <c r="F28" s="65" t="n"/>
      <c r="G28" s="65" t="n"/>
      <c r="H28" s="65" t="n"/>
      <c r="I28" s="64" t="n"/>
    </row>
    <row r="29" ht="36" customHeight="1">
      <c r="A29" s="17" t="inlineStr">
        <is>
          <t>Avoid for EU-bound / MDR product</t>
        </is>
      </c>
      <c r="B29" s="5" t="inlineStr">
        <is>
          <t>Innovative Research &amp; BioChemed (explicit RUO / 'not for human or animal use') · BioIVT (no published human-food-chain/APHIS basis) · Pel-Freez for porcine (their documented USDA on-site inspection is for rabbit). RUO labeling signals no export-doc support and conflicts with MDR Annex I 13.1 / ISO 22442.</t>
        </is>
      </c>
      <c r="C29" s="65" t="n"/>
      <c r="D29" s="65" t="n"/>
      <c r="E29" s="65" t="n"/>
      <c r="F29" s="65" t="n"/>
      <c r="G29" s="65" t="n"/>
      <c r="H29" s="65" t="n"/>
      <c r="I29" s="64" t="n"/>
    </row>
  </sheetData>
  <autoFilter ref="A4:I4"/>
  <mergeCells count="9">
    <mergeCell ref="A25:I25"/>
    <mergeCell ref="A2:I2"/>
    <mergeCell ref="B29:I29"/>
    <mergeCell ref="A1:I1"/>
    <mergeCell ref="A23:I23"/>
    <mergeCell ref="B28:I28"/>
    <mergeCell ref="A22:I22"/>
    <mergeCell ref="B27:I27"/>
    <mergeCell ref="A24:I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showGridLines="0" workbookViewId="0">
      <selection activeCell="A1" sqref="A1"/>
    </sheetView>
  </sheetViews>
  <sheetFormatPr baseColWidth="8" defaultRowHeight="15"/>
  <cols>
    <col width="22" customWidth="1" min="1" max="1"/>
    <col width="40" customWidth="1" min="2" max="2"/>
    <col width="40" customWidth="1" min="3" max="3"/>
    <col width="40" customWidth="1" min="4" max="4"/>
  </cols>
  <sheetData>
    <row r="1" ht="26" customHeight="1">
      <c r="A1" s="1" t="inlineStr">
        <is>
          <t>Operating Models &amp; Make-vs-Buy Framework</t>
        </is>
      </c>
    </row>
    <row r="2" ht="30" customHeight="1">
      <c r="A2" s="2" t="inlineStr">
        <is>
          <t>Three ways to obtain tissue. Cost drivers differ; per-tissue economics depend heavily on freshness needs, MOQ, and travel.</t>
        </is>
      </c>
    </row>
    <row r="4" ht="30" customHeight="1">
      <c r="A4" s="6" t="inlineStr">
        <is>
          <t>Dimension</t>
        </is>
      </c>
      <c r="B4" s="6" t="inlineStr">
        <is>
          <t>Model A — We harvest on-site</t>
        </is>
      </c>
      <c r="C4" s="6" t="inlineStr">
        <is>
          <t>Model B — Plant harvests for us</t>
        </is>
      </c>
      <c r="D4" s="6" t="inlineStr">
        <is>
          <t>Buy direct (national vendor)</t>
        </is>
      </c>
    </row>
    <row r="5" ht="44" customHeight="1">
      <c r="A5" s="4" t="inlineStr">
        <is>
          <t>What we provide</t>
        </is>
      </c>
      <c r="B5" s="5" t="inlineStr">
        <is>
          <t>Our trained harvesters + tools; we rent line/cooler access.</t>
        </is>
      </c>
      <c r="C5" s="5" t="inlineStr">
        <is>
          <t>Inspectors + trainers to qualify their crew to our protocol.</t>
        </is>
      </c>
      <c r="D5" s="5" t="inlineStr">
        <is>
          <t>A purchase order; vendor ships tissue.</t>
        </is>
      </c>
    </row>
    <row r="6" ht="44" customHeight="1">
      <c r="A6" s="4" t="inlineStr">
        <is>
          <t>What the plant provides</t>
        </is>
      </c>
      <c r="B6" s="5" t="inlineStr">
        <is>
          <t>Floor/line access, cooler space, kill schedule, hanging/handling.</t>
        </is>
      </c>
      <c r="C6" s="5" t="inlineStr">
        <is>
          <t>Trained labor, QA cooperation, our-spec dissection at the kill.</t>
        </is>
      </c>
      <c r="D6" s="5" t="inlineStr">
        <is>
          <t>n/a — vendor already harvests &amp; processes.</t>
        </is>
      </c>
    </row>
    <row r="7" ht="44" customHeight="1">
      <c r="A7" s="4" t="inlineStr">
        <is>
          <t>Freshness / ischemia control</t>
        </is>
      </c>
      <c r="B7" s="5" t="inlineStr">
        <is>
          <t>Best — we control time-to-preserve at the source.</t>
        </is>
      </c>
      <c r="C7" s="5" t="inlineStr">
        <is>
          <t>Good — depends on their crew discipline; we audit.</t>
        </is>
      </c>
      <c r="D7" s="5" t="inlineStr">
        <is>
          <t>Variable — shipping adds hours/days; ask about cold-chain &amp; harvest-to-ship time.</t>
        </is>
      </c>
    </row>
    <row r="8" ht="44" customHeight="1">
      <c r="A8" s="4" t="inlineStr">
        <is>
          <t>Our labor cost</t>
        </is>
      </c>
      <c r="B8" s="5" t="inlineStr">
        <is>
          <t>High — we mobilize/travel crews; rent space.</t>
        </is>
      </c>
      <c r="C8" s="5" t="inlineStr">
        <is>
          <t>Lower — plant labor does the work; we train/audit periodically.</t>
        </is>
      </c>
      <c r="D8" s="5" t="inlineStr">
        <is>
          <t>None on harvest; we pay per-tissue + freight.</t>
        </is>
      </c>
    </row>
    <row r="9" ht="44" customHeight="1">
      <c r="A9" s="4" t="inlineStr">
        <is>
          <t>Volume scalability</t>
        </is>
      </c>
      <c r="B9" s="5" t="inlineStr">
        <is>
          <t>Capped by plant kill schedule + our crew capacity.</t>
        </is>
      </c>
      <c r="C9" s="5" t="inlineStr">
        <is>
          <t>Scales with plant labor; needs their buy-in.</t>
        </is>
      </c>
      <c r="D9" s="5" t="inlineStr">
        <is>
          <t>Scales with vendor supply &amp; MOQ; least control.</t>
        </is>
      </c>
    </row>
    <row r="10" ht="44" customHeight="1">
      <c r="A10" s="4" t="inlineStr">
        <is>
          <t>Quality-issue leverage</t>
        </is>
      </c>
      <c r="B10" s="5" t="inlineStr">
        <is>
          <t>High — our people, our call.</t>
        </is>
      </c>
      <c r="C10" s="5" t="inlineStr">
        <is>
          <t>Medium — depends on the plant's culture (why culture matters).</t>
        </is>
      </c>
      <c r="D10" s="5" t="inlineStr">
        <is>
          <t>Low-medium — vendor SLA / return policy only.</t>
        </is>
      </c>
    </row>
    <row r="11" ht="44" customHeight="1">
      <c r="A11" s="4" t="inlineStr">
        <is>
          <t>Best when</t>
        </is>
      </c>
      <c r="B11" s="5" t="inlineStr">
        <is>
          <t>Tissue is high-value, freshness-critical, or protocol is proprietary.</t>
        </is>
      </c>
      <c r="C11" s="5" t="inlineStr">
        <is>
          <t>Plant has good culture (Nahunta-type) and willing crew; recurring volume.</t>
        </is>
      </c>
      <c r="D11" s="5" t="inlineStr">
        <is>
          <t>Need occasional/low volume, or a tissue we can't efficiently harvest ourselves.</t>
        </is>
      </c>
    </row>
    <row r="12" ht="44" customHeight="1">
      <c r="A12" s="4" t="inlineStr">
        <is>
          <t>Main cost drivers</t>
        </is>
      </c>
      <c r="B12" s="5" t="inlineStr">
        <is>
          <t>Crew travel/lodging, space rental, per-visit mobilization, downtime.</t>
        </is>
      </c>
      <c r="C12" s="5" t="inlineStr">
        <is>
          <t>Training overhead, per-piece harvest fee, audit trips.</t>
        </is>
      </c>
      <c r="D12" s="5" t="inlineStr">
        <is>
          <t>Per-tissue list/quote price, MOQ, dissection fees, overnight cold-chain freight.</t>
        </is>
      </c>
    </row>
    <row r="14" ht="20" customHeight="1">
      <c r="A14" s="3" t="inlineStr">
        <is>
          <t>MAKE-VS-BUY — per-tissue economics (qualitative, confirm with real quotes)</t>
        </is>
      </c>
    </row>
    <row r="15" ht="24" customHeight="1">
      <c r="A15" s="5" t="inlineStr">
        <is>
          <t>•  Bottom line: for an operation that already harvests on-site, buying finished tissue from a national vendor is generally MORE expensive per tissue than self-harvest — but buying-direct wins in specific situations, not on unit cost.</t>
        </is>
      </c>
      <c r="B15" s="65" t="n"/>
      <c r="C15" s="65" t="n"/>
      <c r="D15" s="64" t="n"/>
    </row>
    <row r="16" ht="48" customHeight="1">
      <c r="A16" s="5" t="inlineStr">
        <is>
          <t>•  One hog yields all three regions at once: self-harvest pulls pelvic + abdominal + thoracic from the same carcass in one session. Buying the equivalent separately (pelvic block ~$582 + a thoracic pluck + abdominal organs ~$141 each) stacks to roughly $1,000-2,000+ per animal-equivalent before shipping. Your marginal cost at the plant is mostly labor + consumables.</t>
        </is>
      </c>
      <c r="B16" s="65" t="n"/>
      <c r="C16" s="65" t="n"/>
      <c r="D16" s="64" t="n"/>
    </row>
    <row r="17" ht="24" customHeight="1">
      <c r="A17" s="5" t="inlineStr">
        <is>
          <t>•  Custom dissection / processing fees: vendors charge for anything beyond base config (extra vessels, cannulation, specific trim, saline/PBS perfusion) — exactly the work you already do in-house.</t>
        </is>
      </c>
      <c r="B17" s="65" t="n"/>
      <c r="C17" s="65" t="n"/>
      <c r="D17" s="64" t="n"/>
    </row>
    <row r="18" ht="24" customHeight="1">
      <c r="A18" s="5" t="inlineStr">
        <is>
          <t>•  Freshness / warm-ischemia: self-harvest is unbeatable (minutes). Vendors mitigate with overnight fresh-on-ice, but you still lose hours-to-a-day and pay cold-chain/dry-ice freight.</t>
        </is>
      </c>
      <c r="B18" s="65" t="n"/>
      <c r="C18" s="65" t="n"/>
      <c r="D18" s="64" t="n"/>
    </row>
    <row r="19" ht="24" customHeight="1">
      <c r="A19" s="5" t="inlineStr">
        <is>
          <t>•  Minimums, lead times, shipping: published lead times run up to 2-4 weeks (Pel-Freez); custom collections longer.</t>
        </is>
      </c>
      <c r="B19" s="65" t="n"/>
      <c r="C19" s="65" t="n"/>
      <c r="D19" s="64" t="n"/>
    </row>
    <row r="20" ht="48" customHeight="1">
      <c r="A20" s="5" t="inlineStr">
        <is>
          <t>•  Buy-direct is the better call despite higher unit cost when: volume is low/irregular; you lack USDA-inspected abattoir access or the QMS to document it and need traceability/certs (e.g. Tissue Source ISO 13485 + USDA Class A; ABI USDA-inspected); you need occasional organs outside your normal line, or specialized prep (perfused, snap-frozen, lyophilized — LAMPIRE).</t>
        </is>
      </c>
      <c r="B20" s="65" t="n"/>
      <c r="C20" s="65" t="n"/>
      <c r="D20" s="64" t="n"/>
    </row>
    <row r="21" ht="36" customHeight="1">
      <c r="A21" s="5" t="inlineStr">
        <is>
          <t>•  Public price anchors to reason from: ~$141 per single porcine organ and ~$582 for a full regional (pelvic) block (Innovative Research, list). Exact self-harvest break-even depends on hog cost, labor rate, tissues-per-animal yield, and shipping — none public — so treat this as directional until real quotes are in hand.</t>
        </is>
      </c>
      <c r="B21" s="65" t="n"/>
      <c r="C21" s="65" t="n"/>
      <c r="D21" s="64" t="n"/>
    </row>
  </sheetData>
  <mergeCells count="10">
    <mergeCell ref="A1:D1"/>
    <mergeCell ref="A17:D17"/>
    <mergeCell ref="A18:D18"/>
    <mergeCell ref="A20:D20"/>
    <mergeCell ref="A21:D21"/>
    <mergeCell ref="A15:D15"/>
    <mergeCell ref="A16:D16"/>
    <mergeCell ref="A2:D2"/>
    <mergeCell ref="A19:D19"/>
    <mergeCell ref="A14:D1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45"/>
  <sheetViews>
    <sheetView showGridLines="0" workbookViewId="0">
      <selection activeCell="A1" sqref="A1"/>
    </sheetView>
  </sheetViews>
  <sheetFormatPr baseColWidth="8" defaultRowHeight="15"/>
  <cols>
    <col width="30" customWidth="1" min="1" max="1"/>
    <col width="11" customWidth="1" min="2" max="2"/>
    <col width="11" customWidth="1" min="3" max="3"/>
    <col width="8" customWidth="1" min="4" max="4"/>
    <col width="9" customWidth="1" min="5" max="5"/>
    <col width="12" customWidth="1" min="6" max="6"/>
    <col width="14" customWidth="1" min="7" max="7"/>
    <col width="12" customWidth="1" min="8" max="8"/>
    <col width="13" customWidth="1" min="9" max="9"/>
    <col width="10" customWidth="1" min="10" max="10"/>
    <col width="13" customWidth="1" min="11" max="11"/>
    <col width="14" customWidth="1" min="12" max="12"/>
  </cols>
  <sheetData>
    <row r="1" ht="26" customHeight="1">
      <c r="A1" s="1" t="inlineStr">
        <is>
          <t>TCO Calculator — Total Cost per Organ / Block (self-harvest)</t>
        </is>
      </c>
    </row>
    <row r="2" ht="30" customHeight="1">
      <c r="A2" s="2" t="inlineStr">
        <is>
          <t>Edit the BLUE cells with your variables; cost-per-block updates automatically. Compare slaughterhouses in the grid, and against buy-direct list prices. All numeric inputs are ILLUSTRATIVE placeholders — replace with your real figures/quotes.</t>
        </is>
      </c>
    </row>
    <row r="4" ht="16" customHeight="1">
      <c r="A4" s="42" t="inlineStr">
        <is>
          <t>Legend:  blue cells on pale-yellow = you edit  ·  black = calculated  ·  ★ = the answer.  Values shown are ILLUSTRATIVE placeholders — swap in your real numbers/quotes.</t>
        </is>
      </c>
    </row>
    <row r="5" ht="20" customHeight="1">
      <c r="A5" s="43" t="inlineStr">
        <is>
          <t>A.  HARVEST SESSION  (per visit)</t>
        </is>
      </c>
    </row>
    <row r="6" ht="18" customHeight="1">
      <c r="A6" s="44" t="inlineStr">
        <is>
          <t>Blocks / organs harvested per visit</t>
        </is>
      </c>
      <c r="C6" s="45" t="n">
        <v>40</v>
      </c>
      <c r="D6" s="46" t="inlineStr">
        <is>
          <t>How many pieces you collect in one trip.</t>
        </is>
      </c>
    </row>
    <row r="7" ht="18" customHeight="1">
      <c r="A7" s="44" t="inlineStr">
        <is>
          <t>Harvest time per block (minutes)</t>
        </is>
      </c>
      <c r="C7" s="47" t="n">
        <v>15</v>
      </c>
      <c r="D7" s="46" t="inlineStr">
        <is>
          <t>Hands-on time to harvest one block/organ.</t>
        </is>
      </c>
    </row>
    <row r="8" ht="18" customHeight="1">
      <c r="A8" s="44" t="inlineStr">
        <is>
          <t>Harvesters on site (#)</t>
        </is>
      </c>
      <c r="C8" s="45" t="n">
        <v>2</v>
      </c>
      <c r="D8" s="46" t="inlineStr">
        <is>
          <t>Your crew size. For Model B (plant harvests) set 0.</t>
        </is>
      </c>
    </row>
    <row r="9" ht="18" customHeight="1">
      <c r="A9" s="44" t="inlineStr">
        <is>
          <t>Harvester labor rate ($/hr, loaded)</t>
        </is>
      </c>
      <c r="C9" s="48" t="n">
        <v>45</v>
      </c>
      <c r="D9" s="46" t="inlineStr">
        <is>
          <t>Fully-loaded wage incl. burden.</t>
        </is>
      </c>
    </row>
    <row r="10" ht="18" customHeight="1">
      <c r="A10" s="44" t="inlineStr">
        <is>
          <t>Session hours (wall-clock)</t>
        </is>
      </c>
      <c r="C10" s="49">
        <f>C6*C7/60</f>
        <v/>
      </c>
      <c r="D10" s="46">
        <f> blocks × min/block ÷ 60.</f>
        <v/>
      </c>
    </row>
    <row r="11" ht="18" customHeight="1">
      <c r="A11" s="44" t="inlineStr">
        <is>
          <t>Harvester labor per visit</t>
        </is>
      </c>
      <c r="C11" s="50">
        <f>C10*C8*C9</f>
        <v/>
      </c>
      <c r="D11" s="46">
        <f> session hours × crew × rate.</f>
        <v/>
      </c>
    </row>
    <row r="12" ht="20" customHeight="1">
      <c r="A12" s="43" t="inlineStr">
        <is>
          <t>B.  FACILITY ACCESS  (per visit — varies by slaughterhouse)</t>
        </is>
      </c>
    </row>
    <row r="13" ht="18" customHeight="1">
      <c r="A13" s="44" t="inlineStr">
        <is>
          <t>Space / line rental per visit ($)</t>
        </is>
      </c>
      <c r="C13" s="48" t="n">
        <v>500</v>
      </c>
      <c r="D13" s="46" t="inlineStr">
        <is>
          <t>Model A: rent floor/cooler access. 0 if none / relationship.</t>
        </is>
      </c>
    </row>
    <row r="14" ht="18" customHeight="1">
      <c r="A14" s="44" t="inlineStr">
        <is>
          <t>Plant inspection / handling fee per visit ($)</t>
        </is>
      </c>
      <c r="C14" s="48" t="n">
        <v>150</v>
      </c>
      <c r="D14" s="46" t="inlineStr">
        <is>
          <t>Plant's charge for their staff/line time — OR the Model B per-visit harvest fee.</t>
        </is>
      </c>
    </row>
    <row r="15" ht="18" customHeight="1">
      <c r="A15" s="44" t="inlineStr">
        <is>
          <t>Our inspector / trainer cost per visit ($)</t>
        </is>
      </c>
      <c r="C15" s="48" t="n">
        <v>0</v>
      </c>
      <c r="D15" s="46" t="inlineStr">
        <is>
          <t>Model B: amortized day-rate + travel of trainers/inspectors we send.</t>
        </is>
      </c>
    </row>
    <row r="16" ht="18" customHeight="1">
      <c r="A16" s="44" t="inlineStr">
        <is>
          <t>Facility fixed subtotal</t>
        </is>
      </c>
      <c r="C16" s="50">
        <f>C13+C14+C15</f>
        <v/>
      </c>
      <c r="D16" s="46">
        <f> rental + plant fee + our inspector.</f>
        <v/>
      </c>
    </row>
    <row r="17" ht="20" customHeight="1">
      <c r="A17" s="43" t="inlineStr">
        <is>
          <t>C.  LOGISTICS &amp; HOLDING</t>
        </is>
      </c>
    </row>
    <row r="18" ht="18" customHeight="1">
      <c r="A18" s="44" t="inlineStr">
        <is>
          <t>Transportation per visit ($)</t>
        </is>
      </c>
      <c r="C18" s="48" t="n">
        <v>300</v>
      </c>
      <c r="D18" s="46" t="inlineStr">
        <is>
          <t>Round-trip freight / vehicle / fuel / cold-chain for the trip.</t>
        </is>
      </c>
    </row>
    <row r="19" ht="18" customHeight="1">
      <c r="A19" s="44" t="inlineStr">
        <is>
          <t>Inventory / holding cost per block ($)</t>
        </is>
      </c>
      <c r="C19" s="48" t="n">
        <v>8</v>
      </c>
      <c r="D19" s="46" t="inlineStr">
        <is>
          <t>Preservation, cold storage, holding per piece.</t>
        </is>
      </c>
    </row>
    <row r="20" ht="20" customHeight="1">
      <c r="A20" s="43" t="inlineStr">
        <is>
          <t>D.  RESULT</t>
        </is>
      </c>
    </row>
    <row r="21" ht="18" customHeight="1">
      <c r="A21" s="44" t="inlineStr">
        <is>
          <t>Per-visit fixed + transport</t>
        </is>
      </c>
      <c r="C21" s="50">
        <f>C16+C18</f>
        <v/>
      </c>
      <c r="D21" s="46">
        <f> facility fixed + transportation.</f>
        <v/>
      </c>
    </row>
    <row r="22" ht="18" customHeight="1">
      <c r="A22" s="44" t="inlineStr">
        <is>
          <t>Total cost per visit</t>
        </is>
      </c>
      <c r="C22" s="50">
        <f>C21+C11+C19*C6</f>
        <v/>
      </c>
      <c r="D22" s="46">
        <f> fixed+transport + harvester labor + inventory × blocks.</f>
        <v/>
      </c>
    </row>
    <row r="23" ht="18" customHeight="1">
      <c r="A23" s="51" t="inlineStr">
        <is>
          <t>★ TOTAL COST PER BLOCK</t>
        </is>
      </c>
      <c r="C23" s="52">
        <f>IF(C6&gt;0,C22/C6,0)</f>
        <v/>
      </c>
      <c r="D23" s="46">
        <f> total cost per visit ÷ blocks. Your self-harvest unit cost.</f>
        <v/>
      </c>
    </row>
    <row r="24" ht="18" customHeight="1">
      <c r="A24" s="44" t="inlineStr">
        <is>
          <t>Memo: harvester labor per block</t>
        </is>
      </c>
      <c r="C24" s="50">
        <f>IF(C6&gt;0,C11/C6,0)</f>
        <v/>
      </c>
      <c r="D24" s="46">
        <f> (min/block ÷ 60) × crew × rate.</f>
        <v/>
      </c>
    </row>
    <row r="25" ht="18" customHeight="1">
      <c r="A25" s="44" t="inlineStr">
        <is>
          <t>Memo: fixed+transport per block</t>
        </is>
      </c>
      <c r="C25" s="50">
        <f>IF(C6&gt;0,C21/C6,0)</f>
        <v/>
      </c>
      <c r="D25" s="46" t="inlineStr">
        <is>
          <t>Spread of per-visit fixed costs — falls as blocks/visit rises.</t>
        </is>
      </c>
    </row>
    <row r="26" ht="20" customHeight="1">
      <c r="A26" s="43" t="inlineStr">
        <is>
          <t>E.  BUY-DIRECT BENCHMARK  (real published list prices)</t>
        </is>
      </c>
    </row>
    <row r="27" ht="18" customHeight="1">
      <c r="A27" s="44" t="inlineStr">
        <is>
          <t>Buy-direct: single porcine organ ($)</t>
        </is>
      </c>
      <c r="C27" s="48" t="n">
        <v>141</v>
      </c>
      <c r="D27" s="46" t="inlineStr">
        <is>
          <t>Innovative Research list, base config (real published price).</t>
        </is>
      </c>
    </row>
    <row r="28" ht="18" customHeight="1">
      <c r="A28" s="44" t="inlineStr">
        <is>
          <t>Buy-direct: pelvic block ($)</t>
        </is>
      </c>
      <c r="C28" s="48" t="n">
        <v>582</v>
      </c>
      <c r="D28" s="46" t="inlineStr">
        <is>
          <t>Innovative Research list, base config (real published price).</t>
        </is>
      </c>
    </row>
    <row r="29" ht="18" customHeight="1">
      <c r="A29" s="44" t="inlineStr">
        <is>
          <t>Δ self-harvest vs buy-direct (per organ)</t>
        </is>
      </c>
      <c r="C29" s="50">
        <f>C23-C27</f>
        <v/>
      </c>
      <c r="D29" s="46" t="inlineStr">
        <is>
          <t>Negative = self-harvest cheaper per organ.</t>
        </is>
      </c>
    </row>
    <row r="30" ht="18" customHeight="1">
      <c r="A30" s="44" t="inlineStr">
        <is>
          <t>Verdict</t>
        </is>
      </c>
      <c r="C30" s="53">
        <f>IF(C23&lt;=C27,"Self-harvest cheaper / on par","Buying direct cheaper per organ")</f>
        <v/>
      </c>
      <c r="D30" s="46" t="inlineStr">
        <is>
          <t>Rule of thumb; one visit yields many blocks, favoring self-harvest.</t>
        </is>
      </c>
    </row>
    <row r="32" ht="20" customHeight="1">
      <c r="A32" s="43" t="inlineStr">
        <is>
          <t>PER-SLAUGHTERHOUSE COMPARISON  (illustrative placeholders — replace with real figures/quotes)</t>
        </is>
      </c>
    </row>
    <row r="33" ht="30" customHeight="1">
      <c r="A33" s="54" t="inlineStr">
        <is>
          <t>Facility</t>
        </is>
      </c>
      <c r="B33" s="54" t="inlineStr">
        <is>
          <t>Blocks/
visit</t>
        </is>
      </c>
      <c r="C33" s="54" t="inlineStr">
        <is>
          <t>Min/
block</t>
        </is>
      </c>
      <c r="D33" s="54" t="inlineStr">
        <is>
          <t>Crew</t>
        </is>
      </c>
      <c r="E33" s="54" t="inlineStr">
        <is>
          <t>$/hr</t>
        </is>
      </c>
      <c r="F33" s="54" t="inlineStr">
        <is>
          <t>Rental/
visit</t>
        </is>
      </c>
      <c r="G33" s="54" t="inlineStr">
        <is>
          <t>Plant fee /
harvest fee</t>
        </is>
      </c>
      <c r="H33" s="54" t="inlineStr">
        <is>
          <t>Our insp/
visit</t>
        </is>
      </c>
      <c r="I33" s="54" t="inlineStr">
        <is>
          <t>Transport/
visit</t>
        </is>
      </c>
      <c r="J33" s="54" t="inlineStr">
        <is>
          <t>Inv/
block</t>
        </is>
      </c>
      <c r="K33" s="54" t="inlineStr">
        <is>
          <t>⇒ Cost/
block</t>
        </is>
      </c>
      <c r="L33" s="54" t="inlineStr">
        <is>
          <t>vs $/organ
direct</t>
        </is>
      </c>
    </row>
    <row r="34" ht="22" customHeight="1">
      <c r="A34" s="16" t="inlineStr">
        <is>
          <t>Nahunta Pork Center (Pikeville, NC)</t>
        </is>
      </c>
      <c r="B34" s="45" t="n">
        <v>40</v>
      </c>
      <c r="C34" s="47" t="n">
        <v>15</v>
      </c>
      <c r="D34" s="45" t="n">
        <v>2</v>
      </c>
      <c r="E34" s="48" t="n">
        <v>45</v>
      </c>
      <c r="F34" s="48" t="n">
        <v>0</v>
      </c>
      <c r="G34" s="48" t="n">
        <v>100</v>
      </c>
      <c r="H34" s="48" t="n">
        <v>0</v>
      </c>
      <c r="I34" s="48" t="n">
        <v>150</v>
      </c>
      <c r="J34" s="48" t="n">
        <v>8</v>
      </c>
      <c r="K34" s="55">
        <f>IF(B34&gt;0,(F34+G34+H34+I34+(B34*C34/60)*D34*E34+J34*B34)/B34,0)</f>
        <v/>
      </c>
      <c r="L34" s="50">
        <f>K34-$C$27</f>
        <v/>
      </c>
    </row>
    <row r="35" ht="22" customHeight="1">
      <c r="A35" s="16" t="inlineStr">
        <is>
          <t>Martin's Pork Products (Falcon, NC)</t>
        </is>
      </c>
      <c r="B35" s="45" t="n">
        <v>50</v>
      </c>
      <c r="C35" s="47" t="n">
        <v>15</v>
      </c>
      <c r="D35" s="45" t="n">
        <v>2</v>
      </c>
      <c r="E35" s="48" t="n">
        <v>45</v>
      </c>
      <c r="F35" s="48" t="n">
        <v>0</v>
      </c>
      <c r="G35" s="48" t="n">
        <v>150</v>
      </c>
      <c r="H35" s="48" t="n">
        <v>0</v>
      </c>
      <c r="I35" s="48" t="n">
        <v>175</v>
      </c>
      <c r="J35" s="48" t="n">
        <v>8</v>
      </c>
      <c r="K35" s="55">
        <f>IF(B35&gt;0,(F35+G35+H35+I35+(B35*C35/60)*D35*E35+J35*B35)/B35,0)</f>
        <v/>
      </c>
      <c r="L35" s="50">
        <f>K35-$C$27</f>
        <v/>
      </c>
    </row>
    <row r="36" ht="22" customHeight="1">
      <c r="A36" s="16" t="inlineStr">
        <is>
          <t>Piedmont Custom Meats (NC)</t>
        </is>
      </c>
      <c r="B36" s="45" t="n">
        <v>45</v>
      </c>
      <c r="C36" s="47" t="n">
        <v>15</v>
      </c>
      <c r="D36" s="45" t="n">
        <v>2</v>
      </c>
      <c r="E36" s="48" t="n">
        <v>45</v>
      </c>
      <c r="F36" s="48" t="n">
        <v>400</v>
      </c>
      <c r="G36" s="48" t="n">
        <v>0</v>
      </c>
      <c r="H36" s="48" t="n">
        <v>0</v>
      </c>
      <c r="I36" s="48" t="n">
        <v>200</v>
      </c>
      <c r="J36" s="48" t="n">
        <v>8</v>
      </c>
      <c r="K36" s="55">
        <f>IF(B36&gt;0,(F36+G36+H36+I36+(B36*C36/60)*D36*E36+J36*B36)/B36,0)</f>
        <v/>
      </c>
      <c r="L36" s="50">
        <f>K36-$C$27</f>
        <v/>
      </c>
    </row>
    <row r="37" ht="22" customHeight="1">
      <c r="A37" s="16" t="inlineStr">
        <is>
          <t>Acre Station Meat Farm (NC)</t>
        </is>
      </c>
      <c r="B37" s="45" t="n">
        <v>30</v>
      </c>
      <c r="C37" s="47" t="n">
        <v>15</v>
      </c>
      <c r="D37" s="45" t="n">
        <v>2</v>
      </c>
      <c r="E37" s="48" t="n">
        <v>45</v>
      </c>
      <c r="F37" s="48" t="n">
        <v>350</v>
      </c>
      <c r="G37" s="48" t="n">
        <v>0</v>
      </c>
      <c r="H37" s="48" t="n">
        <v>0</v>
      </c>
      <c r="I37" s="48" t="n">
        <v>220</v>
      </c>
      <c r="J37" s="48" t="n">
        <v>8</v>
      </c>
      <c r="K37" s="55">
        <f>IF(B37&gt;0,(F37+G37+H37+I37+(B37*C37/60)*D37*E37+J37*B37)/B37,0)</f>
        <v/>
      </c>
      <c r="L37" s="50">
        <f>K37-$C$27</f>
        <v/>
      </c>
    </row>
    <row r="38" ht="22" customHeight="1">
      <c r="A38" s="16" t="inlineStr">
        <is>
          <t>EcoFriendly Foods (Moneta, VA)</t>
        </is>
      </c>
      <c r="B38" s="45" t="n">
        <v>30</v>
      </c>
      <c r="C38" s="47" t="n">
        <v>15</v>
      </c>
      <c r="D38" s="45" t="n">
        <v>2</v>
      </c>
      <c r="E38" s="48" t="n">
        <v>48</v>
      </c>
      <c r="F38" s="48" t="n">
        <v>400</v>
      </c>
      <c r="G38" s="48" t="n">
        <v>0</v>
      </c>
      <c r="H38" s="48" t="n">
        <v>0</v>
      </c>
      <c r="I38" s="48" t="n">
        <v>350</v>
      </c>
      <c r="J38" s="48" t="n">
        <v>9</v>
      </c>
      <c r="K38" s="55">
        <f>IF(B38&gt;0,(F38+G38+H38+I38+(B38*C38/60)*D38*E38+J38*B38)/B38,0)</f>
        <v/>
      </c>
      <c r="L38" s="50">
        <f>K38-$C$27</f>
        <v/>
      </c>
    </row>
    <row r="39" ht="22" customHeight="1">
      <c r="A39" s="16" t="inlineStr">
        <is>
          <t>Midwest Research Swine (MN) — Model B</t>
        </is>
      </c>
      <c r="B39" s="45" t="n">
        <v>60</v>
      </c>
      <c r="C39" s="47" t="n">
        <v>12</v>
      </c>
      <c r="D39" s="45" t="n">
        <v>0</v>
      </c>
      <c r="E39" s="48" t="n">
        <v>45</v>
      </c>
      <c r="F39" s="48" t="n">
        <v>0</v>
      </c>
      <c r="G39" s="48" t="n">
        <v>900</v>
      </c>
      <c r="H39" s="48" t="n">
        <v>200</v>
      </c>
      <c r="I39" s="48" t="n">
        <v>400</v>
      </c>
      <c r="J39" s="48" t="n">
        <v>9</v>
      </c>
      <c r="K39" s="55">
        <f>IF(B39&gt;0,(F39+G39+H39+I39+(B39*C39/60)*D39*E39+J39*B39)/B39,0)</f>
        <v/>
      </c>
      <c r="L39" s="50">
        <f>K39-$C$27</f>
        <v/>
      </c>
    </row>
    <row r="40" ht="22" customHeight="1">
      <c r="A40" s="16" t="inlineStr">
        <is>
          <t>Smithfield BioScience (IA) — Model B</t>
        </is>
      </c>
      <c r="B40" s="45" t="n">
        <v>80</v>
      </c>
      <c r="C40" s="47" t="n">
        <v>10</v>
      </c>
      <c r="D40" s="45" t="n">
        <v>0</v>
      </c>
      <c r="E40" s="48" t="n">
        <v>45</v>
      </c>
      <c r="F40" s="48" t="n">
        <v>0</v>
      </c>
      <c r="G40" s="48" t="n">
        <v>1200</v>
      </c>
      <c r="H40" s="48" t="n">
        <v>150</v>
      </c>
      <c r="I40" s="48" t="n">
        <v>300</v>
      </c>
      <c r="J40" s="48" t="n">
        <v>8</v>
      </c>
      <c r="K40" s="55">
        <f>IF(B40&gt;0,(F40+G40+H40+I40+(B40*C40/60)*D40*E40+J40*B40)/B40,0)</f>
        <v/>
      </c>
      <c r="L40" s="50">
        <f>K40-$C$27</f>
        <v/>
      </c>
    </row>
    <row r="42" ht="16" customHeight="1">
      <c r="A42" s="56" t="inlineStr">
        <is>
          <t>•  For Model B (plant harvests): set Crew = 0 and enter the plant's per-visit harvest fee under 'Plant fee / harvest fee'.</t>
        </is>
      </c>
    </row>
    <row r="43" ht="22" customHeight="1">
      <c r="A43" s="56" t="inlineStr">
        <is>
          <t>•  Cost/block = (rental + plant fee + our inspector + transport + harvester labor + inventory × blocks) ÷ blocks.  Harvester labor = (min/block ÷ 60) × blocks × crew × rate.</t>
        </is>
      </c>
    </row>
    <row r="44" ht="22" customHeight="1">
      <c r="A44" s="56" t="inlineStr">
        <is>
          <t>•  Compare Cost/block (col ⇒) to buy-direct list prices: ~$141/organ and $582/pelvic block (Innovative Research). Self-harvest usually wins because one visit yields many blocks at once.</t>
        </is>
      </c>
    </row>
    <row r="45" ht="22" customHeight="1">
      <c r="A45" s="56" t="inlineStr">
        <is>
          <t>•  Every blue number is an ILLUSTRATIVE placeholder to show the format — none are researched costs. Replace them with your real time-studies, rental terms, wages, freight, and holding costs.</t>
        </is>
      </c>
    </row>
  </sheetData>
  <mergeCells count="55">
    <mergeCell ref="D11:I11"/>
    <mergeCell ref="A24:B24"/>
    <mergeCell ref="D27:I27"/>
    <mergeCell ref="A30:B30"/>
    <mergeCell ref="A15:B15"/>
    <mergeCell ref="D13:I13"/>
    <mergeCell ref="A11:B11"/>
    <mergeCell ref="D16:I16"/>
    <mergeCell ref="D7:I7"/>
    <mergeCell ref="A6:B6"/>
    <mergeCell ref="A12:L12"/>
    <mergeCell ref="A26:L26"/>
    <mergeCell ref="A2:L2"/>
    <mergeCell ref="A16:B16"/>
    <mergeCell ref="A42:L42"/>
    <mergeCell ref="A7:B7"/>
    <mergeCell ref="A25:B25"/>
    <mergeCell ref="D28:I28"/>
    <mergeCell ref="A5:L5"/>
    <mergeCell ref="D18:I18"/>
    <mergeCell ref="A32:L32"/>
    <mergeCell ref="D9:I9"/>
    <mergeCell ref="A17:L17"/>
    <mergeCell ref="A18:B18"/>
    <mergeCell ref="A27:B27"/>
    <mergeCell ref="D30:I30"/>
    <mergeCell ref="D8:I8"/>
    <mergeCell ref="A4:L4"/>
    <mergeCell ref="D15:I15"/>
    <mergeCell ref="A20:L20"/>
    <mergeCell ref="D25:I25"/>
    <mergeCell ref="A21:B21"/>
    <mergeCell ref="D24:I24"/>
    <mergeCell ref="A43:L43"/>
    <mergeCell ref="D14:I14"/>
    <mergeCell ref="D29:I29"/>
    <mergeCell ref="D23:I23"/>
    <mergeCell ref="A44:L44"/>
    <mergeCell ref="A14:B14"/>
    <mergeCell ref="A23:B23"/>
    <mergeCell ref="A8:B8"/>
    <mergeCell ref="A22:B22"/>
    <mergeCell ref="D19:I19"/>
    <mergeCell ref="D10:I10"/>
    <mergeCell ref="A29:B29"/>
    <mergeCell ref="A19:B19"/>
    <mergeCell ref="D22:I22"/>
    <mergeCell ref="A1:L1"/>
    <mergeCell ref="A10:B10"/>
    <mergeCell ref="A28:B28"/>
    <mergeCell ref="A45:L45"/>
    <mergeCell ref="A13:B13"/>
    <mergeCell ref="D6:I6"/>
    <mergeCell ref="A9:B9"/>
    <mergeCell ref="D21:I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59"/>
  <sheetViews>
    <sheetView showGridLines="0" workbookViewId="0">
      <selection activeCell="A1" sqref="A1"/>
    </sheetView>
  </sheetViews>
  <sheetFormatPr baseColWidth="8" defaultRowHeight="15"/>
  <cols>
    <col width="24" customWidth="1" min="1" max="1"/>
    <col width="46" customWidth="1" min="2" max="2"/>
    <col width="46" customWidth="1" min="3" max="3"/>
  </cols>
  <sheetData>
    <row r="1" ht="26" customHeight="1">
      <c r="A1" s="1" t="inlineStr">
        <is>
          <t>APHIS &amp; EU Export — what your suppliers actually need</t>
        </is>
      </c>
    </row>
    <row r="2" ht="30" customHeight="1">
      <c r="A2" s="2" t="inlineStr">
        <is>
          <t>For exporting porcine-tissue 'models' to Europe. Orientation only — NOT legal advice; confirm per product line with APHIS VS, your EU importer, and (if a device) a notified body.</t>
        </is>
      </c>
    </row>
    <row r="4" ht="120" customHeight="1">
      <c r="A4" s="13" t="inlineStr">
        <is>
          <t>BOTTOM LINE: The EU does NOT require your suppliers to hand you a standalone 'APHIS certificate.' It requires (1) the ORIGIN establishment (the slaughterhouse) to be APHIS-approved and LISTED on the EU TRACES establishment list for the correct animal-by-product category, and (2) an APHIS Veterinary Services-ENDORSED EU health certificate that YOUR company, as the exporter, carries with each shipment. Your instinct is right in substance — the supplier does need an APHIS eligibility/listing status — but it is a system tied to a specific product + destination, not a certificate on the wall.   ⚠ This tab is orientation, NOT legal advice: confirm the exact category and certificate with APHIS VS, your EU importer, and (if any product is a device) your notified body.</t>
        </is>
      </c>
      <c r="B4" s="65" t="n"/>
      <c r="C4" s="64" t="n"/>
    </row>
    <row r="6" ht="20" customHeight="1">
      <c r="A6" s="43" t="inlineStr">
        <is>
          <t>HOW TO CHECK APHIS / EXPORT STATUS YOURSELF  (the lookup sites)</t>
        </is>
      </c>
    </row>
    <row r="7" ht="18" customHeight="1">
      <c r="A7" s="10" t="inlineStr">
        <is>
          <t>There is NO single 'APHIS-certified slaughterhouse' lookup — the right source depends on WHAT is exported.</t>
        </is>
      </c>
      <c r="B7" s="65" t="n"/>
      <c r="C7" s="64" t="n"/>
    </row>
    <row r="8" ht="36" customHeight="1">
      <c r="A8" s="4" t="inlineStr">
        <is>
          <t>Edible meat/offal to EU</t>
        </is>
      </c>
      <c r="B8" s="5" t="inlineStr">
        <is>
          <t>FSIS 'Eligible U.S. Establishments by Country' → the European Union page (plant must be in the FSIS 'Pork for the EU' / PFEU program).  fsis.usda.gov/inspection/import-export/import-export-library</t>
        </is>
      </c>
      <c r="C8" s="64" t="n"/>
    </row>
    <row r="9" ht="36" customHeight="1">
      <c r="A9" s="4" t="inlineStr">
        <is>
          <t>Any FSIS export setup</t>
        </is>
      </c>
      <c r="B9" s="5" t="inlineStr">
        <is>
          <t>FSIS Meat/Poultry/Egg (MPI) Directory — an establishment's 'Certification – Export' activity means it can issue export certs for SOME country; it does NOT mean EU-eligible.  fsis.usda.gov/inspection/establishments/meat-poultry-and-egg-product-inspection-directory</t>
        </is>
      </c>
      <c r="C9" s="64" t="n"/>
    </row>
    <row r="10" ht="48" customHeight="1">
      <c r="A10" s="4" t="inlineStr">
        <is>
          <t>NON-food research tissue / organs to EU  ← this is us</t>
        </is>
      </c>
      <c r="B10" s="5" t="inlineStr">
        <is>
          <t>APHIS 'Export Animal Products to the European Union' — APHIS Veterinary Services (not FSIS) compiles the by-product establishment listing under Reg (EU) 142/2011. No public per-plant lookup; email vs.export.product.facilities@usda.gov.  aphis.usda.gov/animal-product-export/export-animal-products-european-union</t>
        </is>
      </c>
      <c r="C10" s="64" t="n"/>
    </row>
    <row r="11" ht="48" customHeight="1">
      <c r="A11" s="4" t="inlineStr">
        <is>
          <t>Authoritative EU-side list (both)</t>
        </is>
      </c>
      <c r="B11" s="5" t="inlineStr">
        <is>
          <t>EU TRACES-NT establishment search — filter Country = United States; FSIS edible plants appear under fresh-meat/meat-products, APHIS by-product plants under animal-by-products. Interactive only.  webgate.ec.europa.eu/tracesnt/directory/listing/establishment/publication  (US mirror: usda-eu.org/import-controls/approved-u-s-establishments)</t>
        </is>
      </c>
      <c r="C11" s="64" t="n"/>
    </row>
    <row r="12" ht="36" customHeight="1">
      <c r="A12" s="4" t="inlineStr">
        <is>
          <t>BOTTOM LINE</t>
        </is>
      </c>
      <c r="B12" s="5" t="inlineStr">
        <is>
          <t>Edible meat → FSIS list + TRACES fresh-meat section.  Non-food research tissue → APHIS VS listing + TRACES animal-by-products section.  FSIS 'Certification–Export' ≠ EU-eligible ≠ APHIS by-product listing.</t>
        </is>
      </c>
      <c r="C12" s="64" t="n"/>
    </row>
    <row r="14" ht="20" customHeight="1">
      <c r="A14" s="43" t="inlineStr">
        <is>
          <t>THE THREE REGIMES — APHIS vs FSIS vs STATE  (not tiers of one thing)</t>
        </is>
      </c>
    </row>
    <row r="15" ht="20" customHeight="1">
      <c r="A15" s="57" t="inlineStr">
        <is>
          <t>Program</t>
        </is>
      </c>
      <c r="B15" s="57" t="inlineStr">
        <is>
          <t>Purpose</t>
        </is>
      </c>
      <c r="C15" s="57" t="inlineStr">
        <is>
          <t>What it means for you</t>
        </is>
      </c>
    </row>
    <row r="16" ht="62" customHeight="1">
      <c r="A16" s="58" t="inlineStr">
        <is>
          <t>USDA FSIS
(Food Safety &amp; Inspection Service)</t>
        </is>
      </c>
      <c r="B16" s="5" t="inlineStr">
        <is>
          <t>Food safety for meat/poultry for HUMAN CONSUMPTION; issues the federal 'grant of inspection'.</t>
        </is>
      </c>
      <c r="C16" s="5" t="inlineStr">
        <is>
          <t>The certifying agency for EDIBLE product. For non-food tissue/organs, FSIS is generally NOT the relevant agency at all.</t>
        </is>
      </c>
    </row>
    <row r="17" ht="62" customHeight="1">
      <c r="A17" s="58" t="inlineStr">
        <is>
          <t>USDA APHIS Veterinary Services (VS)</t>
        </is>
      </c>
      <c r="B17" s="5" t="inlineStr">
        <is>
          <t>ANIMAL HEALTH + export certification for animals and animal products/byproducts — expressly incl. non-food tissue for technical/research/pharma use.</t>
        </is>
      </c>
      <c r="C17" s="5" t="inlineStr">
        <is>
          <t>THIS is the export pathway for your tissue. APHIS approves/lists the facility and endorses the per-shipment EU health certificate. Country rules live in IREGS.</t>
        </is>
      </c>
    </row>
    <row r="18" ht="62" customHeight="1">
      <c r="A18" s="58" t="inlineStr">
        <is>
          <t>State meat inspection</t>
        </is>
      </c>
      <c r="B18" s="5" t="inlineStr">
        <is>
          <t>Food safety, run by a state, 'at least equal to' FSIS. Edible product usually can't cross state lines.</t>
        </is>
      </c>
      <c r="C18" s="5" t="inlineStr">
        <is>
          <t>A state-inspected plant (e.g. Nahunta) is NOT disqualified from the APHIS byproduct export pathway — that pathway is APHIS's, not FSIS's. This reconciles 'Nahunta is special on certs' with 'Nahunta is state-inspected.'</t>
        </is>
      </c>
    </row>
    <row r="20" ht="20" customHeight="1">
      <c r="A20" s="43" t="inlineStr">
        <is>
          <t>WHAT THE EU ACTUALLY REQUIRES  (the practical spine)</t>
        </is>
      </c>
    </row>
    <row r="21" ht="48" customHeight="1">
      <c r="A21" s="4" t="inlineStr">
        <is>
          <t>Governing law</t>
        </is>
      </c>
      <c r="B21" s="5" t="inlineStr">
        <is>
          <t>Regulation (EC) No 1069/2009 (the parent 'animal by-products' regulation — health rules for animal by-products NOT for human consumption) + Commission Regulation (EU) No 142/2011 (the implementing rules: categories, permitted uses, import conditions, model health certificates).</t>
        </is>
      </c>
      <c r="C21" s="64" t="n"/>
    </row>
    <row r="22" ht="60" customHeight="1">
      <c r="A22" s="4" t="inlineStr">
        <is>
          <t>Category &amp; use</t>
        </is>
      </c>
      <c r="B22" s="5" t="inlineStr">
        <is>
          <t>Porcine slaughter byproducts for technical/research/manufacturing use are typically CATEGORY 3 (lowest risk) — but classification is use-dependent, so confirm it. Common CN codes 0511 91 / 0511 99 / 3001. 142/2011 has special rules for research/diagnostic samples (Art. 11) and an 'Intermediate Products – Chapter 20' pathway for material used to manufacture medicinal products / medical devices.</t>
        </is>
      </c>
      <c r="C22" s="64" t="n"/>
    </row>
    <row r="23" ht="18" customHeight="1">
      <c r="A23" s="10" t="inlineStr">
        <is>
          <t>The four-step import spine</t>
        </is>
      </c>
      <c r="B23" s="65" t="n"/>
      <c r="C23" s="64" t="n"/>
    </row>
    <row r="24" ht="26" customHeight="1">
      <c r="A24" s="5" t="inlineStr">
        <is>
          <t>•  1. APPROVED THIRD COUNTRY — the US must be listed for that ABP category (country lists in Annex XIV of Reg (EU) 142/2011, amended e.g. by Reg (EU) 2022/384). The US is listed for many ABP categories.</t>
        </is>
      </c>
      <c r="B24" s="65" t="n"/>
      <c r="C24" s="64" t="n"/>
    </row>
    <row r="25" ht="36" customHeight="1">
      <c r="A25" s="5" t="inlineStr">
        <is>
          <t>•  2. LISTED ESTABLISHMENT — the origin plant must be APHIS-approved and appear on the EU TRACES establishment list for the category. (APHIS: 'Facilities must be listed by APHIS in compliance with Reg (EU) 142/2011 to export.')</t>
        </is>
      </c>
      <c r="B25" s="65" t="n"/>
      <c r="C25" s="64" t="n"/>
    </row>
    <row r="26" ht="26" customHeight="1">
      <c r="A26" s="5" t="inlineStr">
        <is>
          <t>•  3. ENDORSED HEALTH CERTIFICATE — a model veterinary health certificate (matching the category/use, from the 142/2011 annexes) accompanies the consignment, endorsed by APHIS Veterinary Services.</t>
        </is>
      </c>
      <c r="B26" s="65" t="n"/>
      <c r="C26" s="64" t="n"/>
    </row>
    <row r="27" ht="26" customHeight="1">
      <c r="A27" s="5" t="inlineStr">
        <is>
          <t>•  4. BORDER ENTRY via TRACES — entry through an EU Border Control Post with prior notification in TRACES (the CHED). APHIS endorses the certificate but does NOT prepare the EU entry document — that is the importer's side.</t>
        </is>
      </c>
      <c r="B27" s="65" t="n"/>
      <c r="C27" s="64" t="n"/>
    </row>
    <row r="28" ht="30" customHeight="1">
      <c r="A28" s="4" t="inlineStr">
        <is>
          <t>Documentation flow</t>
        </is>
      </c>
      <c r="B28" s="5" t="inlineStr">
        <is>
          <t>Slaughterhouse → exporter (facility listing status, species/origin, inspection records, traceability) → APHIS endorses the certificate → EU importer lodges the CHED in TRACES.</t>
        </is>
      </c>
      <c r="C28" s="64" t="n"/>
    </row>
    <row r="29" ht="20" customHeight="1">
      <c r="A29" s="43" t="inlineStr">
        <is>
          <t>MEDICAL-DEVICE ANGLE  (only if the end product is actually a device)</t>
        </is>
      </c>
    </row>
    <row r="30" ht="48" customHeight="1">
      <c r="A30" s="5" t="inlineStr">
        <is>
          <t>•  A surgical-training / anatomical 'model' is OFTEN NOT a medical device (not intended to diagnose/treat a patient). If so, MDR does not apply — but the tissue is still an animal by-product, so the ABP rules above still govern EU entry. Whether a given 'model' is a device is a classification call for a regulatory specialist / notified body.</t>
        </is>
      </c>
      <c r="B30" s="65" t="n"/>
      <c r="C30" s="64" t="n"/>
    </row>
    <row r="31" ht="26" customHeight="1">
      <c r="A31" s="5" t="inlineStr">
        <is>
          <t>•  If it IS a device: Regulation (EU) 2017/745 (MDR), Annex I GSPR 13.1 governs devices manufactured using animal tissue.</t>
        </is>
      </c>
      <c r="B31" s="65" t="n"/>
      <c r="C31" s="64" t="n"/>
    </row>
    <row r="32" ht="36" customHeight="1">
      <c r="A32" s="5" t="inlineStr">
        <is>
          <t>•  KEY: Regulation (EU) No 722/2012 (the special TSE regime) does NOT cover porcine — it is limited to bovine, ovine, caprine, deer, elk, mink and cats. So porcine devices sit under MDR's GENERAL animal-origin requirements (13.1), NOT the 722/2012 procedure.</t>
        </is>
      </c>
      <c r="B32" s="65" t="n"/>
      <c r="C32" s="64" t="n"/>
    </row>
    <row r="33" ht="48" customHeight="1">
      <c r="A33" s="5" t="inlineStr">
        <is>
          <t>•  MDR 13.1 expectations (good practice for porcine too): animals subject to veterinary controls adapted to intended use; retain geographical-origin records; sourcing/processing/testing to the ISO 22442 series; source from healthy animals fit for human consumption, EXCLUDING fallen stock, emergency-slaughtered, and diseased animals.</t>
        </is>
      </c>
      <c r="B33" s="65" t="n"/>
      <c r="C33" s="64" t="n"/>
    </row>
    <row r="34" ht="20" customHeight="1">
      <c r="A34" s="43" t="inlineStr">
        <is>
          <t>DOES THE SUPPLIER NEED 'APHIS CERTIFICATION'?  (direct answer)</t>
        </is>
      </c>
    </row>
    <row r="35" ht="36" customHeight="1">
      <c r="A35" s="5" t="inlineStr">
        <is>
          <t>•  'APHIS certification' is not one credential on the wall — it is a SYSTEM: (i) APHIS approves/lists a specific facility for a specific export certificate/category, and (ii) APHIS VS endorses the actual health certificate per shipment.</t>
        </is>
      </c>
      <c r="B35" s="65" t="n"/>
      <c r="C35" s="64" t="n"/>
    </row>
    <row r="36" ht="48" customHeight="1">
      <c r="A36" s="5" t="inlineStr">
        <is>
          <t>•  WHO NEEDS WHAT: the EXPORTER (your company) obtains and presents the APHIS-endorsed health certificate. But for APHIS to endorse it and the EU to accept the consignment, the SOURCE establishment usually must be APHIS-approved and on the EU/TRACES list for that category. So the supplier DOES need an eligibility/listing status — the grain of truth in what you were told.</t>
        </is>
      </c>
      <c r="B36" s="65" t="n"/>
      <c r="C36" s="64" t="n"/>
    </row>
    <row r="37" ht="60" customHeight="1">
      <c r="A37" s="5" t="inlineStr">
        <is>
          <t>•  A small, humane, STATE-inspected family plant that has never exported will NOT have this yet and must apply — via APHIS VS Field Operations / Veterinary Export Trade Services — and get placed on the EU TRACES list. Confirm with APHIS whether the plant's state-inspection status is acceptable for the EXACT certificate you'll use (some certs require ante-/post-mortem inspection or 'fit for human consumption'; state inspection typically satisfies this, but the certificate wording controls).</t>
        </is>
      </c>
      <c r="B37" s="65" t="n"/>
      <c r="C37" s="64" t="n"/>
    </row>
    <row r="39" ht="20" customHeight="1">
      <c r="A39" s="43" t="inlineStr">
        <is>
          <t>SUPPLIER CHECKLIST — require in writing (also in the Call Question Sheet, section G)</t>
        </is>
      </c>
    </row>
    <row r="40" ht="36" customHeight="1">
      <c r="A40" s="59" t="n">
        <v>1</v>
      </c>
      <c r="B40" s="5" t="inlineStr">
        <is>
          <t>APHIS export eligibility / facility approval — is the establishment already APHIS-approved and on the EU TRACES establishment list for the relevant ABP category? If not, willing to apply via APHIS VS?</t>
        </is>
      </c>
      <c r="C40" s="64" t="n"/>
    </row>
    <row r="41" ht="36" customHeight="1">
      <c r="A41" s="59" t="n">
        <v>2</v>
      </c>
      <c r="B41" s="5" t="inlineStr">
        <is>
          <t>Inspection status — USDA-FSIS or state-inspected? Can it document ante-mortem AND post-mortem veterinary inspection of the source animals? (Needed for many EU certificates and for MDR 13.1.)</t>
        </is>
      </c>
      <c r="C41" s="64" t="n"/>
    </row>
    <row r="42" ht="36" customHeight="1">
      <c r="A42" s="59" t="n">
        <v>3</v>
      </c>
      <c r="B42" s="5" t="inlineStr">
        <is>
          <t>Veterinary health certificates / affidavits — can it supply the source declarations/affidavits APHIS VS needs to endorse the EU model health certificate, and per-lot documentation?</t>
        </is>
      </c>
      <c r="C42" s="64" t="n"/>
    </row>
    <row r="43" ht="36" customHeight="1">
      <c r="A43" s="59" t="n">
        <v>4</v>
      </c>
      <c r="B43" s="5" t="inlineStr">
        <is>
          <t>Species, herd health &amp; country/region of origin — porcine only; US origin; herd-health assurances; animals healthy and fit for human consumption, with fallen stock / emergency-slaughtered / diseased animals excluded.</t>
        </is>
      </c>
      <c r="C43" s="64" t="n"/>
    </row>
    <row r="44" ht="36" customHeight="1">
      <c r="A44" s="59" t="n">
        <v>5</v>
      </c>
      <c r="B44" s="5" t="inlineStr">
        <is>
          <t>Traceability — lot-level traceability from live animal → tissue → shipment, and retention of geographical-origin records (required under MDR Annex I 13.1 if the end product is a device).</t>
        </is>
      </c>
      <c r="C44" s="64" t="n"/>
    </row>
    <row r="45" ht="36" customHeight="1">
      <c r="A45" s="59" t="n">
        <v>6</v>
      </c>
      <c r="B45" s="5" t="inlineStr">
        <is>
          <t>Records retention &amp; audit access — inspection, sourcing, and lot records; willingness to support APHIS facility audits and (if a device) notified-body / ISO 22442 documentation requests.</t>
        </is>
      </c>
      <c r="C45" s="64" t="n"/>
    </row>
    <row r="46" ht="36" customHeight="1">
      <c r="A46" s="59" t="n">
        <v>7</v>
      </c>
      <c r="B46" s="5" t="inlineStr">
        <is>
          <t>Category/use agreement — align on the ABP category (likely Cat 3) and intended use so the correct 142/2011 model certificate (research/diagnostic sample, commercial sample, technical product, or intermediate-product Chapter 20) can be identified.</t>
        </is>
      </c>
      <c r="C46" s="64" t="n"/>
    </row>
    <row r="48" ht="20" customHeight="1">
      <c r="A48" s="43" t="inlineStr">
        <is>
          <t>WHO TO LOOP IN  (this tab is orientation, not final legal advice)</t>
        </is>
      </c>
    </row>
    <row r="49" ht="26" customHeight="1">
      <c r="A49" s="5" t="inlineStr">
        <is>
          <t>•  APHIS VS Field Operations / Veterinary Export Trade Services — the authority on facility listing and which EU certificate applies to your exact product; they endorse the certificate.</t>
        </is>
      </c>
      <c r="B49" s="65" t="n"/>
      <c r="C49" s="64" t="n"/>
    </row>
    <row r="50" ht="26" customHeight="1">
      <c r="A50" s="5" t="inlineStr">
        <is>
          <t>•  Your EU importer — lodges the TRACES/CHED entry and knows the receiving Member State's border-control expectations.</t>
        </is>
      </c>
      <c r="B50" s="65" t="n"/>
      <c r="C50" s="64" t="n"/>
    </row>
    <row r="51" ht="26" customHeight="1">
      <c r="A51" s="5" t="inlineStr">
        <is>
          <t>•  A customs / regulatory specialist — to fix the ABP category, CN code, and correct 142/2011 model certificate per product line.</t>
        </is>
      </c>
      <c r="B51" s="65" t="n"/>
      <c r="C51" s="64" t="n"/>
    </row>
    <row r="52" ht="26" customHeight="1">
      <c r="A52" s="5" t="inlineStr">
        <is>
          <t>•  A notified body — only if any product is actually a medical device (MDR Annex I 13.1; porcine is outside 722/2012 but still scrutinized).</t>
        </is>
      </c>
      <c r="B52" s="65" t="n"/>
      <c r="C52" s="64" t="n"/>
    </row>
    <row r="54" ht="20" customHeight="1">
      <c r="A54" s="43" t="inlineStr">
        <is>
          <t>KEY SOURCES</t>
        </is>
      </c>
    </row>
    <row r="55" ht="24" customHeight="1">
      <c r="A55" s="60" t="inlineStr">
        <is>
          <t>•  APHIS — International Animal Product Export Regulations (IREGS): aphis.usda.gov/animal-product-export/international-animal-product-export-regulations</t>
        </is>
      </c>
      <c r="B55" s="65" t="n"/>
      <c r="C55" s="64" t="n"/>
    </row>
    <row r="56" ht="24" customHeight="1">
      <c r="A56" s="60" t="inlineStr">
        <is>
          <t>•  APHIS — Export Animal Products to the EU: aphis.usda.gov/animal-product-export/export-animal-products-european-union</t>
        </is>
      </c>
      <c r="B56" s="65" t="n"/>
      <c r="C56" s="64" t="n"/>
    </row>
    <row r="57" ht="24" customHeight="1">
      <c r="A57" s="60" t="inlineStr">
        <is>
          <t>•  EU ABP — Reg (EC) 1069/2009 (EUR-Lex summary) &amp; Reg (EU) 142/2011 (legislation.gov.uk consolidated); country lists Annex XIV via Reg (EU) 2022/384</t>
        </is>
      </c>
      <c r="B57" s="65" t="n"/>
      <c r="C57" s="64" t="n"/>
    </row>
    <row r="58" ht="24" customHeight="1">
      <c r="A58" s="60" t="inlineStr">
        <is>
          <t>•  EU devices — MDR (EU) 2017/745 (EUR-Lex); Reg (EU) 722/2012 (legislation.gov.uk) — porcine NOT covered; ISO 22442 series (industry practice)</t>
        </is>
      </c>
      <c r="B58" s="65" t="n"/>
      <c r="C58" s="64" t="n"/>
    </row>
    <row r="59" ht="24" customHeight="1">
      <c r="A59" s="60" t="inlineStr">
        <is>
          <t>•  USDA-EU approved U.S. establishments: usda-eu.org/import-controls/approved-u-s-establishments  ·  Third-country establishment lists explained: agrinfo.eu</t>
        </is>
      </c>
      <c r="B59" s="65" t="n"/>
      <c r="C59" s="64" t="n"/>
    </row>
  </sheetData>
  <mergeCells count="48">
    <mergeCell ref="A25:C25"/>
    <mergeCell ref="A37:C37"/>
    <mergeCell ref="B46:C46"/>
    <mergeCell ref="A56:C56"/>
    <mergeCell ref="B22:C22"/>
    <mergeCell ref="A27:C27"/>
    <mergeCell ref="A55:C55"/>
    <mergeCell ref="A50:C50"/>
    <mergeCell ref="A57:C57"/>
    <mergeCell ref="A26:C26"/>
    <mergeCell ref="A2:C2"/>
    <mergeCell ref="B43:C43"/>
    <mergeCell ref="B12:C12"/>
    <mergeCell ref="B21:C21"/>
    <mergeCell ref="A33:C33"/>
    <mergeCell ref="B11:C11"/>
    <mergeCell ref="A23:C23"/>
    <mergeCell ref="A32:C32"/>
    <mergeCell ref="A14:C14"/>
    <mergeCell ref="B42:C42"/>
    <mergeCell ref="A29:C29"/>
    <mergeCell ref="A4:C4"/>
    <mergeCell ref="B8:C8"/>
    <mergeCell ref="A20:C20"/>
    <mergeCell ref="A35:C35"/>
    <mergeCell ref="A52:C52"/>
    <mergeCell ref="B44:C44"/>
    <mergeCell ref="A31:C31"/>
    <mergeCell ref="B10:C10"/>
    <mergeCell ref="B28:C28"/>
    <mergeCell ref="A58:C58"/>
    <mergeCell ref="A30:C30"/>
    <mergeCell ref="A39:C39"/>
    <mergeCell ref="A34:C34"/>
    <mergeCell ref="B9:C9"/>
    <mergeCell ref="B40:C40"/>
    <mergeCell ref="A48:C48"/>
    <mergeCell ref="A59:C59"/>
    <mergeCell ref="A24:C24"/>
    <mergeCell ref="A51:C51"/>
    <mergeCell ref="A36:C36"/>
    <mergeCell ref="A49:C49"/>
    <mergeCell ref="A1:C1"/>
    <mergeCell ref="A6:C6"/>
    <mergeCell ref="B45:C45"/>
    <mergeCell ref="B41:C41"/>
    <mergeCell ref="A7:C7"/>
    <mergeCell ref="A54:C5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52"/>
  <sheetViews>
    <sheetView showGridLines="0" workbookViewId="0">
      <selection activeCell="A1" sqref="A1"/>
    </sheetView>
  </sheetViews>
  <sheetFormatPr baseColWidth="8" defaultRowHeight="15"/>
  <cols>
    <col width="5" customWidth="1" min="1" max="1"/>
    <col width="78" customWidth="1" min="2" max="2"/>
    <col width="40" customWidth="1" min="3" max="3"/>
  </cols>
  <sheetData>
    <row r="1" ht="26" customHeight="1">
      <c r="A1" s="1" t="inlineStr">
        <is>
          <t>Slaughterhouse Outreach — Call Agenda &amp; Question Sheet</t>
        </is>
      </c>
    </row>
    <row r="2" ht="30" customHeight="1">
      <c r="A2" s="2" t="inlineStr">
        <is>
          <t>One sheet per plant. Fill the YELLOW answer cells on the call, then transfer key data to the roster. Mirror of the CJB agenda style.</t>
        </is>
      </c>
    </row>
    <row r="4" ht="20" customHeight="1">
      <c r="A4" s="58" t="inlineStr"/>
      <c r="B4" s="4" t="inlineStr">
        <is>
          <t>Plant / contact</t>
        </is>
      </c>
      <c r="C4" s="8" t="inlineStr"/>
    </row>
    <row r="5" ht="20" customHeight="1">
      <c r="A5" s="58" t="inlineStr"/>
      <c r="B5" s="4" t="inlineStr">
        <is>
          <t>Phone / email</t>
        </is>
      </c>
      <c r="C5" s="8" t="inlineStr"/>
    </row>
    <row r="6" ht="20" customHeight="1">
      <c r="A6" s="58" t="inlineStr"/>
      <c r="B6" s="4" t="inlineStr">
        <is>
          <t>Date of call / caller</t>
        </is>
      </c>
      <c r="C6" s="8" t="inlineStr"/>
    </row>
    <row r="8" ht="20" customHeight="1">
      <c r="A8" s="43" t="inlineStr">
        <is>
          <t>A. HARD GATE — volume &amp; species</t>
        </is>
      </c>
    </row>
    <row r="9" ht="18" customHeight="1">
      <c r="A9" s="54" t="inlineStr">
        <is>
          <t>#</t>
        </is>
      </c>
      <c r="B9" s="54" t="inlineStr">
        <is>
          <t>Question</t>
        </is>
      </c>
      <c r="C9" s="54" t="inlineStr">
        <is>
          <t>Answer / Notes</t>
        </is>
      </c>
    </row>
    <row r="10" ht="30" customHeight="1">
      <c r="A10" s="61" t="n">
        <v>1</v>
      </c>
      <c r="B10" s="5" t="inlineStr">
        <is>
          <t>Do you slaughter HOGS (swine)?  Beef/other only?</t>
        </is>
      </c>
      <c r="C10" s="8" t="inlineStr"/>
    </row>
    <row r="11" ht="30" customHeight="1">
      <c r="A11" s="61" t="n">
        <v>2</v>
      </c>
      <c r="B11" s="5" t="inlineStr">
        <is>
          <t>How many hogs per WEEK do you kill (range across the year)?  Head/day x days?</t>
        </is>
      </c>
      <c r="C11" s="8" t="inlineStr"/>
    </row>
    <row r="12" ht="30" customHeight="1">
      <c r="A12" s="61" t="n">
        <v>3</v>
      </c>
      <c r="B12" s="5" t="inlineStr">
        <is>
          <t>Is that steady year-round, or seasonal? Any capacity to add head for us?</t>
        </is>
      </c>
      <c r="C12" s="8" t="inlineStr"/>
    </row>
    <row r="14" ht="20" customHeight="1">
      <c r="A14" s="43" t="inlineStr">
        <is>
          <t>B. Inspection &amp; certification</t>
        </is>
      </c>
    </row>
    <row r="15" ht="18" customHeight="1">
      <c r="A15" s="54" t="inlineStr">
        <is>
          <t>#</t>
        </is>
      </c>
      <c r="B15" s="54" t="inlineStr">
        <is>
          <t>Question</t>
        </is>
      </c>
      <c r="C15" s="54" t="inlineStr">
        <is>
          <t>Answer / Notes</t>
        </is>
      </c>
    </row>
    <row r="16" ht="30" customHeight="1">
      <c r="A16" s="61" t="n">
        <v>1</v>
      </c>
      <c r="B16" s="5" t="inlineStr">
        <is>
          <t>USDA-inspected (FSIS grant of inspection)?  Establishment number?</t>
        </is>
      </c>
      <c r="C16" s="8" t="inlineStr"/>
    </row>
    <row r="17" ht="30" customHeight="1">
      <c r="A17" s="61" t="n">
        <v>2</v>
      </c>
      <c r="B17" s="5" t="inlineStr">
        <is>
          <t>Or state-inspected?  Or custom-exempt?  (We need to know which.)</t>
        </is>
      </c>
      <c r="C17" s="8" t="inlineStr"/>
    </row>
    <row r="18" ht="30" customHeight="1">
      <c r="A18" s="61" t="n">
        <v>3</v>
      </c>
      <c r="B18" s="5" t="inlineStr">
        <is>
          <t>APHIS certification / any export or animal-health program status?</t>
        </is>
      </c>
      <c r="C18" s="8" t="inlineStr"/>
    </row>
    <row r="19" ht="30" customHeight="1">
      <c r="A19" s="61" t="n">
        <v>4</v>
      </c>
      <c r="B19" s="5" t="inlineStr">
        <is>
          <t>Any recent NRs / recalls / humane-handling actions we should know about?</t>
        </is>
      </c>
      <c r="C19" s="8" t="inlineStr"/>
    </row>
    <row r="21" ht="20" customHeight="1">
      <c r="A21" s="43" t="inlineStr">
        <is>
          <t>C. Tissue &amp; organ harvesting</t>
        </is>
      </c>
    </row>
    <row r="22" ht="18" customHeight="1">
      <c r="A22" s="54" t="inlineStr">
        <is>
          <t>#</t>
        </is>
      </c>
      <c r="B22" s="54" t="inlineStr">
        <is>
          <t>Question</t>
        </is>
      </c>
      <c r="C22" s="54" t="inlineStr">
        <is>
          <t>Answer / Notes</t>
        </is>
      </c>
    </row>
    <row r="23" ht="30" customHeight="1">
      <c r="A23" s="61" t="n">
        <v>1</v>
      </c>
      <c r="B23" s="5" t="inlineStr">
        <is>
          <t>Can we obtain pelvic / abdominal(bariatric) / thoracic tissue blocks — with the organs?</t>
        </is>
      </c>
      <c r="C23" s="8" t="inlineStr"/>
    </row>
    <row r="24" ht="30" customHeight="1">
      <c r="A24" s="61" t="n">
        <v>2</v>
      </c>
      <c r="B24" s="5" t="inlineStr">
        <is>
          <t>Which specific organs are currently saved vs. sent to rendering?</t>
        </is>
      </c>
      <c r="C24" s="8" t="inlineStr"/>
    </row>
    <row r="25" ht="30" customHeight="1">
      <c r="A25" s="61" t="n">
        <v>3</v>
      </c>
      <c r="B25" s="5" t="inlineStr">
        <is>
          <t>Any existing organ/tissue/biologics harvesting program? For whom?</t>
        </is>
      </c>
      <c r="C25" s="8" t="inlineStr"/>
    </row>
    <row r="26" ht="30" customHeight="1">
      <c r="A26" s="61" t="n">
        <v>4</v>
      </c>
      <c r="B26" s="5" t="inlineStr">
        <is>
          <t>Cooler/hanging space and time-to-chill after kill? (freshness/ischemia window)</t>
        </is>
      </c>
      <c r="C26" s="8" t="inlineStr"/>
    </row>
    <row r="28" ht="20" customHeight="1">
      <c r="A28" s="43" t="inlineStr">
        <is>
          <t>D. Operating model fit</t>
        </is>
      </c>
    </row>
    <row r="29" ht="18" customHeight="1">
      <c r="A29" s="54" t="inlineStr">
        <is>
          <t>#</t>
        </is>
      </c>
      <c r="B29" s="54" t="inlineStr">
        <is>
          <t>Question</t>
        </is>
      </c>
      <c r="C29" s="54" t="inlineStr">
        <is>
          <t>Answer / Notes</t>
        </is>
      </c>
    </row>
    <row r="30" ht="30" customHeight="1">
      <c r="A30" s="61" t="n">
        <v>1</v>
      </c>
      <c r="B30" s="5" t="inlineStr">
        <is>
          <t>MODEL A: Would you rent us line/floor access + cooler space so OUR harvesters collect on-site? Scheduling around the kill?</t>
        </is>
      </c>
      <c r="C30" s="8" t="inlineStr"/>
    </row>
    <row r="31" ht="30" customHeight="1">
      <c r="A31" s="61" t="n">
        <v>2</v>
      </c>
      <c r="B31" s="5" t="inlineStr">
        <is>
          <t>MODEL B: Would YOUR crew harvest to our protocol if we send trainers/inspectors? Willing to be audited?</t>
        </is>
      </c>
      <c r="C31" s="8" t="inlineStr"/>
    </row>
    <row r="32" ht="30" customHeight="1">
      <c r="A32" s="61" t="n">
        <v>3</v>
      </c>
      <c r="B32" s="5" t="inlineStr">
        <is>
          <t>Space, PPE, biosecurity, and scheduling constraints for either model?</t>
        </is>
      </c>
      <c r="C32" s="8" t="inlineStr"/>
    </row>
    <row r="34" ht="20" customHeight="1">
      <c r="A34" s="43" t="inlineStr">
        <is>
          <t>E. Culture &amp; workforce (the Nahunta test)</t>
        </is>
      </c>
    </row>
    <row r="35" ht="18" customHeight="1">
      <c r="A35" s="54" t="inlineStr">
        <is>
          <t>#</t>
        </is>
      </c>
      <c r="B35" s="54" t="inlineStr">
        <is>
          <t>Question</t>
        </is>
      </c>
      <c r="C35" s="54" t="inlineStr">
        <is>
          <t>Answer / Notes</t>
        </is>
      </c>
    </row>
    <row r="36" ht="30" customHeight="1">
      <c r="A36" s="61" t="n">
        <v>1</v>
      </c>
      <c r="B36" s="5" t="inlineStr">
        <is>
          <t>How long have your line/kill-floor staff been with you (tenure)?</t>
        </is>
      </c>
      <c r="C36" s="8" t="inlineStr"/>
    </row>
    <row r="37" ht="30" customHeight="1">
      <c r="A37" s="61" t="n">
        <v>2</v>
      </c>
      <c r="B37" s="5" t="inlineStr">
        <is>
          <t>Family-owned? How do you handle animal welfare &amp; humane handling?</t>
        </is>
      </c>
      <c r="C37" s="8" t="inlineStr"/>
    </row>
    <row r="38" ht="30" customHeight="1">
      <c r="A38" s="61" t="n">
        <v>3</v>
      </c>
      <c r="B38" s="5" t="inlineStr">
        <is>
          <t>When we've had quality issues elsewhere it was hard to resolve — how do you handle a quality complaint?</t>
        </is>
      </c>
      <c r="C38" s="8" t="inlineStr"/>
    </row>
    <row r="40" ht="20" customHeight="1">
      <c r="A40" s="43" t="inlineStr">
        <is>
          <t>F. Commercial</t>
        </is>
      </c>
    </row>
    <row r="41" ht="18" customHeight="1">
      <c r="A41" s="54" t="inlineStr">
        <is>
          <t>#</t>
        </is>
      </c>
      <c r="B41" s="54" t="inlineStr">
        <is>
          <t>Question</t>
        </is>
      </c>
      <c r="C41" s="54" t="inlineStr">
        <is>
          <t>Answer / Notes</t>
        </is>
      </c>
    </row>
    <row r="42" ht="30" customHeight="1">
      <c r="A42" s="61" t="n">
        <v>1</v>
      </c>
      <c r="B42" s="5" t="inlineStr">
        <is>
          <t>Pricing: per-visit access/rental (Model A) or per-piece harvest fee (Model B)?</t>
        </is>
      </c>
      <c r="C42" s="8" t="inlineStr"/>
    </row>
    <row r="43" ht="30" customHeight="1">
      <c r="A43" s="61" t="n">
        <v>2</v>
      </c>
      <c r="B43" s="5" t="inlineStr">
        <is>
          <t>Minimums, lead time, and how far ahead we must schedule?</t>
        </is>
      </c>
      <c r="C43" s="8" t="inlineStr"/>
    </row>
    <row r="44" ht="30" customHeight="1">
      <c r="A44" s="61" t="n">
        <v>3</v>
      </c>
      <c r="B44" s="5" t="inlineStr">
        <is>
          <t>NDA needed before we share our harvesting protocol?</t>
        </is>
      </c>
      <c r="C44" s="8" t="inlineStr"/>
    </row>
    <row r="46" ht="20" customHeight="1">
      <c r="A46" s="43" t="inlineStr">
        <is>
          <t>G. EU-EXPORT ELIGIBILITY — APHIS / animal by-products (ask if models go to Europe)</t>
        </is>
      </c>
    </row>
    <row r="47" ht="18" customHeight="1">
      <c r="A47" s="54" t="inlineStr">
        <is>
          <t>#</t>
        </is>
      </c>
      <c r="B47" s="54" t="inlineStr">
        <is>
          <t>Question</t>
        </is>
      </c>
      <c r="C47" s="54" t="inlineStr">
        <is>
          <t>Answer / Notes</t>
        </is>
      </c>
    </row>
    <row r="48" ht="30" customHeight="1">
      <c r="A48" s="61" t="n">
        <v>1</v>
      </c>
      <c r="B48" s="5" t="inlineStr">
        <is>
          <t>Are you already APHIS-approved and on the EU TRACES establishment list for animal-byproduct export? If not, willing to apply via APHIS VS?</t>
        </is>
      </c>
      <c r="C48" s="8" t="inlineStr"/>
    </row>
    <row r="49" ht="30" customHeight="1">
      <c r="A49" s="61" t="n">
        <v>2</v>
      </c>
      <c r="B49" s="5" t="inlineStr">
        <is>
          <t>Can you document ante-mortem AND post-mortem veterinary inspection of the animals?</t>
        </is>
      </c>
      <c r="C49" s="8" t="inlineStr"/>
    </row>
    <row r="50" ht="30" customHeight="1">
      <c r="A50" s="61" t="n">
        <v>3</v>
      </c>
      <c r="B50" s="5" t="inlineStr">
        <is>
          <t>Can you provide the source declarations/affidavits APHIS needs to endorse an EU health certificate, with per-lot documentation?</t>
        </is>
      </c>
      <c r="C50" s="8" t="inlineStr"/>
    </row>
    <row r="51" ht="30" customHeight="1">
      <c r="A51" s="61" t="n">
        <v>4</v>
      </c>
      <c r="B51" s="5" t="inlineStr">
        <is>
          <t>Lot-level traceability (live animal -&gt; tissue -&gt; shipment) and geographical-origin records retained?</t>
        </is>
      </c>
      <c r="C51" s="8" t="inlineStr"/>
    </row>
    <row r="52" ht="30" customHeight="1">
      <c r="A52" s="61" t="n">
        <v>5</v>
      </c>
      <c r="B52" s="5" t="inlineStr">
        <is>
          <t>Willing to support APHIS facility audits and (if a device) notified-body / ISO 22442 documentation?</t>
        </is>
      </c>
      <c r="C52" s="8" t="inlineStr"/>
    </row>
  </sheetData>
  <mergeCells count="9">
    <mergeCell ref="A28:C28"/>
    <mergeCell ref="A1:C1"/>
    <mergeCell ref="A46:C46"/>
    <mergeCell ref="A14:C14"/>
    <mergeCell ref="A8:C8"/>
    <mergeCell ref="A40:C40"/>
    <mergeCell ref="A21:C21"/>
    <mergeCell ref="A34:C34"/>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0" customWidth="1" min="1" max="1"/>
    <col width="52" customWidth="1" min="2" max="2"/>
    <col width="13" customWidth="1" min="3" max="3"/>
    <col width="60" customWidth="1" min="4" max="4"/>
  </cols>
  <sheetData>
    <row r="1" ht="26" customHeight="1">
      <c r="A1" s="1" t="inlineStr">
        <is>
          <t>Sources &amp; Confidence</t>
        </is>
      </c>
    </row>
    <row r="2" ht="30" customHeight="1">
      <c r="A2" s="2" t="inlineStr">
        <is>
          <t>Where each class of fact came from, and how much to trust it before acting. Verify volumes/certs by phone.</t>
        </is>
      </c>
    </row>
    <row r="4" ht="20" customHeight="1">
      <c r="A4" s="54" t="inlineStr">
        <is>
          <t>Topic / entity</t>
        </is>
      </c>
      <c r="B4" s="54" t="inlineStr">
        <is>
          <t>Source</t>
        </is>
      </c>
      <c r="C4" s="54" t="inlineStr">
        <is>
          <t>Confidence</t>
        </is>
      </c>
      <c r="D4" s="54" t="inlineStr">
        <is>
          <t>Note</t>
        </is>
      </c>
    </row>
    <row r="5" ht="34" customHeight="1">
      <c r="A5" s="7" t="inlineStr">
        <is>
          <t>National vendor prices</t>
        </is>
      </c>
      <c r="B5" s="5" t="inlineStr">
        <is>
          <t>innov-research.com porcine product pages (heart/lung/kidney/bladder/liver/stomach/pelvic-block)</t>
        </is>
      </c>
      <c r="C5" s="62" t="inlineStr">
        <is>
          <t>High</t>
        </is>
      </c>
      <c r="D5" s="5" t="inlineStr">
        <is>
          <t>Only vendor with published per-organ list prices: from $141/organ, pelvic block from $582 (base configs).</t>
        </is>
      </c>
    </row>
    <row r="6" ht="34" customHeight="1">
      <c r="A6" s="7" t="inlineStr">
        <is>
          <t>Pel-Freez thyroid price</t>
        </is>
      </c>
      <c r="B6" s="5" t="inlineStr">
        <is>
          <t>pel-freez.com/pig-thyroid-59452</t>
        </is>
      </c>
      <c r="C6" s="62" t="inlineStr">
        <is>
          <t>High</t>
        </is>
      </c>
      <c r="D6" s="5" t="inlineStr">
        <is>
          <t>Porcine thyroid #59452 from $361; other porcine organ prices not individually verified.</t>
        </is>
      </c>
    </row>
    <row r="7" ht="34" customHeight="1">
      <c r="A7" s="7" t="inlineStr">
        <is>
          <t>Animal Technologies</t>
        </is>
      </c>
      <c r="B7" s="5" t="inlineStr">
        <is>
          <t>animaltechnologies.com/porcine</t>
        </is>
      </c>
      <c r="C7" s="62" t="inlineStr">
        <is>
          <t>High</t>
        </is>
      </c>
      <c r="D7" s="5" t="inlineStr">
        <is>
          <t>Broad catalog, plucks for training; prices quote-only.</t>
        </is>
      </c>
    </row>
    <row r="8" ht="34" customHeight="1">
      <c r="A8" s="7" t="inlineStr">
        <is>
          <t>Animal Biotech Industries</t>
        </is>
      </c>
      <c r="B8" s="5" t="inlineStr">
        <is>
          <t>animalbiotech.com/porcine-tissues</t>
        </is>
      </c>
      <c r="C8" s="62" t="inlineStr">
        <is>
          <t>High</t>
        </is>
      </c>
      <c r="D8" s="5" t="inlineStr">
        <is>
          <t>USDA-inspected sourcing; custom blocks; quote-only.</t>
        </is>
      </c>
    </row>
    <row r="9" ht="34" customHeight="1">
      <c r="A9" s="7" t="inlineStr">
        <is>
          <t>Tissue Source</t>
        </is>
      </c>
      <c r="B9" s="5" t="inlineStr">
        <is>
          <t>tissue-source.com</t>
        </is>
      </c>
      <c r="C9" s="62" t="inlineStr">
        <is>
          <t>High</t>
        </is>
      </c>
      <c r="D9" s="5" t="inlineStr">
        <is>
          <t>ISO 13485 + USDA Class A license — strongest QMS among vendors; quote-only.</t>
        </is>
      </c>
    </row>
    <row r="10" ht="34" customHeight="1">
      <c r="A10" s="7" t="inlineStr">
        <is>
          <t>Smithfield BioScience</t>
        </is>
      </c>
      <c r="B10" s="5" t="inlineStr">
        <is>
          <t>smithfieldbioscience.com/products/porcine</t>
        </is>
      </c>
      <c r="C10" s="62" t="inlineStr">
        <is>
          <t>High</t>
        </is>
      </c>
      <c r="D10" s="5" t="inlineStr">
        <is>
          <t>Packer-integrated; quote-only.</t>
        </is>
      </c>
    </row>
    <row r="11" ht="34" customHeight="1">
      <c r="A11" s="7" t="inlineStr">
        <is>
          <t>WG Biomedical</t>
        </is>
      </c>
      <c r="B11" s="5" t="inlineStr">
        <is>
          <t>wgbiomedical.com</t>
        </is>
      </c>
      <c r="C11" s="62" t="inlineStr">
        <is>
          <t>High</t>
        </is>
      </c>
      <c r="D11" s="5" t="inlineStr">
        <is>
          <t>Iowa; pig pluck &amp; surgical-training organs; quote-only.</t>
        </is>
      </c>
    </row>
    <row r="12" ht="34" customHeight="1">
      <c r="A12" s="7" t="inlineStr">
        <is>
          <t>LAMPIRE / BioChemed / BioIVT / Sierra / SSR / MRS</t>
        </is>
      </c>
      <c r="B12" s="5" t="inlineStr">
        <is>
          <t>respective vendor sites (see National tab)</t>
        </is>
      </c>
      <c r="C12" s="62" t="inlineStr">
        <is>
          <t>High</t>
        </is>
      </c>
      <c r="D12" s="5" t="inlineStr">
        <is>
          <t>All genuinely quote-only; no invented prices.</t>
        </is>
      </c>
    </row>
    <row r="13" ht="34" customHeight="1">
      <c r="A13" s="7" t="inlineStr">
        <is>
          <t>Cross-off leads</t>
        </is>
      </c>
      <c r="B13" s="5" t="inlineStr">
        <is>
          <t>premierbiosource.com; sciencecare.com; zivic listing</t>
        </is>
      </c>
      <c r="C13" s="62" t="inlineStr">
        <is>
          <t>High</t>
        </is>
      </c>
      <c r="D13" s="5" t="inlineStr">
        <is>
          <t>Premier=live swine; Science Care=human; Zivic=rodent — all out of scope as porcine tissue vendors.</t>
        </is>
      </c>
    </row>
    <row r="14" ht="34" customHeight="1">
      <c r="A14" s="7" t="inlineStr">
        <is>
          <t>NC plant directory</t>
        </is>
      </c>
      <c r="B14" s="5" t="inlineStr">
        <is>
          <t>NCDA&amp;CS Meat &amp; Poultry Inspection 'plants that slaughter for farmers' (via cefs.ncsu.edu PDF, dated Oct 2018); div. 919-707-3180</t>
        </is>
      </c>
      <c r="C14" s="63" t="inlineStr">
        <is>
          <t>Med</t>
        </is>
      </c>
      <c r="D14" s="5" t="inlineStr">
        <is>
          <t>Backbone of the NC list. Dated 2018 — confirm current operating status/volumes by phone. USDA-vs-state status verified only where noted.</t>
        </is>
      </c>
    </row>
    <row r="15" ht="34" customHeight="1">
      <c r="A15" s="7" t="inlineStr">
        <is>
          <t>Martin's Pork Products (incumbent)</t>
        </is>
      </c>
      <c r="B15" s="5" t="inlineStr">
        <is>
          <t>NCDA&amp;CS Talmadge-Aiken plant directory (Est. TA-6720); ncmpa.com; D&amp;B/Manta; martinspork.com</t>
        </is>
      </c>
      <c r="C15" s="62" t="inlineStr">
        <is>
          <t>High</t>
        </is>
      </c>
      <c r="D15" s="5" t="inlineStr">
        <is>
          <t>CORRECTED to Martin's Pork Products, Falcon NC — active USDA T-A slaughter+processing, ~75 staff, (910) 980-1501, beth@martinspork.com. Distinct from the closed Martin's Abattoir (Godwin, cattle, closed 2013).</t>
        </is>
      </c>
    </row>
    <row r="16" ht="34" customHeight="1">
      <c r="A16" s="7" t="inlineStr">
        <is>
          <t>Nahunta</t>
        </is>
      </c>
      <c r="B16" s="5" t="inlineStr">
        <is>
          <t>southernfoodways.org; nahuntapork.com; bitandgrain.com</t>
        </is>
      </c>
      <c r="C16" s="62" t="inlineStr">
        <is>
          <t>High</t>
        </is>
      </c>
      <c r="D16" s="5" t="inlineStr">
        <is>
          <t>Nahunta = NC STATE-inspected (not USDA-FSIS), ~150 hogs/day, 3rd-gen Pierce family.</t>
        </is>
      </c>
    </row>
    <row r="17" ht="34" customHeight="1">
      <c r="A17" s="7" t="inlineStr">
        <is>
          <t>SC facilities</t>
        </is>
      </c>
      <c r="B17" s="5" t="inlineStr">
        <is>
          <t>caughmans.com; knockoutbutchery.com; FSIS notice (Palmetto Fresh suspension); Clemson SCMPID lists (803-788-8747)</t>
        </is>
      </c>
      <c r="C17" s="63" t="inlineStr">
        <is>
          <t>Med</t>
        </is>
      </c>
      <c r="D17" s="5" t="inlineStr">
        <is>
          <t>Caughman's USDA + family verified; several SC 'deer &amp; hog' shops likely custom-exempt — flag. Palmetto Fresh slaughter suspended Feb 2022.</t>
        </is>
      </c>
    </row>
    <row r="18" ht="34" customHeight="1">
      <c r="A18" s="7" t="inlineStr">
        <is>
          <t>TN facilities</t>
        </is>
      </c>
      <c r="B18" s="5" t="inlineStr">
        <is>
          <t>UT Center for Profitable Agriculture USDA-processor list (cpa.tennessee.edu); company sites</t>
        </is>
      </c>
      <c r="C18" s="63" t="inlineStr">
        <is>
          <t>Med</t>
        </is>
      </c>
      <c r="D18" s="5" t="inlineStr">
        <is>
          <t>13 USDA hog-slaughter shops listed. Cherry Meat ~80 hogs/month verified. Most well under a few hundred/wk — confirm.</t>
        </is>
      </c>
    </row>
    <row r="19" ht="34" customHeight="1">
      <c r="A19" s="7" t="inlineStr">
        <is>
          <t>VA facilities</t>
        </is>
      </c>
      <c r="B19" s="5" t="inlineStr">
        <is>
          <t>ecofriendly.com; temeats.com; blueridgemeats.com; FSIS listing (Fauquier's); VDACS (omps@vdacs.virginia.gov, 804-786-4569); vabeef.org</t>
        </is>
      </c>
      <c r="C19" s="62" t="inlineStr">
        <is>
          <t>High</t>
        </is>
      </c>
      <c r="D19" s="5" t="inlineStr">
        <is>
          <t>EcoFriendly Certified Humane; T&amp;E + Blue Ridge AWA — all verified USDA + hog slaughter. Strongest welfare bench.</t>
        </is>
      </c>
    </row>
    <row r="20" ht="34" customHeight="1">
      <c r="A20" s="7" t="inlineStr">
        <is>
          <t>Iowa / Midwest</t>
        </is>
      </c>
      <c r="B20" s="5" t="inlineStr">
        <is>
          <t>postbulletin.com (MRS); smithfieldbioscience.com; proteinintel.com (FSIS est. data); lorentzmeats.com; sigiowa.com; eickmans.com</t>
        </is>
      </c>
      <c r="C20" s="62" t="inlineStr">
        <is>
          <t>Med-High</t>
        </is>
      </c>
      <c r="D20" s="5" t="inlineStr">
        <is>
          <t>MRS ~20k/yr verified; Smithfield BioScience organ program verified. Large-packer biologics programs (Seaboard/Prestage/Wholestone) NOT confirmed — do not assume.</t>
        </is>
      </c>
    </row>
    <row r="21" ht="34" customHeight="1">
      <c r="A21" s="7" t="inlineStr">
        <is>
          <t>Authoritative confirmation source</t>
        </is>
      </c>
      <c r="B21" s="5" t="inlineStr">
        <is>
          <t>USDA FSIS MPI Directory + Establishment Demographic Data — fsis.usda.gov/inspection/establishments</t>
        </is>
      </c>
      <c r="C21" s="62" t="inlineStr">
        <is>
          <t>High</t>
        </is>
      </c>
      <c r="D21" s="5" t="inlineStr">
        <is>
          <t>Lists species slaughtered + size class per establishment, updated weekly. FSIS blocked automated fetches (Akamai 403) — pull via browser or the 'USDA MPI Directory' mobile app.</t>
        </is>
      </c>
    </row>
    <row r="22" ht="34" customHeight="1">
      <c r="A22" s="7" t="inlineStr">
        <is>
          <t>APHIS vs FSIS vs state inspection</t>
        </is>
      </c>
      <c r="B22" s="5" t="inlineStr">
        <is>
          <t>aphis.usda.gov/animal-product-export (IREGS); fsis.usda.gov/inspection/import-export</t>
        </is>
      </c>
      <c r="C22" s="62" t="inlineStr">
        <is>
          <t>High</t>
        </is>
      </c>
      <c r="D22" s="5" t="inlineStr">
        <is>
          <t>Three distinct regimes. APHIS Veterinary Services (not FSIS) is the export pathway for non-food tissue; a state-inspected plant is NOT disqualified from it.</t>
        </is>
      </c>
    </row>
    <row r="23" ht="34" customHeight="1">
      <c r="A23" s="7" t="inlineStr">
        <is>
          <t>EU animal by-products law</t>
        </is>
      </c>
      <c r="B23" s="5" t="inlineStr">
        <is>
          <t>EUR-Lex Reg (EC) 1069/2009; Reg (EU) 142/2011 (legislation.gov.uk consolidated); Annex XIV via Reg (EU) 2022/384</t>
        </is>
      </c>
      <c r="C23" s="62" t="inlineStr">
        <is>
          <t>High</t>
        </is>
      </c>
      <c r="D23" s="5" t="inlineStr">
        <is>
          <t>Governs import of porcine tissue not for human consumption. Typically Category 3; US is a listed third country; origin establishment must be APHIS-listed on TRACES; APHIS-VS-endorsed model health certificate required.</t>
        </is>
      </c>
    </row>
    <row r="24" ht="34" customHeight="1">
      <c r="A24" s="7" t="inlineStr">
        <is>
          <t>EU medical-device angle</t>
        </is>
      </c>
      <c r="B24" s="5" t="inlineStr">
        <is>
          <t>MDR (EU) 2017/745 Annex I 13.1; Reg (EU) 722/2012 (legislation.gov.uk); ISO 22442 (practice)</t>
        </is>
      </c>
      <c r="C24" s="62" t="inlineStr">
        <is>
          <t>High</t>
        </is>
      </c>
      <c r="D24" s="5" t="inlineStr">
        <is>
          <t>722/2012 (TSE) does NOT cover porcine (bovine/ovine/caprine/deer/elk/mink/cats only). Porcine devices fall under MDR general animal-origin requirements. A training 'model' may not be a device at all — classification call for a specialist/notified body.</t>
        </is>
      </c>
    </row>
    <row r="25" ht="34" customHeight="1">
      <c r="A25" s="7" t="inlineStr">
        <is>
          <t>APHIS / EU — caveat</t>
        </is>
      </c>
      <c r="B25" s="5" t="inlineStr">
        <is>
          <t>APHIS VS Field Operations / Veterinary Export Trade Services; EU importer; notified body</t>
        </is>
      </c>
      <c r="C25" s="63" t="inlineStr">
        <is>
          <t>Med</t>
        </is>
      </c>
      <c r="D25" s="5" t="inlineStr">
        <is>
          <t>NOT legal advice. Exact ABP category, CN code, and 142/2011 model certificate must be confirmed per product line with APHIS VS and a customs/regulatory specialist.</t>
        </is>
      </c>
    </row>
    <row r="26" ht="34" customHeight="1">
      <c r="A26" s="7" t="inlineStr">
        <is>
          <t>USDA/FSIS enforcement (per facility)</t>
        </is>
      </c>
      <c r="B26" s="5" t="inlineStr">
        <is>
          <t>FSIS Quarterly Enforcement Reports &amp; NOS/NOIE PDFs; AWI Humane Slaughter suspension list; PETA/ASPCA releases; local news</t>
        </is>
      </c>
      <c r="C26" s="62" t="inlineStr">
        <is>
          <t>Med-High</t>
        </is>
      </c>
      <c r="D26" s="5" t="inlineStr">
        <is>
          <t>Verified humane-handling actions at several plants (roster ⚠ column). FSIS pages Akamai-blocked to automation; findings via search snippets + secondary sources. 'None found' ≠ verified-clean; airtight confirmation needs a FOIA / direct QER query by establishment #.</t>
        </is>
      </c>
    </row>
    <row r="27" ht="34" customHeight="1">
      <c r="A27" s="7" t="inlineStr">
        <is>
          <t>Export / APHIS lookup sites</t>
        </is>
      </c>
      <c r="B27" s="5" t="inlineStr">
        <is>
          <t>FSIS 'Eligible Establishments by Country' + EU page; FSIS MPI directory; APHIS Export-to-EU (VS); EU TRACES-NT; usda-eu.org</t>
        </is>
      </c>
      <c r="C27" s="62" t="inlineStr">
        <is>
          <t>High</t>
        </is>
      </c>
      <c r="D27" s="5" t="inlineStr">
        <is>
          <t>The authoritative places to check export/APHIS listing yourself (see 'APHIS &amp; EU Export' tab). No facility confirmed EU/APHIS-listed for research tissue; 6 large plants FSIS export-certified for edible meat only.</t>
        </is>
      </c>
    </row>
    <row r="28" ht="34" customHeight="1">
      <c r="A28" s="7" t="inlineStr">
        <is>
          <t>National vendors × EU export</t>
        </is>
      </c>
      <c r="B28" s="5" t="inlineStr">
        <is>
          <t>Vendor sites (ISO/USDA claims); Reg (EC) 1069/2009 &amp; (EU) 142/2011; MDR Annex I 13.1 / ISO 22442</t>
        </is>
      </c>
      <c r="C28" s="62" t="inlineStr">
        <is>
          <t>Med-High</t>
        </is>
      </c>
      <c r="D28" s="5" t="inlineStr">
        <is>
          <t>Innovative Research RUO labeling = likely EU blocker. Tissue Source / Smithfield BioScience / MRS / SSR best-positioned; all still need establishment-level APHIS/TRACES confirmation + VS health certs.</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90"/>
  <sheetViews>
    <sheetView showGridLines="0" workbookViewId="0">
      <pane ySplit="43" topLeftCell="A44" activePane="bottomLeft" state="frozen"/>
      <selection pane="bottomLeft" activeCell="A1" sqref="A1"/>
    </sheetView>
  </sheetViews>
  <sheetFormatPr baseColWidth="8" defaultRowHeight="15"/>
  <cols>
    <col width="30" customWidth="1" min="1" max="1"/>
    <col width="22" customWidth="1" min="2" max="2"/>
    <col width="30" customWidth="1" min="3" max="3"/>
    <col width="24" customWidth="1" min="4" max="4"/>
    <col width="17" customWidth="1" min="5" max="5"/>
    <col width="13" customWidth="1" min="6" max="6"/>
    <col width="5" customWidth="1" min="7" max="7"/>
    <col width="78" customWidth="1" min="8" max="8"/>
  </cols>
  <sheetData>
    <row r="1" ht="26" customHeight="1">
      <c r="A1" s="66" t="inlineStr">
        <is>
          <t>Deep Study — Multi-Agent Re-Research with Adversarial Verification</t>
        </is>
      </c>
    </row>
    <row r="2" ht="32" customHeight="1">
      <c r="A2" s="2" t="inlineStr">
        <is>
          <t>21 agents · 121 facility records · 10 candidates adversarially verified (agents told to REFUTE, not confirm) · ~2.0M tokens, 1,091 tool calls, 0 errors.  Verdicts here OVERRIDE the earlier tabs where they conflict.</t>
        </is>
      </c>
    </row>
    <row r="4" ht="20" customHeight="1">
      <c r="A4" s="67" t="inlineStr">
        <is>
          <t>KEY FINDINGS  (ranked by decision impact)</t>
        </is>
      </c>
    </row>
    <row r="5" ht="48" customHeight="1">
      <c r="A5" s="11" t="inlineStr">
        <is>
          <t>1.  NAHUNTA IS PROMOTED, NOT MERELY SENTIMENTAL: it publishes a 'Specimen Permits' page routing research/educational institutions to the NCDA&amp;CS specimen request form, AND sells fresh spleens, hearts, livers and tongues as standing retail SKUs — hard evidence viscera leave the kill floor intact. This REFUTES the earlier 'organ capability: none published'. You would be scaling something they already do, not asking for something new.  (VERIFIED)</t>
        </is>
      </c>
    </row>
    <row r="6" ht="48" customHeight="1">
      <c r="A6" s="11" t="inlineStr">
        <is>
          <t>2.  BUT NAHUNTA CAN NEVER SUPPLY EUROPE: it slaughters under NC state grant P-80A only, and NCDA&amp;CS states state-inspected product may be sold in NC ONLY — no interstate, no export. EU Category 3 status (Reg. 1069/2009) requires ante-/post-mortem inspection in a slaughterhouse. Your supply chain must SPLIT: domestic models from Nahunta; EU-bound models elsewhere.  (VERIFIED)</t>
        </is>
      </c>
    </row>
    <row r="7" ht="48" customHeight="1">
      <c r="A7" s="11" t="inlineStr">
        <is>
          <t>3.  MARTIN'S PORK PRODUCTS IS BACK IN BAND: the '6,500 hogs/wk, over your ceiling' figure did NOT survive scrutiny — the 1,300 head/day entry is contradicted by Talmadge-Aiken small-plant structure, ~75 employees, no EPA permits in Falcon, and a ~9.4-acre site with one 1,484 sq ft building. Revised estimate 200-1,500 hogs/week — most likely IN BAND. Confirmed active on the NCDA&amp;CS TA directory dated 2026-07-24.  (REFUTED → POSSIBLE, p2)</t>
        </is>
      </c>
    </row>
    <row r="8" ht="60" customHeight="1">
      <c r="A8" s="11" t="inlineStr">
        <is>
          <t>4.  YOU HAVE BEEN AIMING AT THE WRONG EXPORT LIST: your product is an ANIMAL BY-PRODUCT, so APHIS Veterinary Services — not FSIS — is the certifying authority. A plant on the FSIS 'Eligible US Establishments – EU/Pork' list is NOT thereby approved to send research tissue to Europe, and a biologics harvester could be APHIS-listed while appearing on no FSIS list at all. Track them as two independent yes/no columns; never accept 'we're EU approved' without asking WHICH list.  (VERIFIED)</t>
        </is>
      </c>
    </row>
    <row r="9" ht="48" customHeight="1">
      <c r="A9" s="11" t="inlineStr">
        <is>
          <t>5.  YOUR VOLUME BAND DESCRIBES A HOLE IN THE US MARKET: by the industry's own capacity census only ~17 plants nationally sit inside 200-3,000 hogs/wk, and 8 of those are cull-sow plants — leaving roughly NINE market-hog plants in the entire country, and exactly ONE in the four states studied. A single-plant, single-source strategy is probably not purchasable.  (INFERRED from EMI Analytics capacity table)</t>
        </is>
      </c>
    </row>
    <row r="10" ht="48" customHeight="1">
      <c r="A10" s="11" t="inlineStr">
        <is>
          <t>6.  SOW vs MARKET HOG IS A CLIENT-SIDE DECISION THAT DECIDES HALF THE POOL — and no further research can answer it. Swaggerty, Wampler's, Williams/Tyson, Kansas City Sausage and Gunnoe are all SOW plants. A heavily parous sow has a remodelled birth canal and stretched abdominal wall: either disqualifying for pelvic/bariatric blocks, or a premium urogynaecology asset. ANSWER THIS INTERNALLY BEFORE ANOTHER HOUR OF SOURCING.</t>
        </is>
      </c>
    </row>
    <row r="11" ht="36" customHeight="1">
      <c r="A11" s="11" t="inlineStr">
        <is>
          <t>7.  NOT ONE FACILITY IN 121 RECORDS IS VERIFIED AS APHIS-LISTED OR EU/TRACES-LISTED — including Smithfield BioScience. FSIS was Akamai-403/proxy-502 to every request, usda-eu.org 503'd, TRACES-NT is a JS app automation cannot read. Your European route is currently an ASSUMPTION, not a finding.</t>
        </is>
      </c>
    </row>
    <row r="12" ht="48" customHeight="1">
      <c r="A12" s="11" t="inlineStr">
        <is>
          <t>8.  EVERY 'CLEAN WELFARE RECORD' MEANS 'NOTHING SURFACED' — and each of the three times a verifier actually dug, the record was NOT clean. T&amp;E Meats: a large hog REGAINED CONSCIOUSNESS on the bleed rail (NOIE 2023-11-22) + a sow needing repeated captive-bolt attempts (NOROS 2024-04-25). Piedmont: a 2021 humane-handling NR. Williams Sausage: 2022 noncompliance + an FSIS slaughter-HACCP Notice of Suspension dated 2025-07-15.  (All VERIFIED from primary FSIS correspondence)</t>
        </is>
      </c>
    </row>
    <row r="13" ht="48" customHeight="1">
      <c r="A13" s="11" t="inlineStr">
        <is>
          <t>9.  TWO WELFARE CERTIFICATIONS THAT CARRIED THE EARLIER PASS ARE REFUTED: Williamsburg Packing appears in NEITHER Certified Humane's nor A Greener World's own directories (likely conflated with Caw Caw Creek FARM, not a plant); EcoFriendly Foods' only verifiable HFAC record is a 2010 DISTRIBUTOR certification, not a current plant certification — a live diligence flag for a company selling on welfare credibility.</t>
        </is>
      </c>
    </row>
    <row r="14" ht="36" customHeight="1">
      <c r="A14" s="11" t="inlineStr">
        <is>
          <t>10.  VIRGINIA'S ONLY GENUINELY IN-BAND PLANT WAS NEVER RESEARCHED: Gunnoe Sausage Company, Goode VA (540) 586-1091 — a dedicated sow slaughterhouse since 1965 running 90-110 head/day (~450-590 hogs/wk). It clears your floor, whereas EcoFriendly Foods (the earlier STRONG FIT) is an order of magnitude BELOW it at an estimated 20-80 hogs/week.</t>
        </is>
      </c>
    </row>
    <row r="15" ht="48" customHeight="1">
      <c r="A15" s="11" t="inlineStr">
        <is>
          <t>11.  HIGHEST-ROI UNEXPLOITED LEAD — heparin/mucosa/natural-casing collectors (Scientific Protein Laboratories, Waunakee WI; DeWied International, San Antonio TX) ALREADY RUN YOUR MODEL A AT INDUSTRIAL SCALE: their own crews, inside third-party USDA plants, recovering one tissue under written protocol, paying for line position. Their collection networks are a ready-made map of which US plants accept third-party harvest crews, at what price, under whose HACCP.</t>
        </is>
      </c>
    </row>
    <row r="17" ht="20" customHeight="1">
      <c r="A17" s="67" t="inlineStr">
        <is>
          <t>WHAT THE VERIFICATION CHANGED  (vs. the first pass)</t>
        </is>
      </c>
    </row>
    <row r="18" ht="48" customHeight="1">
      <c r="A18" s="4" t="inlineStr">
        <is>
          <t>PROMOTED — Nahunta (P-80A)</t>
        </is>
      </c>
      <c r="B18" s="5" t="inlineStr">
        <is>
          <t>CAUTION → STRONG FIT, p1. Publishes a Specimen Permits page (NCDA&amp;CS specimen request route) and sells fresh spleens/hearts/livers/tongues retail — 'no organ capability' REFUTED. Swine-only slaughter, state-inspected status, address and phone all confirmed against the NCDA&amp;CS directory PDF dated 2026-07-24. Caveat: the 500+/wk figure says PROCESSES, and attaches to the processing entity (P-80) — ask what P-80A actually KILLS.</t>
        </is>
      </c>
    </row>
    <row r="19" ht="60" customHeight="1">
      <c r="A19" s="4" t="inlineStr">
        <is>
          <t>PROMOTED — Martin's Pork Products (TA-6720)</t>
        </is>
      </c>
      <c r="B19" s="5" t="inlineStr">
        <is>
          <t>Volume objection REFUTED (see finding 3) → POSSIBLE, p2. Confirmed active on a regulator document 10 days old. A slower line is FRIENDLIER to Model A, not harder. Two cautions: county deeds show land purchases Aug/Nov 2021 against a claimed 2022 grant date, so your read on their culture may be stale; and three sources disagree on the street address — do NOT travel to '6657 Kings Street' unconfirmed. martinspork.com is effectively dead (expired TLS, page last modified 2017).</t>
        </is>
      </c>
    </row>
    <row r="20" ht="48" customHeight="1">
      <c r="A20" s="4" t="inlineStr">
        <is>
          <t>DOWNGRADED — Acre Station</t>
        </is>
      </c>
      <c r="B20" s="5" t="inlineStr">
        <is>
          <t>STRONG FIT p1 → CAUTION p3. The ~400/wk headline was manufactured by multiplying a nameplate ceiling ('80 hogs OR 7 cattle'/day) by five. An actual figure existed and was missed: ~150 hogs/week (Firsthand Foods), corroborated by its FSIS 1,000-9,999 animals/year band — which 400/wk would not fit. AWA demoted to single-source/UNVERIFIED. New risk: two directories label it CUSTOM EXEMPT, which if true kills saleability and exportability.</t>
        </is>
      </c>
    </row>
    <row r="21" ht="60" customHeight="1">
      <c r="A21" s="4" t="inlineStr">
        <is>
          <t>DOWNGRADED — Piedmont Custom Meats</t>
        </is>
      </c>
      <c r="B21" s="5" t="inlineStr">
        <is>
          <t>STRONG FIT p1 → REFERENCE p9. FSIS classes BOTH establishments 'Very Small' (&lt;10 employees or &lt;$2.5M sales) — dispositive against 200 hogs/wk on a line shared with cattle, sheep, goat and poultry. Realistic throughput: LOW TENS per week. Welfare not clean (2021 humane-handling NR). AWA claim is company-site-only. Grant decode corrected: V7975 = Voluntary inspection, not poultry. Harvest-floor phone is (336) 584-8247, not the Asheboro number.</t>
        </is>
      </c>
    </row>
    <row r="22" ht="36" customHeight="1">
      <c r="A22" s="4" t="inlineStr">
        <is>
          <t>DOWNGRADED — Williamsburg Packing (SC)</t>
        </is>
      </c>
      <c r="B22" s="5" t="inlineStr">
        <is>
          <t>'Contact first' → POSSIBLE p6. Both load-bearing claims failed: the Certified Humane/AWA credential is absent from both certifiers' directories, and the 'same FSIS volume category as Martin's' calibration compared a 2-flag swine-only plant against a 21-species aggregate that counts chickens per head.</t>
        </is>
      </c>
    </row>
    <row r="23" ht="60" customHeight="1">
      <c r="A23" s="4" t="inlineStr">
        <is>
          <t>DOWNGRADED — Swaggerty Sausage (TN)</t>
        </is>
      </c>
      <c r="B23" s="5" t="inlineStr">
        <is>
          <t>→ CAUTION p7. Sow-only confirmed three ways incl. FSIS species flags (market_swine BLANK). At ~4,250-4,590/wk it is over your ceiling, and your own rule admits over-ceiling plants only if they ALREADY specialise in organ/tissue harvesting — a programme that 'would have to be built here' cannot satisfy that exception. Plus two TN OSHA machine-guarding actions six years apart (2018, 2024, same 1910.212(a)(1) standard) against your worker-welfare criterion.</t>
        </is>
      </c>
    </row>
    <row r="24" ht="60" customHeight="1">
      <c r="A24" s="4" t="inlineStr">
        <is>
          <t>DOWNGRADED — EcoFriendly Foods (VA)</t>
        </is>
      </c>
      <c r="B24" s="5" t="inlineStr">
        <is>
          <t>STRONG FIT → REFERENCE p8. Estimated 20-80 hogs/week — an order of magnitude below your floor. The 2023 Bedford County grant was $21,500 for COMMERCIAL KITCHEN equipment (tilt skillet, refrigerated storage, for hand pies and soups) — evidence of a micro-operation, not scaling. No public evidence it sells line/cooler access or contract harvest at all: BOTH your operating models are unsupported here. NOTE: the reported '2020 bankruptcy' is UNSUPPORTED — it appears to be open.</t>
        </is>
      </c>
    </row>
    <row r="25" ht="84" customHeight="1">
      <c r="A25" s="4" t="inlineStr">
        <is>
          <t>KILLED — T&amp;E Meats / Honest Meats LLC (VA)</t>
        </is>
      </c>
      <c r="B25" s="5" t="inlineStr">
        <is>
          <t>'CONTACT FIRST, best welfare story in Virginia' → OUT / FLAG p9. FSIS documented an escalation chain: NOIE 2023-11-22 (a large hog REGAINED CONSCIOUSNESS on the bleed rail); Notice of Suspension 2024-03-14 (Holstein steer, two failed captive-bolt stuns, employee left the floor for a 9mm, three holes in the skull); Reinstatement of Suspension 2024-04-25 (large sow, repeated .25 cal attempts) — a repeat egregious event six weeks after corrections were accepted. Volume independently disqualifies it (~19-192 head/wk, all species). In fairness FSIS later called its written humane system 'robust' with no recurrence after May 2024 — but this cannot be presented as a welfare exemplar.</t>
        </is>
      </c>
    </row>
    <row r="26" ht="48" customHeight="1">
      <c r="A26" s="4" t="inlineStr">
        <is>
          <t>KILLED — the 'family plant' thesis at Williams Sausage (TN)</t>
        </is>
      </c>
      <c r="B26" s="5" t="inlineStr">
        <is>
          <t>REFUTED: Tyson Foods completed the acquisition 2023-05-22; the site is internally 'Hickman Rd Plant … formally known as Williams Sausage Company.' Your counterparty for kill-floor access is Tyson corporate, not an Obion County family. The '$16M expansion' is from a 2012 article, ~14 years old. Also carries an FSIS slaughter-HACCP suspension dated 2025-07-15.</t>
        </is>
      </c>
    </row>
    <row r="27" ht="96" customHeight="1">
      <c r="A27" s="4" t="inlineStr">
        <is>
          <t>IDENTITY CORRECTIONS</t>
        </is>
      </c>
      <c r="B27" s="5" t="inlineStr">
        <is>
          <t>Martin's disambiguation independently CONFIRMED — Godwin's 1600 Martin Road now carries live EPA permits under Kansas City Sausage Co. LLC dba Coastal Protein; Martin's Pork Products is separately confirmed at Falcon. BUT the conflation survived in the NUMBERS after being scrubbed from the prose (the 1,300 hd/day figure fits Godwin, not Falcon). Also: Wampler's Farm Sausage vs Family Brands LLC (M6515, same town — the '73-year employee' story belongs to the WRONG plant); T&amp;E Meats is legally 'Honest Meats, LLC' (contract must name it); Williams Sausage carries 4 DBAs on one establishment (J C Potter is not a separate candidate); Appalachian Abattoir M7457A is in WEST VIRGINIA, not SC; three different 'Blue Ridge Meats'; Sioux-Preme M5537 (holds the humane actions) vs M812A (processing only).</t>
        </is>
      </c>
    </row>
    <row r="29" ht="20" customHeight="1">
      <c r="A29" s="67" t="inlineStr">
        <is>
          <t>RECOMMENDED CONTACT ORDER  (post-verification)</t>
        </is>
      </c>
    </row>
    <row r="30" ht="18" customHeight="1">
      <c r="A30" s="6" t="inlineStr">
        <is>
          <t>#</t>
        </is>
      </c>
      <c r="B30" s="6" t="inlineStr">
        <is>
          <t>Facility</t>
        </is>
      </c>
      <c r="C30" s="6" t="inlineStr">
        <is>
          <t>Why</t>
        </is>
      </c>
      <c r="D30" s="6" t="inlineStr">
        <is>
          <t>Confirm on the call</t>
        </is>
      </c>
    </row>
    <row r="31" ht="36" customHeight="1">
      <c r="A31" s="59" t="n">
        <v>1</v>
      </c>
      <c r="B31" s="7" t="inlineStr">
        <is>
          <t>Nahunta Slaughter House, Inc.  (Est. P-80A, Pikeville NC · 919-242-4735)</t>
        </is>
      </c>
      <c r="C31" s="5" t="inlineStr">
        <is>
          <t>Only candidate with a PUBLISHED research-specimen pathway and fresh spleens/hearts/livers as standing retail SKUs — direct evidence viscera leave the kill floor intact. Culture benchmark; swine-only; verified open on a regulator PDF dated 2026-07-24.</t>
        </is>
      </c>
      <c r="H31" s="8" t="inlineStr">
        <is>
          <t>How many hogs do you KILL per week under P-80A — and how many carcasses do you buy in for P-80?</t>
        </is>
      </c>
    </row>
    <row r="32" ht="30" customHeight="1">
      <c r="A32" s="59" t="n">
        <v>2</v>
      </c>
      <c r="B32" s="7" t="inlineStr">
        <is>
          <t>Martin's Pork Products, Inc.  (Est. TA-6720, Falcon NC · 910-980-1501)</t>
        </is>
      </c>
      <c r="C32" s="5" t="inlineStr">
        <is>
          <t>The only verified hog-only, federally-inspected, export-structurally-eligible plant plausibly in your band — and an incumbent, so the call is cheap. The volume objection has evaporated.</t>
        </is>
      </c>
      <c r="H32" s="8" t="inlineStr">
        <is>
          <t>Actual current head/week, and WHO OWNS THE PLANT TODAY (deeds suggest your culture read may be stale). Confirm the street address.</t>
        </is>
      </c>
    </row>
    <row r="33" ht="36" customHeight="1">
      <c r="A33" s="59" t="n">
        <v>3</v>
      </c>
      <c r="B33" s="7" t="inlineStr">
        <is>
          <t>Larry's Sausage Company, Inc.  (Est. TA-8305, Fayetteville NC)</t>
        </is>
      </c>
      <c r="C33" s="5" t="inlineStr">
        <is>
          <t>Closest structural analogue to Nahunta but with federal/exportable TA inspection: swine-only, family-owned since 1952, three generations. FLAG: never adversarially verified — treat at the same confidence as the pre-verification file that failed elsewhere.</t>
        </is>
      </c>
      <c r="H33" s="8" t="inlineStr">
        <is>
          <t>Actual weekly kill. The 200-800/wk figure is a labelled estimate from distribution footprint — that number decides everything.</t>
        </is>
      </c>
    </row>
    <row r="34" ht="30" customHeight="1">
      <c r="A34" s="59" t="n">
        <v>4</v>
      </c>
      <c r="B34" s="7" t="inlineStr">
        <is>
          <t>Bass Farms, Inc.  (Est. TA-3521, Spring Hope NC)</t>
        </is>
      </c>
      <c r="C34" s="5" t="inlineStr">
        <is>
          <t>NCDA&amp;CS lists it 'Slaughter only, species C (swine)' — a hog kill floor with NO processing attached is the purest Model A structure in the state. Also never adversarially verified.</t>
        </is>
      </c>
      <c r="H34" s="8" t="inlineStr">
        <is>
          <t>Current federal grant status — no matching M3521 record surfaced; confirm the TA grant is live before anything else.</t>
        </is>
      </c>
    </row>
    <row r="35" ht="30" customHeight="1">
      <c r="A35" s="59" t="n">
        <v>5</v>
      </c>
      <c r="B35" s="7" t="inlineStr">
        <is>
          <t>Gunnoe Sausage Company  (Goode VA · 540-586-1091)</t>
        </is>
      </c>
      <c r="C35" s="5" t="inlineStr">
        <is>
          <t>Newly surfaced and NEVER researched: dedicated sow slaughterhouse since 1965 at ~450-590 hogs/week — genuinely in band, and Virginia's only such plant.</t>
        </is>
      </c>
      <c r="H35" s="8" t="inlineStr">
        <is>
          <t>Establishment number and inspection status (not captured), then sow-vs-market-hog and third-party crew access.</t>
        </is>
      </c>
    </row>
    <row r="36" ht="36" customHeight="1">
      <c r="A36" s="59" t="n">
        <v>6</v>
      </c>
      <c r="B36" s="7" t="inlineStr">
        <is>
          <t>Smithfield BioScience  (harvest base Tar Heel NC, Est. M18079/V18079)</t>
        </is>
      </c>
      <c r="C36" s="5" t="inlineStr">
        <is>
          <t>The ONLY verified organ programme anywhere in the study — aortas, heart valves, pericardium, peritoneum, mucosa, pancreas, pituitary, tendons — plus stated farm-to-processing traceability and existing EU pharmaceutical (heparin API) trade.</t>
        </is>
      </c>
      <c r="H36" s="8" t="inlineStr">
        <is>
          <t>Will you harvest multi-organ regional BLOCKS to our written spec, and which APHIS/EU listings do you hold for research-use material? (Handle as competitive intelligence — they may see you as a rival, not a customer.)</t>
        </is>
      </c>
    </row>
    <row r="37" ht="30" customHeight="1">
      <c r="A37" s="59" t="n">
        <v>7</v>
      </c>
      <c r="B37" s="7" t="inlineStr">
        <is>
          <t>Kansas City Sausage Co., LLC dba Coastal Protein  (1600 Martin Road, Godwin NC)</t>
        </is>
      </c>
      <c r="C37" s="5" t="inlineStr">
        <is>
          <t>Confirmed operating via live EPA CAA and NPDES permits. ~3,500-5,000 sows/wk — marginally over ceiling, but SOW anatomy is closer to adult human scale than a 250 lb market hog.</t>
        </is>
      </c>
      <c r="H37" s="8" t="inlineStr">
        <is>
          <t>The establishment number (no public source in this study could produce it) — and whether a dedicated harvest bench is negotiable.</t>
        </is>
      </c>
    </row>
    <row r="38" ht="36" customHeight="1">
      <c r="A38" s="59" t="n">
        <v>8</v>
      </c>
      <c r="B38" s="7" t="inlineStr">
        <is>
          <t>Wampler's Farm Sausage Co.  (Est. M9065, Lenoir City TN · 865-986-2056)</t>
        </is>
      </c>
      <c r="C38" s="5" t="inlineStr">
        <is>
          <t>Real federal grant, real kill floor, ~1,500-1,620/wk at 2017 rated capacity, family-owned since 1937. NOTE: production hiring routes through three third-party staffing agencies at $12-14/hr — the opposite of the tenure you value.</t>
        </is>
      </c>
      <c r="H38" s="8" t="inlineStr">
        <is>
          <t>Sows only, or any market hogs — and actual current weekly head. If 'sows only', drop to REFERENCE; don't spend a site visit.</t>
        </is>
      </c>
    </row>
    <row r="39" ht="36" customHeight="1">
      <c r="A39" s="59" t="n">
        <v>9</v>
      </c>
      <c r="B39" s="7" t="inlineStr">
        <is>
          <t>Custom Quality Packers, LLC  (Est. TA-20129, Sims NC)</t>
        </is>
      </c>
      <c r="C39" s="5" t="inlineStr">
        <is>
          <t>One of only ~7 swine-only establishments in NC and federally inspected; anchors a Wilson County CLUSTER play with Bass Farms and George Flowers. Individual-animal handling is a genuine welfare positive.</t>
        </is>
      </c>
      <c r="H39" s="8" t="inlineStr">
        <is>
          <t>Actual weekly head — 'each animal individually rather than large industrial batches' implies well below 200/wk alone.</t>
        </is>
      </c>
    </row>
    <row r="40" ht="36" customHeight="1">
      <c r="A40" s="59" t="n">
        <v>10</v>
      </c>
      <c r="B40" s="7" t="inlineStr">
        <is>
          <t>Williamsburg Packing Company  (Est. M4005, Kingstree SC · 843-355-6447)</t>
        </is>
      </c>
      <c r="C40" s="5" t="inlineStr">
        <is>
          <t>ONE speculative call only. Sole SC federally-inspected swine plant with any elevated volume signal, and its voluntary grant V4005 is the mechanism used for non-amenable species — directly relevant to research tissue.</t>
        </is>
      </c>
      <c r="H40" s="8" t="inlineStr">
        <is>
          <t>Hog-only weekly head count, FIRST question. If under 200, close it out.</t>
        </is>
      </c>
    </row>
    <row r="42" ht="20" customHeight="1">
      <c r="A42" s="67" t="inlineStr">
        <is>
          <t>VERIFIED FACILITY ROSTER</t>
        </is>
      </c>
    </row>
    <row r="43" ht="40" customHeight="1">
      <c r="A43" s="6" t="inlineStr">
        <is>
          <t>Facility</t>
        </is>
      </c>
      <c r="B43" s="6" t="inlineStr">
        <is>
          <t>Location</t>
        </is>
      </c>
      <c r="C43" s="6" t="inlineStr">
        <is>
          <t>Weekly hogs (verified/revised)</t>
        </is>
      </c>
      <c r="D43" s="6" t="inlineStr">
        <is>
          <t>Inspection</t>
        </is>
      </c>
      <c r="E43" s="6" t="inlineStr">
        <is>
          <t>Verification</t>
        </is>
      </c>
      <c r="F43" s="6" t="inlineStr">
        <is>
          <t>Revised fit</t>
        </is>
      </c>
      <c r="G43" s="6" t="inlineStr">
        <is>
          <t>P</t>
        </is>
      </c>
      <c r="H43" s="6" t="inlineStr">
        <is>
          <t>What the verifier found</t>
        </is>
      </c>
    </row>
    <row r="44" ht="20" customHeight="1">
      <c r="A44" s="67" t="inlineStr">
        <is>
          <t>ADVERSARIALLY VERIFIED — these verdicts override the earlier tabs</t>
        </is>
      </c>
    </row>
    <row r="45" ht="58" customHeight="1">
      <c r="A45" s="7" t="inlineStr">
        <is>
          <t>Nahunta Slaughter House, Inc.</t>
        </is>
      </c>
      <c r="B45" s="5" t="inlineStr">
        <is>
          <t>Pikeville, NC</t>
        </is>
      </c>
      <c r="C45" s="5" t="inlineStr">
        <is>
          <t>500+/wk cited but that verb is PROCESSES — ask actual P-80A kill</t>
        </is>
      </c>
      <c r="D45" s="5" t="inlineStr">
        <is>
          <t>NC STATE only (P-80A slaughter, swine-only; P-80 processing)</t>
        </is>
      </c>
      <c r="E45" s="40" t="inlineStr">
        <is>
          <t>CONFIRMED OPEN</t>
        </is>
      </c>
      <c r="F45" s="5" t="inlineStr">
        <is>
          <t>STRONG FIT</t>
        </is>
      </c>
      <c r="G45" s="5" t="n">
        <v>1</v>
      </c>
      <c r="H45" s="5" t="inlineStr">
        <is>
          <t>PROMOTED. Publishes a Specimen Permits page routing research institutions to the NCDA&amp;CS specimen request form, and sells fresh spleens/hearts/livers/tongues retail — 'no organ capability' REFUTED. All identity details check against the NCDA&amp;CS directory dated 2026-07-24. HARD LIMIT: state-inspected product is NC-only — cannot supply EU.</t>
        </is>
      </c>
    </row>
    <row r="46" ht="58" customHeight="1">
      <c r="A46" s="7" t="inlineStr">
        <is>
          <t>Martin's Pork Products, Inc.</t>
        </is>
      </c>
      <c r="B46" s="5" t="inlineStr">
        <is>
          <t>Falcon, NC</t>
        </is>
      </c>
      <c r="C46" s="5" t="inlineStr">
        <is>
          <t>200-1,500/wk (revised) — LIKELY IN BAND. The 6,500/wk figure was REFUTED</t>
        </is>
      </c>
      <c r="D46" s="5" t="inlineStr">
        <is>
          <t>USDA Talmadge-Aiken TA-6720 (federal, exportable structure)</t>
        </is>
      </c>
      <c r="E46" s="40" t="inlineStr">
        <is>
          <t>CONFIRMED OPEN</t>
        </is>
      </c>
      <c r="F46" s="5" t="inlineStr">
        <is>
          <t>POSSIBLE</t>
        </is>
      </c>
      <c r="G46" s="5" t="n">
        <v>2</v>
      </c>
      <c r="H46" s="5" t="inlineStr">
        <is>
          <t>PROMOTED on volume. The 1,300 hd/day entry is contradicted by TA small-plant structure, ~75 employees, no Falcon EPA permits, 9.4-acre site with one 1,484 sq ft building. Active on the TA directory dated 2026-07-24. Cautions: ownership may have changed (2021 deeds); 3 sources disagree on street address; martinspork.com is dead (expired TLS, 2017 page).</t>
        </is>
      </c>
    </row>
    <row r="47" ht="58" customHeight="1">
      <c r="A47" s="7" t="inlineStr">
        <is>
          <t>Acre Station Meat Farm</t>
        </is>
      </c>
      <c r="B47" s="5" t="inlineStr">
        <is>
          <t>Pinetown, NC</t>
        </is>
      </c>
      <c r="C47" s="5" t="inlineStr">
        <is>
          <t>~150/wk actual (NOT the ~400/wk headline) — LIKELY BELOW FLOOR</t>
        </is>
      </c>
      <c r="D47" s="5" t="inlineStr">
        <is>
          <t>Talmadge-Aiken TA-19904 / M19904 — but 2 directories say CUSTOM EXEMPT</t>
        </is>
      </c>
      <c r="E47" s="40" t="inlineStr">
        <is>
          <t>CONFIRMED OPEN</t>
        </is>
      </c>
      <c r="F47" s="5" t="inlineStr">
        <is>
          <t>CAUTION</t>
        </is>
      </c>
      <c r="G47" s="5" t="n">
        <v>3</v>
      </c>
      <c r="H47" s="5" t="inlineStr">
        <is>
          <t>DOWNGRADED decisively. The 400/wk figure was manufactured by multiplying a nameplate ceiling ('80 hogs OR 7 cattle'/day) by 5. Actual ~150/wk (Firsthand Foods), corroborated by its FSIS 1,000-9,999 animals/year band. AWA now single-source/UNVERIFIED. Unresolved: a Custom Exempt label would kill saleability and exportability. Kill window is 7:00am-2:00pm.</t>
        </is>
      </c>
    </row>
    <row r="48" ht="58" customHeight="1">
      <c r="A48" s="7" t="inlineStr">
        <is>
          <t>Piedmont Custom Meats, Inc.</t>
        </is>
      </c>
      <c r="B48" s="5" t="inlineStr">
        <is>
          <t>Gibsonville + Asheboro, NC</t>
        </is>
      </c>
      <c r="C48" s="5" t="inlineStr">
        <is>
          <t>LOW TENS per week — far below floor</t>
        </is>
      </c>
      <c r="D48" s="5" t="inlineStr">
        <is>
          <t>USDA-FSIS M7975 / M7975A (V7975 = Voluntary, not poultry)</t>
        </is>
      </c>
      <c r="E48" s="40" t="inlineStr">
        <is>
          <t>CONFIRMED OPEN</t>
        </is>
      </c>
      <c r="F48" s="5" t="inlineStr">
        <is>
          <t>REFERENCE</t>
        </is>
      </c>
      <c r="G48" s="5" t="n">
        <v>9</v>
      </c>
      <c r="H48" s="5" t="inlineStr">
        <is>
          <t>DOWNGRADED decisively — comes off the shortlist. FSIS classes BOTH establishments 'Very Small' (&lt;10 employees or &lt;$2.5M sales), dispositive against 200 hogs/wk on a floor shared with cattle/sheep/goat/poultry. The separate harvest floor is real and still the best Model A architecture — but there is no volume behind it. Welfare not clean (2021 humane-handling NR). Harvest floor phone (336) 584-8247.</t>
        </is>
      </c>
    </row>
    <row r="49" ht="58" customHeight="1">
      <c r="A49" s="7" t="inlineStr">
        <is>
          <t>Honest Meats, LLC (dba T&amp;E Meats)</t>
        </is>
      </c>
      <c r="B49" s="5" t="inlineStr">
        <is>
          <t>Harrisonburg, VA</t>
        </is>
      </c>
      <c r="C49" s="5" t="inlineStr">
        <is>
          <t>~19-192 head/wk ALL species — disqualifying</t>
        </is>
      </c>
      <c r="D49" s="5" t="inlineStr">
        <is>
          <t>USDA-FSIS M7420 + V7420</t>
        </is>
      </c>
      <c r="E49" s="38" t="inlineStr">
        <is>
          <t>UNCERTAIN</t>
        </is>
      </c>
      <c r="F49" s="5" t="inlineStr">
        <is>
          <t>OUT / FLAG</t>
        </is>
      </c>
      <c r="G49" s="5" t="n">
        <v>9</v>
      </c>
      <c r="H49" s="5" t="inlineStr">
        <is>
          <t>KILLED. Was 'contact first, best welfare story in Virginia'. FSIS documented an escalation chain: NOIE 2023-11-22 (a large hog REGAINED CONSCIOUSNESS on the bleed rail); Suspension 2024-03-14 (steer, 2 failed stuns, 9mm, 3 holes in skull); Reinstatement 2024-04-25 (sow, repeated .25 cal attempts) — repeat egregious event 6 weeks after corrections accepted. Legal entity is Honest Meats LLC. Site dormant since 2020-2025.</t>
        </is>
      </c>
    </row>
    <row r="50" ht="58" customHeight="1">
      <c r="A50" s="7" t="inlineStr">
        <is>
          <t>Williamsburg Packing Company</t>
        </is>
      </c>
      <c r="B50" s="5" t="inlineStr">
        <is>
          <t>Kingstree, SC</t>
        </is>
      </c>
      <c r="C50" s="5" t="inlineStr">
        <is>
          <t>190-1,900/wk but that is a 21-SPECIES aggregate incl. poultry</t>
        </is>
      </c>
      <c r="D50" s="5" t="inlineStr">
        <is>
          <t>USDA-FSIS M4005 + P4005 + V4005</t>
        </is>
      </c>
      <c r="E50" s="40" t="inlineStr">
        <is>
          <t>CONFIRMED OPEN</t>
        </is>
      </c>
      <c r="F50" s="5" t="inlineStr">
        <is>
          <t>POSSIBLE</t>
        </is>
      </c>
      <c r="G50" s="5" t="n">
        <v>6</v>
      </c>
      <c r="H50" s="5" t="inlineStr">
        <is>
          <t>DOWNGRADED. Both load-bearing claims failed: the 'Certified Humane AND AWA' credential appears in NEITHER certifier's directory (likely conflated with Caw Caw Creek FARM), and the volume calibration against Martin's compared a swine-only plant to a 21-species aggregate counting chickens per head. V4005 (voluntary/non-amenable) is genuinely relevant to research tissue.</t>
        </is>
      </c>
    </row>
    <row r="51" ht="58" customHeight="1">
      <c r="A51" s="7" t="inlineStr">
        <is>
          <t>Wampler's Farm Sausage Co.</t>
        </is>
      </c>
      <c r="B51" s="5" t="inlineStr">
        <is>
          <t>Lenoir City, TN</t>
        </is>
      </c>
      <c r="C51" s="5" t="inlineStr">
        <is>
          <t>~1,500-1,620/wk (2017 rated capacity) — in band if market hogs</t>
        </is>
      </c>
      <c r="D51" s="5" t="inlineStr">
        <is>
          <t>USDA-FSIS M9065 + P9065 + V9065</t>
        </is>
      </c>
      <c r="E51" s="40" t="inlineStr">
        <is>
          <t>CONFIRMED OPEN</t>
        </is>
      </c>
      <c r="F51" s="5" t="inlineStr">
        <is>
          <t>POSSIBLE</t>
        </is>
      </c>
      <c r="G51" s="5" t="n">
        <v>3</v>
      </c>
      <c r="H51" s="5" t="inlineStr">
        <is>
          <t>SURVIVES, downgraded. Family-owned since 1937 is genuine — BUT all production hiring routes through three third-party staffing agencies at $12-14/hr, the opposite of the tenure you value. ~180 employees unsupported (best source ~160, 2011). IDENTITY TRAP: the '73-year employee' story belongs to Family Brands LLC (M6515), a different Wampler plant in the same town.</t>
        </is>
      </c>
    </row>
    <row r="52" ht="58" customHeight="1">
      <c r="A52" s="7" t="inlineStr">
        <is>
          <t>Williams Sausage Co. (TYSON)</t>
        </is>
      </c>
      <c r="B52" s="5" t="inlineStr">
        <is>
          <t>Union City, TN</t>
        </is>
      </c>
      <c r="C52" s="5" t="inlineStr">
        <is>
          <t>~2,000-2,160/wk (2017 estimate)</t>
        </is>
      </c>
      <c r="D52" s="5" t="inlineStr">
        <is>
          <t>USDA-FSIS M7455</t>
        </is>
      </c>
      <c r="E52" s="40" t="inlineStr">
        <is>
          <t>CONFIRMED OPEN</t>
        </is>
      </c>
      <c r="F52" s="5" t="inlineStr">
        <is>
          <t>CAUTION</t>
        </is>
      </c>
      <c r="G52" s="5" t="n">
        <v>6</v>
      </c>
      <c r="H52" s="5" t="inlineStr">
        <is>
          <t>The 'family plant' thesis is KILLED: Tyson Foods completed the acquisition 2023-05-22 — your counterparty is Tyson corporate. Carries a 2022 humane-handling noncompliance AND an FSIS slaughter-HACCP Notice of Suspension dated 2025-07-15. The '$16M expansion' is a 2012 article. Survives as a logistics option only.</t>
        </is>
      </c>
    </row>
    <row r="53" ht="58" customHeight="1">
      <c r="A53" s="7" t="inlineStr">
        <is>
          <t>Swaggerty Sausage Co.</t>
        </is>
      </c>
      <c r="B53" s="5" t="inlineStr">
        <is>
          <t>Kodak, TN</t>
        </is>
      </c>
      <c r="C53" s="5" t="inlineStr">
        <is>
          <t>~4,250-4,590/wk — OVER CEILING</t>
        </is>
      </c>
      <c r="D53" s="5" t="inlineStr">
        <is>
          <t>USDA-FSIS M8314 + V8314</t>
        </is>
      </c>
      <c r="E53" s="40" t="inlineStr">
        <is>
          <t>CONFIRMED OPEN</t>
        </is>
      </c>
      <c r="F53" s="5" t="inlineStr">
        <is>
          <t>CAUTION</t>
        </is>
      </c>
      <c r="G53" s="5" t="n">
        <v>7</v>
      </c>
      <c r="H53" s="5" t="inlineStr">
        <is>
          <t>DOWNGRADED. SOW-ONLY confirmed three ways incl. FSIS species flags (market_swine BLANK). Over-ceiling plants are admissible only if they ALREADY specialise in organ/tissue harvesting — a programme that would have to be BUILT here cannot satisfy that exception. Two TN OSHA machine-guarding actions six years apart (2018, 2024) against your worker-welfare criterion. Fourth generation, not third.</t>
        </is>
      </c>
    </row>
    <row r="54" ht="58" customHeight="1">
      <c r="A54" s="7" t="inlineStr">
        <is>
          <t>EcoFriendly Foods</t>
        </is>
      </c>
      <c r="B54" s="5" t="inlineStr">
        <is>
          <t>Moneta, VA</t>
        </is>
      </c>
      <c r="C54" s="5" t="inlineStr">
        <is>
          <t>~20-80/wk — an order of magnitude BELOW floor</t>
        </is>
      </c>
      <c r="D54" s="5" t="inlineStr">
        <is>
          <t>USDA-FSIS M21938</t>
        </is>
      </c>
      <c r="E54" s="40" t="inlineStr">
        <is>
          <t>CONFIRMED OPEN</t>
        </is>
      </c>
      <c r="F54" s="5" t="inlineStr">
        <is>
          <t>REFERENCE</t>
        </is>
      </c>
      <c r="G54" s="5" t="n">
        <v>8</v>
      </c>
      <c r="H54" s="5" t="inlineStr">
        <is>
          <t>DOWNGRADED from STRONG FIT. The 2023 Bedford County grant was $21,500 for COMMERCIAL KITCHEN equipment (tilt skillet, refrigerated storage, for hand pies and soups) — evidence of a micro-operation. No public evidence it sells line/cooler access or contract harvest: BOTH operating models unsupported. Its 'Certified Humane' claim traces only to a 2010 DISTRIBUTOR record. NOTE: the reported 2020 bankruptcy is UNSUPPORTED — it appears open.</t>
        </is>
      </c>
    </row>
    <row r="55" ht="20" customHeight="1">
      <c r="A55" s="67" t="inlineStr">
        <is>
          <t>NEWLY SURFACED — never in the earlier study (NOT yet adversarially verified)</t>
        </is>
      </c>
    </row>
    <row r="56" ht="58" customHeight="1">
      <c r="A56" s="7" t="inlineStr">
        <is>
          <t>Larry's Sausage Company, Inc.</t>
        </is>
      </c>
      <c r="B56" s="5" t="inlineStr">
        <is>
          <t>Fayetteville, NC</t>
        </is>
      </c>
      <c r="C56" s="5" t="inlineStr">
        <is>
          <t>200-800/wk (labelled estimate from distribution footprint)</t>
        </is>
      </c>
      <c r="D56" s="5" t="inlineStr">
        <is>
          <t>Talmadge-Aiken TA-8305 — federal, exportable</t>
        </is>
      </c>
      <c r="E56" s="7" t="inlineStr">
        <is>
          <t>not verified</t>
        </is>
      </c>
      <c r="F56" s="5" t="inlineStr">
        <is>
          <t>POSSIBLE</t>
        </is>
      </c>
      <c r="G56" s="5" t="n">
        <v>2</v>
      </c>
      <c r="H56" s="5" t="inlineStr">
        <is>
          <t>Closest structural analogue to Nahunta but WITH export-eligible federal inspection: swine-only, family-owned since 1952, three generations. Treat at pre-verification confidence — the same confidence level that failed elsewhere in this study.</t>
        </is>
      </c>
    </row>
    <row r="57" ht="58" customHeight="1">
      <c r="A57" s="7" t="inlineStr">
        <is>
          <t>Bass Farms, Inc.</t>
        </is>
      </c>
      <c r="B57" s="5" t="inlineStr">
        <is>
          <t>Spring Hope, NC</t>
        </is>
      </c>
      <c r="C57" s="5" t="inlineStr">
        <is>
          <t>unknown — labelled estimate only</t>
        </is>
      </c>
      <c r="D57" s="5" t="inlineStr">
        <is>
          <t>Talmadge-Aiken TA-3521 (no matching M3521 found)</t>
        </is>
      </c>
      <c r="E57" s="7" t="inlineStr">
        <is>
          <t>not verified</t>
        </is>
      </c>
      <c r="F57" s="5" t="inlineStr">
        <is>
          <t>POSSIBLE</t>
        </is>
      </c>
      <c r="G57" s="5" t="n">
        <v>2</v>
      </c>
      <c r="H57" s="5" t="inlineStr">
        <is>
          <t>NCDA&amp;CS lists 'Slaughter only, species C (swine)' — a hog kill floor with NO processing attached is the PUREST Model A structure in the state. Confirm the TA grant is live first.</t>
        </is>
      </c>
    </row>
    <row r="58" ht="58" customHeight="1">
      <c r="A58" s="7" t="inlineStr">
        <is>
          <t>Gunnoe Sausage Company</t>
        </is>
      </c>
      <c r="B58" s="5" t="inlineStr">
        <is>
          <t>Goode, VA</t>
        </is>
      </c>
      <c r="C58" s="5" t="inlineStr">
        <is>
          <t>~450-590/wk (90-110 head/day) — GENUINELY IN BAND</t>
        </is>
      </c>
      <c r="D58" s="5" t="inlineStr">
        <is>
          <t>unknown — establishment number not captured</t>
        </is>
      </c>
      <c r="E58" s="7" t="inlineStr">
        <is>
          <t>not verified</t>
        </is>
      </c>
      <c r="F58" s="5" t="inlineStr">
        <is>
          <t>POSSIBLE</t>
        </is>
      </c>
      <c r="G58" s="5" t="n">
        <v>2</v>
      </c>
      <c r="H58" s="5" t="inlineStr">
        <is>
          <t>Virginia's ONLY genuinely in-band plant, and it was never researched in the earlier pass. Dedicated SOW slaughterhouse since 1965, Bedford County — the same county as EcoFriendly Foods, which the earlier pass recommended at ~1/10th the volume.</t>
        </is>
      </c>
    </row>
    <row r="59" ht="58" customHeight="1">
      <c r="A59" s="7" t="inlineStr">
        <is>
          <t>Kansas City Sausage / Coastal Protein</t>
        </is>
      </c>
      <c r="B59" s="5" t="inlineStr">
        <is>
          <t>Godwin, NC</t>
        </is>
      </c>
      <c r="C59" s="5" t="inlineStr">
        <is>
          <t>~3,500-5,000 sows/wk — marginally over ceiling</t>
        </is>
      </c>
      <c r="D59" s="5" t="inlineStr">
        <is>
          <t>unknown — establishment number not found by any public source</t>
        </is>
      </c>
      <c r="E59" s="40" t="inlineStr">
        <is>
          <t>CONFIRMED OPEN (EPA permits)</t>
        </is>
      </c>
      <c r="F59" s="5" t="inlineStr">
        <is>
          <t>CAUTION</t>
        </is>
      </c>
      <c r="G59" s="5" t="n">
        <v>7</v>
      </c>
      <c r="H59" s="5" t="inlineStr">
        <is>
          <t>Occupies 1600 Martin Road — the site whose identity was confused with Martin's in the earlier pass. Live EPA CAA ('Operating') and NPDES NCG060100 ('Effective' to 2031) permits. SOW anatomy is closer to adult human scale than a 250 lb market hog.</t>
        </is>
      </c>
    </row>
    <row r="60" ht="58" customHeight="1">
      <c r="A60" s="7" t="inlineStr">
        <is>
          <t>Scientific Protein Laboratories · DeWied International</t>
        </is>
      </c>
      <c r="B60" s="5" t="inlineStr">
        <is>
          <t>Waunakee WI · San Antonio TX</t>
        </is>
      </c>
      <c r="C60" s="5" t="inlineStr">
        <is>
          <t>n/a — collectors, not slaughterers</t>
        </is>
      </c>
      <c r="D60" s="5" t="inlineStr">
        <is>
          <t>operate INSIDE third-party USDA plants</t>
        </is>
      </c>
      <c r="E60" s="7" t="inlineStr">
        <is>
          <t>not verified</t>
        </is>
      </c>
      <c r="F60" s="5" t="inlineStr">
        <is>
          <t>STRONG FIT</t>
        </is>
      </c>
      <c r="G60" s="5" t="n">
        <v>1</v>
      </c>
      <c r="H60" s="5" t="inlineStr">
        <is>
          <t>THE MOST UNDER-EXPLOITED FINDING. Heparin/mucosa/natural-casing collectors ALREADY RUN YOUR MODEL A at industrial scale: own crews, inside third-party USDA plants, recovering one tissue under written protocol, paying for line position. Their collection networks are a ready-made map of which US plants accept third-party harvest crews, at what price, under whose HACCP.</t>
        </is>
      </c>
    </row>
    <row r="61" ht="58" customHeight="1">
      <c r="A61" s="7" t="inlineStr">
        <is>
          <t>DeKalb County Packing · Morris Meat Packing</t>
        </is>
      </c>
      <c r="B61" s="5" t="inlineStr">
        <is>
          <t>De Kalb IL · Morris IL</t>
        </is>
      </c>
      <c r="C61" s="5" t="inlineStr">
        <is>
          <t>~2,500-2,700/wk · ~1,500-1,620/wk — BOTH IN BAND</t>
        </is>
      </c>
      <c r="D61" s="5" t="inlineStr">
        <is>
          <t>USDA-FSIS</t>
        </is>
      </c>
      <c r="E61" s="7" t="inlineStr">
        <is>
          <t>not verified</t>
        </is>
      </c>
      <c r="F61" s="5" t="inlineStr">
        <is>
          <t>POSSIBLE</t>
        </is>
      </c>
      <c r="G61" s="5" t="n">
        <v>2</v>
      </c>
      <c r="H61" s="5" t="inlineStr">
        <is>
          <t>Two of the very few US plants genuinely inside 200-3,000 hogs/week. Outside your named regions but worth a call given how few in-band plants exist nationally.</t>
        </is>
      </c>
    </row>
    <row r="63" ht="20" customHeight="1">
      <c r="A63" s="67" t="inlineStr">
        <is>
          <t>COMPLETENESS CRITIC — what we still don't know / didn't cover</t>
        </is>
      </c>
    </row>
    <row r="64" ht="72" customHeight="1">
      <c r="A64" s="11" t="inlineStr">
        <is>
          <t>•  FSIS WAS NEVER REACHABLE by anyone, in any session — Akamai 403 on every request plus proxy 502 on CONNECT to fsis.usda.gov:443. Not one FSIS-hosted primary document was opened directly: not the MPI directory, the establishment demographic dataset, the Quarterly Enforcement Reports, the recall database, or the Export Library. Everything attributed to FSIS came via cached bulk CSVs, search snippets, a text-extraction proxy, or a PETA-mirrored verbatim record.  → FILE AN FSIS FOIA for humane-handling NRs/NOIEs/NOSs on M19904, TA-6720, TA-8305, TA-3521, TA-20129, M21747, M4005, M9065, M7455, M8314 before any contract. Budget 2-6 weeks.</t>
        </is>
      </c>
    </row>
    <row r="65" ht="60" customHeight="1">
      <c r="A65" s="11" t="inlineStr">
        <is>
          <t>•  EVERY 'CLEAN WELFARE RECORD' IS AN ABSENCE OF RECORD UNDER DEGRADED SEARCH, not a verified clean record. Search budget was exhausted in several sessions; Google, Bing, Brave, Mojeek, Ecosia, Startpage, searx, Indeed, Bizapedia, OpenCorporates and archive.org were variously blocked/403/429/CAPTCHA'd.  → Treat welfare as a SITE-VISIT finding, not a records finding. Doubly true for Nahunta: as a state-inspected plant it sits OUTSIDE FSIS Humane Methods of Slaughter Act enforcement reporting, so FSIS records for it will never exist regardless of conduct, and NCDA&amp;CS publishes no equivalent.</t>
        </is>
      </c>
    </row>
    <row r="66" ht="36" customHeight="1">
      <c r="A66" s="11" t="inlineStr">
        <is>
          <t>•  SOUTH CAROLINA LEGALLY REFUSES to release humane-handling enforcement records (AWI 2025: SC cited a state law prohibiting release of information identifying a person or private business).  → For any SC state-inspected plant, public-record welfare screening returns false negatives BY CONSTRUCTION. On-site audit or federal-plant FOIA only.</t>
        </is>
      </c>
    </row>
    <row r="67" ht="36" customHeight="1">
      <c r="A67" s="11" t="inlineStr">
        <is>
          <t>•  DO NOT LET ANYONE CITE 'NC is a top-rated humane state.' AWI's actual Figure 13 (2019-22, state-inspected plants) shows NC 19 NRs / 2 suspensions / 56 plants and SC 27 / 1 / 55 — and AWI presents NC's low NR rate as a possible UNDER-ENFORCEMENT signal, not an endorsement. TN has no state program at all; all commercial TN slaughter is federal.</t>
        </is>
      </c>
    </row>
    <row r="68" ht="48" customHeight="1">
      <c r="A68" s="11" t="inlineStr">
        <is>
          <t>•  ALMOST EVERY VOLUME NUMBER descends from ONE 2016/17 source (EMI Analytics), it is nine years old, paywalled, and it measures NAMEPLATE CAPACITY, not throughput. Two verifiers reached OPPOSITE conclusions about the same EMI row for Martin's.  → Treat every head-count here as a hypothesis to close on the phone with: 'how many hogs did you kill LAST WEEK?' — not last year, not capacity.</t>
        </is>
      </c>
    </row>
    <row r="69" ht="72" customHeight="1">
      <c r="A69" s="11" t="inlineStr">
        <is>
          <t>•  NO APHIS OR EU/TRACES LISTING WAS VERIFIED FOR ANY FACILITY. APHIS publishes no searchable establishment list; TRACES-NT is a JS app a human can browse but automation cannot; the FSIS EU eligibility list was never reached; usda-eu.org 503'd.  → ONE EMAIL OPENS THIS: vs.export.product.facilities@usda.gov (APHIS VS Facility Packages Team). Ask (a) what establishment-level listing is required for Cat 3 porcine tissue for research/surgical training under Reg. 1069/2009, and (b) whether federal or TA slaughter inspection is a HARD PREREQUISITE. The answer to (b) decides whether Nahunta can ever be in the EU chain.</t>
        </is>
      </c>
    </row>
    <row r="70" ht="60" customHeight="1">
      <c r="A70" s="11" t="inlineStr">
        <is>
          <t>•  THE '121 FACILITIES' HEADLINE IS INFLATED — at least six organisations are double/triple-counted (Smithfield BioScience x3, SSR x3, Tissue Source x2, Midwest Research Swine x2, WG Biomedical x2, Animal Biotech x2 = ~14 entries for 6 organisations), plus rollup lines counting ~20 NC custom-exempt plants as one. Two entries CONTRADICT each other (WG Biomedical listed once as Ames IA and once as Pennsylvania).  → Do not present '121 facilities screened' externally without restating it as DISTINCT facilities.</t>
        </is>
      </c>
    </row>
    <row r="71" ht="72" customHeight="1">
      <c r="A71" s="11" t="inlineStr">
        <is>
          <t>•  ELEVEN NAMED IN-BAND PLANTS AND SEVEN STATES WERE NEVER EXAMINED: Kentucky (F.B. Purnell, 500 hd/day sow), Ohio (Pioneer Packing 450; Bob Evans Xenia 500), Michigan (Bob Evans Hillsdale 500), Alabama (Dean Sausage, M6621+P6621, ~85 employees, founded 1955), Oregon (Masami 500; Carleton 375; Dayton 200), Texas (Fisher Ham and Meat, Navasota, 500), New Jersey (Dealaman 200), Virginia (Gunnoe 90). PENNSYLVANIA IS A SELF-INFLICTED GAP — the study's own Animal Biotech entry records that its animals are 'predominantly processed at Pennsylvania abattoirs', a free named lead that was written down and never followed.</t>
        </is>
      </c>
    </row>
    <row r="72" ht="36" customHeight="1">
      <c r="A72" s="11" t="inlineStr">
        <is>
          <t>•  THREE CANDIDATES CARRY UNRESOLVED STATUS QUESTIONS a single call closes: Acre Station's contested CUSTOM EXEMPT grant-type label (if true it kills saleability and exportability); Bass Farms' missing federal M3521 counterpart; and Kansas City Sausage's entirely unknown establishment number.</t>
        </is>
      </c>
    </row>
    <row r="73" ht="60" customHeight="1">
      <c r="A73" s="11" t="inlineStr">
        <is>
          <t>•  METHODOLOGICAL FINDING WORTH ACTING ON: one filter would have saved most of this study's effort. Dozens of multi-species custom plants (species codes A,B,C,D,E) were each evaluated and each concluded 'likely below 200 hogs/wk' — predictable a priori, because a kill floor shared across cattle, lamb, goat and poultry cannot deliver hog volume.  → For any future sweep, filter FIRST on swine-only slaughter species PLUS slaughter volume category &gt;= 3, run nationally against the FSIS MPI bulk dataset in a single query.</t>
        </is>
      </c>
    </row>
    <row r="75" ht="20" customHeight="1">
      <c r="A75" s="67" t="inlineStr">
        <is>
          <t>STRATEGIC READ  (given the 200-3,000/wk floor + EU export)</t>
        </is>
      </c>
    </row>
    <row r="76" ht="72" customHeight="1">
      <c r="A76" s="11" t="inlineStr">
        <is>
          <t>•  THE CORE PROBLEM: your volume band is not a preference — it describes a market segment that has been hollowed out. Above it sit ~30 industrial plants at 5,000-35,000 head/day. Below it sit several hundred very-small multi-species custom shops doing tens of hogs a week. Between them sit ~17 plants nationally, 8 of them cull-sow. Your CULTURAL criterion correlates with plants that are too SMALL; your EXPORT criterion correlates with plants that are too BIG or too CORPORATE. No single facility in this study satisfies volume + culture + federal inspection + EU listing + organ capability simultaneously. DO NOT KEEP SEARCHING FOR ONE.</t>
        </is>
      </c>
    </row>
    <row r="77" ht="24" customHeight="1">
      <c r="A77" s="11" t="inlineStr">
        <is>
          <t>•  RECOMMENDATION — A THREE-LANE PORTFOLIO, NOT A SINGLE PLANT.</t>
        </is>
      </c>
    </row>
    <row r="78" ht="84" customHeight="1">
      <c r="A78" s="11" t="inlineStr">
        <is>
          <t>•  LANE 1 — DOMESTIC ANCHOR: Nahunta (P-80A), deepened immediately. It already operates a research-specimen channel under a formal NCDA&amp;CS mechanism and already pulls viscera off the kill floor intact for retail. That combination exists nowhere else in the study at any price. Its state-only grant caps it at US domestic supply — which is fine, because your domestic surgical-training and research market does not require EU listing. Structure it as MODEL A (your harvesters, your protocol, rented line and cooler), which fits a state-inspected plant far better than Model B. In parallel raise Talmadge-Aiken conversion — same inspectors — but present it internally as a real federal grant-of-inspection project with HACCP validation, sanitation SOPs, facility standards, timeline and cost. It is NOT a paperwork flip.</t>
        </is>
      </c>
    </row>
    <row r="79" ht="72" customHeight="1">
      <c r="A79" s="11" t="inlineStr">
        <is>
          <t>•  LANE 2 — EU-ELIGIBLE VOLUME: a Talmadge-Aiken swine-only NC plant, chosen from three. For anything Europe-bound you need slaughter under federal grant, full stop, because Cat 3 status depends on ante-/post-mortem inspection. The three candidates are all in NC, all swine-only, all TA, all within a two-hour radius of each other AND of Nahunta: Martin's Pork Products (TA-6720), Larry's Sausage (TA-8305) and Bass Farms (TA-3521). CALL ALL THREE INSIDE ONE WEEK and let actual weekly kill numbers pick the winner. Budget one adversarial verification pass on whichever wins — none of the three has been verified to the standard applied to Nahunta and Martin's.</t>
        </is>
      </c>
    </row>
    <row r="80" ht="72" customHeight="1">
      <c r="A80" s="11" t="inlineStr">
        <is>
          <t>•  LANE 3 — ORGAN CAPABILITY AND EU PATH: buy the capability rather than build it, at first. Smithfield BioScience is the only verified organ programme in the study, with stated farm-to-processing traceability and an existing EU pharmaceutical trade in heparin API — its European regulatory footprint is the single most valuable thing any counterparty here could bring you. Approach eyes-open: it may regard you as a competitor rather than a customer, its stunning systems are a different cultural universe from Nahunta, and its APHIS/EU status is assumed, not verified. Treat Lane 3 as BOTH a supply option AND competitive intelligence.</t>
        </is>
      </c>
    </row>
    <row r="81" ht="60" customHeight="1">
      <c r="A81" s="11" t="inlineStr">
        <is>
          <t>•  ON MULTI-PLANT AGGREGATION — yes, but as a GEOGRAPHIC CLUSTER, not a scattered network. The eastern NC / Wilson County concentration (Nahunta, Bass Farms, Custom Quality Packers, George Flowers, Acre Station, Riverside Meats) puts several hog-capable plants inside a short radius. A mobile harvest team running Nahunta Mon-Tue and a cluster plant Wed-Thu solves at 600-800 hogs/week what no single sub-band plant solves alone. Aggregation only works if plants are close enough to SHARE ONE CREW — which is why the eastern NC cluster beats an equivalent head count spread across TN, VA and SC.</t>
        </is>
      </c>
    </row>
    <row r="82" ht="48" customHeight="1">
      <c r="A82" s="11" t="inlineStr">
        <is>
          <t>•  ON BUY-DIRECT — keep it as the HEDGE, not the plan. It is the fastest route to EU-eligible material and needs no plant relationship, but it cedes margin, cedes control of the harvest protocol that is presumably your differentiation, and hands your volume forecast to a potential competitor. Use it to service early European orders while Lanes 1 and 2 mature; do not build the company on it.</t>
        </is>
      </c>
    </row>
    <row r="83" ht="84" customHeight="1">
      <c r="A83" s="11" t="inlineStr">
        <is>
          <t>•  THE THREE HIGHEST-ROI NEXT ACTIONS, IN ORDER:  (1) WRITE THE ANATOMICAL SPEC — live weight range, parity, per block type. A one-day internal exercise that determines whether five sow plants stay on the list or come off it.  (2) EMAIL APHIS VS (vs.export.product.facilities@usda.gov) on the ABP/Cat 3 pathway — one email resolves the question governing your entire plant selection.  (3) INTERVIEW A MUCOSA OR CASING COLLECTOR (Scientific Protein Laboratories, Waunakee WI; or DeWied International, San Antonio TX) — they already run your Model A at industrial scale, and their collection networks are the map you have been trying to build from directories: which US plants let a third-party crew onto the line, at what price, in what position, under whose HACCP.</t>
        </is>
      </c>
    </row>
    <row r="85" ht="20" customHeight="1">
      <c r="A85" s="67" t="inlineStr">
        <is>
          <t>METHOD &amp; CONFIDENCE</t>
        </is>
      </c>
    </row>
    <row r="86" ht="36" customHeight="1">
      <c r="A86" s="68" t="inlineStr">
        <is>
          <t>•  Run as a 5-phase multi-agent workflow: Discover (6 parallel regional/national sweeps) → Compliance (3 sweeps: USDA/FSIS enforcement x2 + APHIS/EU export mechanics) → Verify (10 adversarial verifiers, high reasoning effort) → Completeness critic → Executive synthesis.</t>
        </is>
      </c>
    </row>
    <row r="87" ht="24" customHeight="1">
      <c r="A87" s="68" t="inlineStr">
        <is>
          <t>•  21 agents · 121 raw facility records (see caveat on double-counting) · 10 candidates adversarially verified · ~2.0M tokens · 1,091 tool calls · 0 agent errors.</t>
        </is>
      </c>
    </row>
    <row r="88" ht="48" customHeight="1">
      <c r="A88" s="68" t="inlineStr">
        <is>
          <t>•  Verifiers were instructed to REFUTE rather than confirm, and were pointed at the specific failure modes that had already produced errors: identity confusion (the Martin's Falcon vs Martin's Abattoir Godwin case, supplied as a worked example), closure/operating status, cut-and-wrap vs on-site slaughter, capacity-vs-actual volume, inspection-type confusion, welfare branding vs enforcement record, and stale contact details.</t>
        </is>
      </c>
    </row>
    <row r="89" ht="24" customHeight="1">
      <c r="A89" s="68" t="inlineStr">
        <is>
          <t>•  Result: of 10 verified candidates, 2 were PROMOTED, 6 DOWNGRADED, and 2 KILLED — including both of the earlier pass's top picks in NC and VA. This tab's verdicts take precedence over the earlier tabs wherever they disagree.</t>
        </is>
      </c>
    </row>
    <row r="90" ht="24" customHeight="1">
      <c r="A90" s="68" t="inlineStr">
        <is>
          <t>•  Confidence vocabulary used throughout: VERIFIED (primary source cited) · INFERRED (reasoned from verified facts) · UNVERIFIED (asserted, not confirmed) · NONE FOUND (absence of public record, which is NOT proof of a clean record).</t>
        </is>
      </c>
    </row>
  </sheetData>
  <autoFilter ref="A43:H43"/>
  <mergeCells count="65">
    <mergeCell ref="A9:H9"/>
    <mergeCell ref="A67:H67"/>
    <mergeCell ref="C34:G34"/>
    <mergeCell ref="A77:H77"/>
    <mergeCell ref="A15:H15"/>
    <mergeCell ref="A83:H83"/>
    <mergeCell ref="A73:H73"/>
    <mergeCell ref="C33:G33"/>
    <mergeCell ref="A64:H64"/>
    <mergeCell ref="A82:H82"/>
    <mergeCell ref="B24:H24"/>
    <mergeCell ref="A11:H11"/>
    <mergeCell ref="A1:H1"/>
    <mergeCell ref="A79:H79"/>
    <mergeCell ref="B20:H20"/>
    <mergeCell ref="A6:H6"/>
    <mergeCell ref="A88:H88"/>
    <mergeCell ref="A70:H70"/>
    <mergeCell ref="C35:G35"/>
    <mergeCell ref="A78:H78"/>
    <mergeCell ref="B26:H26"/>
    <mergeCell ref="A69:H69"/>
    <mergeCell ref="A7:H7"/>
    <mergeCell ref="A65:H65"/>
    <mergeCell ref="A87:H87"/>
    <mergeCell ref="A90:H90"/>
    <mergeCell ref="A66:H66"/>
    <mergeCell ref="C31:G31"/>
    <mergeCell ref="B25:H25"/>
    <mergeCell ref="A75:H75"/>
    <mergeCell ref="A80:H80"/>
    <mergeCell ref="C40:G40"/>
    <mergeCell ref="A89:H89"/>
    <mergeCell ref="A12:H12"/>
    <mergeCell ref="B22:H22"/>
    <mergeCell ref="A55:H55"/>
    <mergeCell ref="B18:H18"/>
    <mergeCell ref="B27:H27"/>
    <mergeCell ref="A86:H86"/>
    <mergeCell ref="B21:H21"/>
    <mergeCell ref="A2:H2"/>
    <mergeCell ref="A71:H71"/>
    <mergeCell ref="A85:H85"/>
    <mergeCell ref="A42:H42"/>
    <mergeCell ref="A76:H76"/>
    <mergeCell ref="A14:H14"/>
    <mergeCell ref="C36:G36"/>
    <mergeCell ref="A5:H5"/>
    <mergeCell ref="C39:G39"/>
    <mergeCell ref="A8:H8"/>
    <mergeCell ref="A17:H17"/>
    <mergeCell ref="B23:H23"/>
    <mergeCell ref="A4:H4"/>
    <mergeCell ref="A29:H29"/>
    <mergeCell ref="C32:G32"/>
    <mergeCell ref="C38:G38"/>
    <mergeCell ref="A81:H81"/>
    <mergeCell ref="A63:H63"/>
    <mergeCell ref="A72:H72"/>
    <mergeCell ref="A10:H10"/>
    <mergeCell ref="A13:H13"/>
    <mergeCell ref="C37:G37"/>
    <mergeCell ref="A44:H44"/>
    <mergeCell ref="A68:H68"/>
    <mergeCell ref="B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2026-08-04T17:09:42Z</dcterms:created>
  <dcterms:modified xsi:type="dcterms:W3CDTF">2026-08-04T17:09:43Z</dcterms:modified>
</cp:coreProperties>
</file>