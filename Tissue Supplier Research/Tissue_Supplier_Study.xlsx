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Overview &amp; Method" sheetId="1" state="visible" r:id="rId1"/>
    <sheet xmlns:r="http://schemas.openxmlformats.org/officeDocument/2006/relationships" name="Meeting Notes 2026-08" sheetId="2" state="visible" r:id="rId2"/>
    <sheet xmlns:r="http://schemas.openxmlformats.org/officeDocument/2006/relationships" name="Action Items" sheetId="3" state="visible" r:id="rId3"/>
    <sheet xmlns:r="http://schemas.openxmlformats.org/officeDocument/2006/relationships" name="Anatomical Spec" sheetId="4" state="visible" r:id="rId4"/>
    <sheet xmlns:r="http://schemas.openxmlformats.org/officeDocument/2006/relationships" name="Legend &amp; Scoring" sheetId="5" state="visible" r:id="rId5"/>
    <sheet xmlns:r="http://schemas.openxmlformats.org/officeDocument/2006/relationships" name="Supplier Roster" sheetId="6" state="visible" r:id="rId6"/>
    <sheet xmlns:r="http://schemas.openxmlformats.org/officeDocument/2006/relationships" name="National Direct Suppliers" sheetId="7" state="visible" r:id="rId7"/>
    <sheet xmlns:r="http://schemas.openxmlformats.org/officeDocument/2006/relationships" name="Models &amp; Make-vs-Buy" sheetId="8" state="visible" r:id="rId8"/>
    <sheet xmlns:r="http://schemas.openxmlformats.org/officeDocument/2006/relationships" name="TCO Calculator" sheetId="9" state="visible" r:id="rId9"/>
    <sheet xmlns:r="http://schemas.openxmlformats.org/officeDocument/2006/relationships" name="APHIS &amp; EU Export" sheetId="10" state="visible" r:id="rId10"/>
    <sheet xmlns:r="http://schemas.openxmlformats.org/officeDocument/2006/relationships" name="Call Question Sheet" sheetId="11" state="visible" r:id="rId11"/>
    <sheet xmlns:r="http://schemas.openxmlformats.org/officeDocument/2006/relationships" name="Sources &amp; Confidence" sheetId="12" state="visible" r:id="rId12"/>
    <sheet xmlns:r="http://schemas.openxmlformats.org/officeDocument/2006/relationships" name="Deep Study (Verified)" sheetId="13" state="visible" r:id="rId13"/>
  </sheets>
  <definedNames>
    <definedName name="_xlnm._FilterDatabase" localSheetId="5" hidden="1">'Supplier Roster'!$A$4:$R$4</definedName>
    <definedName name="_xlnm._FilterDatabase" localSheetId="6" hidden="1">'National Direct Suppliers'!$A$4:$I$4</definedName>
    <definedName name="_xlnm._FilterDatabase" localSheetId="12"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5">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s>
  <fills count="30">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2">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58.6" customHeight="1" s="59">
      <c r="A30"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0" s="65" t="n"/>
    </row>
    <row r="31" ht="45.2" customHeight="1" s="59">
      <c r="A31"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1" s="65" t="n"/>
    </row>
    <row r="32" ht="58.6" customHeight="1" s="59">
      <c r="A32"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2" s="65" t="n"/>
    </row>
    <row r="33" ht="45.2" customHeight="1" s="59">
      <c r="A33"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3" s="65" t="n"/>
    </row>
    <row r="34" ht="58.6" customHeight="1" s="59">
      <c r="A34"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4" s="65" t="n"/>
    </row>
    <row r="35" ht="72" customHeight="1" s="59">
      <c r="A35"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5" s="65" t="n"/>
    </row>
    <row r="36" ht="72" customHeight="1" s="59">
      <c r="A36" s="6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6" s="65" t="n"/>
    </row>
    <row r="37" ht="58.6" customHeight="1" s="59">
      <c r="A37"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7" s="65" t="n"/>
    </row>
    <row r="38" ht="58.6" customHeight="1" s="59">
      <c r="A38"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8" s="65" t="n"/>
    </row>
    <row r="39" ht="45.2" customHeight="1" s="59">
      <c r="A39"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9" s="65" t="n"/>
    </row>
    <row r="40" ht="31.8" customHeight="1" s="59">
      <c r="A40" s="6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40" s="65" t="n"/>
    </row>
    <row r="41" ht="45.2" customHeight="1" s="59">
      <c r="A4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1" s="65" t="n"/>
    </row>
    <row r="42" ht="31.8" customHeight="1" s="59">
      <c r="A42" s="6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42" s="65" t="n"/>
    </row>
    <row r="43" ht="45.2" customHeight="1" s="59">
      <c r="A4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3" s="65" t="n"/>
    </row>
    <row r="44" ht="58.6" customHeight="1" s="59">
      <c r="A44" s="6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4" s="65" t="n"/>
    </row>
    <row r="45" ht="72" customHeight="1" s="59">
      <c r="A4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5" s="65" t="n"/>
    </row>
    <row r="46" ht="58.6" customHeight="1" s="59">
      <c r="A4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6" s="65" t="n"/>
    </row>
    <row r="47" ht="45.2" customHeight="1" s="59">
      <c r="A4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7" s="65" t="n"/>
    </row>
    <row r="48" ht="58.6" customHeight="1" s="59">
      <c r="A4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8" s="65" t="n"/>
    </row>
    <row r="49" ht="45.2" customHeight="1" s="59">
      <c r="A4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9" s="65" t="n"/>
    </row>
    <row r="50" ht="72" customHeight="1" s="59">
      <c r="A5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0" s="65" t="n"/>
    </row>
    <row r="51" ht="45.2" customHeight="1" s="59">
      <c r="A5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1" s="65" t="n"/>
    </row>
    <row r="52" ht="31.8" customHeight="1" s="59">
      <c r="A5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2" s="65" t="n"/>
    </row>
    <row r="53" ht="31.8" customHeight="1" s="59">
      <c r="A53"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3" s="65" t="n"/>
    </row>
  </sheetData>
  <mergeCells count="38">
    <mergeCell ref="A48:B48"/>
    <mergeCell ref="A30:B30"/>
    <mergeCell ref="A49:B49"/>
    <mergeCell ref="A51:B51"/>
    <mergeCell ref="A45:B45"/>
    <mergeCell ref="A36:B36"/>
    <mergeCell ref="A1:B1"/>
    <mergeCell ref="A6:B6"/>
    <mergeCell ref="A16:B16"/>
    <mergeCell ref="A25:B25"/>
    <mergeCell ref="A41:B41"/>
    <mergeCell ref="A37:B37"/>
    <mergeCell ref="A46:B46"/>
    <mergeCell ref="A27:B27"/>
    <mergeCell ref="A12:B12"/>
    <mergeCell ref="A50:B50"/>
    <mergeCell ref="A26:B26"/>
    <mergeCell ref="A2:B2"/>
    <mergeCell ref="A33:B33"/>
    <mergeCell ref="A47:B47"/>
    <mergeCell ref="A5:B5"/>
    <mergeCell ref="A42:B42"/>
    <mergeCell ref="A32:B32"/>
    <mergeCell ref="A23:B23"/>
    <mergeCell ref="A22:B22"/>
    <mergeCell ref="A53:B53"/>
    <mergeCell ref="A35:B35"/>
    <mergeCell ref="A4:B4"/>
    <mergeCell ref="A38:B38"/>
    <mergeCell ref="A29:B29"/>
    <mergeCell ref="A52:B52"/>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9"/>
  <sheetViews>
    <sheetView showGridLines="0" topLeftCell="A33" workbookViewId="0">
      <selection activeCell="A13" sqref="A13"/>
    </sheetView>
  </sheetViews>
  <sheetFormatPr baseColWidth="8" defaultRowHeight="14.4"/>
  <cols>
    <col width="30" customWidth="1" style="59" min="1" max="1"/>
    <col width="62" customWidth="1" style="59" min="2" max="2"/>
    <col width="28" customWidth="1" style="59" min="3" max="3"/>
    <col width="16" customWidth="1" style="59" min="4" max="4"/>
    <col width="12" customWidth="1" style="59" min="5" max="6"/>
    <col width="12" customWidth="1" style="59" min="6" max="6"/>
  </cols>
  <sheetData>
    <row r="1" ht="25.1" customHeight="1" s="59">
      <c r="A1" s="117" t="inlineStr">
        <is>
          <t>Action Items — next steps to pick the slaughterhouse</t>
        </is>
      </c>
    </row>
    <row r="2" ht="31.8"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58.6"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79.2"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246.2"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72"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8.6" customHeight="1" s="59">
      <c r="A10" s="4" t="inlineStr">
        <is>
          <t>2. Outreach kickoff</t>
        </is>
      </c>
      <c r="B10" s="68" t="inlineStr">
        <is>
          <t>Assign who contacts which plant; finalize the RFQ/P and NDA; set a return-by date. Call the three Talmadge-Aiken NC plants (Martin's, Larry's, Bass Farms) INSIDE ONE WEEK and let actual weekly kill numbers pick the winner.</t>
        </is>
      </c>
      <c r="C10" s="68" t="inlineStr">
        <is>
          <t>Procurement + Harvest lead</t>
        </is>
      </c>
      <c r="D10" s="68" t="inlineStr">
        <is>
          <t>Right after Mtg 1</t>
        </is>
      </c>
      <c r="E10" s="5" t="n"/>
      <c r="F10" s="5" t="inlineStr">
        <is>
          <t>Not started</t>
        </is>
      </c>
    </row>
    <row r="11" ht="58.6" customHeight="1" s="59">
      <c r="A11" s="4" t="inlineStr">
        <is>
          <t>3. Shortlist review &amp; scoring</t>
        </is>
      </c>
      <c r="B11" s="68" t="inlineStr">
        <is>
          <t>Compare returned weekly kill numbers / quotes; score against the agreed weighting; pick the Lane-2 winner. Budget ONE adversarial verification pass on whichever plant wins — Larry's and Bass Farms have never been verified.</t>
        </is>
      </c>
      <c r="C11" s="68" t="inlineStr">
        <is>
          <t>Core team</t>
        </is>
      </c>
      <c r="D11" s="68" t="inlineStr">
        <is>
          <t>As RFQ/Ps return</t>
        </is>
      </c>
      <c r="E11" s="5" t="n"/>
      <c r="F11" s="5" t="inlineStr">
        <is>
          <t>Not started</t>
        </is>
      </c>
    </row>
    <row r="12" ht="58.6" customHeight="1" s="59">
      <c r="A12" s="4" t="inlineStr">
        <is>
          <t>4. FSIS FOIA on shortlist establishments</t>
        </is>
      </c>
      <c r="B12" s="68" t="inlineStr">
        <is>
          <t>FSIS was unreachable in every research session. File for humane-handling NRs / NOIEs / NOSs on M19904, TA-6720, TA-8305, TA-3521, TA-20129, M21747, M4005, M9065, M7455, M8314. Budget 2-6 weeks — start it in parallel with outreach.</t>
        </is>
      </c>
      <c r="C12" s="68" t="inlineStr">
        <is>
          <t>QA / Regulatory</t>
        </is>
      </c>
      <c r="D12" s="68" t="inlineStr">
        <is>
          <t>Start now (long lead)</t>
        </is>
      </c>
      <c r="E12" s="5" t="n"/>
      <c r="F12" s="5" t="inlineStr">
        <is>
          <t>Not started</t>
        </is>
      </c>
    </row>
    <row r="13" ht="58.6"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SLAUGHTERHOUSES — reach these first</t>
        </is>
      </c>
    </row>
    <row r="16" ht="18.4"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8.6" customHeight="1" s="59">
      <c r="A17" s="4" t="inlineStr">
        <is>
          <t>1. Nahunta Slaughter House (P-80A)
Pikeville, NC</t>
        </is>
      </c>
      <c r="B17" s="68" t="inlineStr">
        <is>
          <t>LANE 1 — DOMESTIC ANCHOR. Only candidate with a PUBLISHED research-specimen pathway, and fresh spleens/hearts/livers as retail SKUs (viscera leave the kill floor intact). Culture benchmark. NOTE: state-inspected = NC sales only, so domestic lane only.</t>
        </is>
      </c>
      <c r="C17" s="68" t="inlineStr">
        <is>
          <t>(919) 242-4735
nahuntapork.com/specimen-permits1</t>
        </is>
      </c>
      <c r="D17" s="68" t="inlineStr">
        <is>
          <t>Short site/call RFQ/P</t>
        </is>
      </c>
      <c r="E17" s="5" t="n"/>
      <c r="F17" s="5" t="inlineStr">
        <is>
          <t>Not started</t>
        </is>
      </c>
    </row>
    <row r="18" ht="45.2" customHeight="1" s="59">
      <c r="A18" s="4" t="inlineStr">
        <is>
          <t>2. Martin's Pork Products (TA-6720)
Falcon, NC</t>
        </is>
      </c>
      <c r="B18" s="68" t="inlineStr">
        <is>
          <t>LANE 2 — the incumbent, now plausibly IN BAND (200-1,500/wk after the 6,500 figure was refuted). Hog-only, federally inspected, export-structurally eligible. Cheap call.</t>
        </is>
      </c>
      <c r="C18" s="68" t="inlineStr">
        <is>
          <t>(910) 980-1501
beth@martinspork.com</t>
        </is>
      </c>
      <c r="D18" s="68" t="inlineStr">
        <is>
          <t>Formatted email RFQ/P</t>
        </is>
      </c>
      <c r="E18" s="5" t="n"/>
      <c r="F18" s="5" t="inlineStr">
        <is>
          <t>Not started</t>
        </is>
      </c>
    </row>
    <row r="19" ht="45.2" customHeight="1" s="59">
      <c r="A19" s="4" t="inlineStr">
        <is>
          <t>3. Larry's Sausage Company (TA-8305)
Fayetteville, NC</t>
        </is>
      </c>
      <c r="B19" s="68" t="inlineStr">
        <is>
          <t>LANE 2 — closest cultural analogue to Nahunta BUT with export-eligible federal TA inspection. Swine-only, family-owned since 1952, three generations. NEVER adversarially verified — treat with care.</t>
        </is>
      </c>
      <c r="C19" s="68" t="inlineStr">
        <is>
          <t>Fayetteville, NC — get number from NCDA&amp;CS TA directory</t>
        </is>
      </c>
      <c r="D19" s="68" t="inlineStr">
        <is>
          <t>Short site/call RFQ/P</t>
        </is>
      </c>
      <c r="E19" s="5" t="n"/>
      <c r="F19" s="5" t="inlineStr">
        <is>
          <t>Not started</t>
        </is>
      </c>
    </row>
    <row r="20" ht="45.2" customHeight="1" s="59">
      <c r="A20" s="4" t="inlineStr">
        <is>
          <t>4. Bass Farms, Inc. (TA-3521)
Spring Hope, NC</t>
        </is>
      </c>
      <c r="B20" s="68" t="inlineStr">
        <is>
          <t>LANE 2 — 'Slaughter only, species C (swine)': a hog kill floor with NO processing attached is the PUREST Model A structure in the state. NEVER adversarially verified.</t>
        </is>
      </c>
      <c r="C20" s="68" t="inlineStr">
        <is>
          <t>Spring Hope, NC — get number from NCDA&amp;CS TA directory</t>
        </is>
      </c>
      <c r="D20" s="68" t="inlineStr">
        <is>
          <t>Short site/call RFQ/P</t>
        </is>
      </c>
      <c r="E20" s="5" t="n"/>
      <c r="F20" s="5" t="inlineStr">
        <is>
          <t>Not started</t>
        </is>
      </c>
    </row>
    <row r="21" ht="45.2" customHeight="1" s="59">
      <c r="A21" s="4" t="inlineStr">
        <is>
          <t>5. Gunnoe Sausage Company
Goode, VA</t>
        </is>
      </c>
      <c r="B21" s="68" t="inlineStr">
        <is>
          <t>Virginia's ONLY genuinely in-band plant (~450-590 hogs/wk) — and it was never researched in the first pass. Dedicated sow slaughterhouse since 1965.</t>
        </is>
      </c>
      <c r="C21" s="68" t="inlineStr">
        <is>
          <t>(540) 586-1091
3989 Cifax Rd, Goode VA 24556</t>
        </is>
      </c>
      <c r="D21" s="68" t="inlineStr">
        <is>
          <t>Short site/call RFQ/P</t>
        </is>
      </c>
      <c r="E21" s="5" t="n"/>
      <c r="F21" s="5" t="inlineStr">
        <is>
          <t>Not started</t>
        </is>
      </c>
    </row>
    <row r="22" ht="58.6" customHeight="1" s="59">
      <c r="A22" s="4" t="inlineStr">
        <is>
          <t>6. Smithfield BioScience
Tar Heel, NC (M18079)</t>
        </is>
      </c>
      <c r="B22" s="68" t="inlineStr">
        <is>
          <t>LANE 3 — the ONLY verified organ programme in the study (aortas, valves, pericardium, peritoneum, mucosa, pancreas, pituitary, tendons) + existing EU pharmaceutical trade. Approach as BOTH supply option AND competitive intelligence.</t>
        </is>
      </c>
      <c r="C22" s="68" t="inlineStr">
        <is>
          <t>smithfieldbioscience.com</t>
        </is>
      </c>
      <c r="D22" s="68" t="inlineStr">
        <is>
          <t>Short site RFQ/P</t>
        </is>
      </c>
      <c r="E22" s="5" t="n"/>
      <c r="F22" s="5" t="inlineStr">
        <is>
          <t>Not started</t>
        </is>
      </c>
    </row>
    <row r="23" ht="45.2" customHeight="1" s="59">
      <c r="A23" s="4" t="inlineStr">
        <is>
          <t>7. Kansas City Sausage / Coastal Protein
Godwin, NC</t>
        </is>
      </c>
      <c r="B23" s="68" t="inlineStr">
        <is>
          <t>~3,500-5,000 sows/wk — marginally over ceiling, but SOW anatomy is closer to adult human scale. Confirmed operating via live EPA permits. (This is the plant whose identity was confused with Martin's.)</t>
        </is>
      </c>
      <c r="C23" s="68" t="inlineStr">
        <is>
          <t>1600 Martin Road, Godwin NC</t>
        </is>
      </c>
      <c r="D23" s="68" t="inlineStr">
        <is>
          <t>Short site/call RFQ/P</t>
        </is>
      </c>
      <c r="E23" s="5" t="n"/>
      <c r="F23" s="5" t="inlineStr">
        <is>
          <t>Not started</t>
        </is>
      </c>
    </row>
    <row r="24" ht="45.2" customHeight="1" s="59">
      <c r="A24" s="4" t="inlineStr">
        <is>
          <t>8. Wampler's Farm Sausage (M9065)
Lenoir City, TN</t>
        </is>
      </c>
      <c r="B24" s="68" t="inlineStr">
        <is>
          <t>Real federal grant, real kill floor, ~1,500-1,620/wk. Family-owned since 1937 — but production hiring routes through 3 staffing agencies at $12-14/hr, against your tenure criterion.</t>
        </is>
      </c>
      <c r="C24" s="68" t="inlineStr">
        <is>
          <t>(865) 986-2056  (plant line, NOT 1-800-SAUSAGE)</t>
        </is>
      </c>
      <c r="D24" s="68" t="inlineStr">
        <is>
          <t>Formatted email RFQ/P</t>
        </is>
      </c>
      <c r="E24" s="5" t="n"/>
      <c r="F24" s="5" t="inlineStr">
        <is>
          <t>Not started</t>
        </is>
      </c>
    </row>
    <row r="25" ht="45.2" customHeight="1" s="59">
      <c r="A25" s="4" t="inlineStr">
        <is>
          <t>9. Custom Quality Packers (TA-20129)
Sims, NC</t>
        </is>
      </c>
      <c r="B25" s="68" t="inlineStr">
        <is>
          <t>One of only ~7 swine-only establishments in NC, federally inspected. Anchors a WILSON COUNTY CLUSTER play with Bass Farms and George Flowers — aggregation only works if plants share one crew.</t>
        </is>
      </c>
      <c r="C25" s="68" t="inlineStr">
        <is>
          <t>(252) 235-3558</t>
        </is>
      </c>
      <c r="D25" s="68" t="inlineStr">
        <is>
          <t>Short site/call RFQ/P</t>
        </is>
      </c>
      <c r="E25" s="5" t="n"/>
      <c r="F25" s="5" t="inlineStr">
        <is>
          <t>Not started</t>
        </is>
      </c>
    </row>
    <row r="26" ht="45.2" customHeight="1" s="59">
      <c r="A26" s="4" t="inlineStr">
        <is>
          <t>10. Williamsburg Packing (M4005)
Kingstree, SC</t>
        </is>
      </c>
      <c r="B26" s="68" t="inlineStr">
        <is>
          <t>ONE speculative call only. Its voluntary grant V4005 is the mechanism used for non-amenable species — directly relevant to research tissue. Welfare certifications REFUTED, so do not lead with those.</t>
        </is>
      </c>
      <c r="C26" s="68" t="inlineStr">
        <is>
          <t>(843) 355-6447</t>
        </is>
      </c>
      <c r="D26" s="68" t="inlineStr">
        <is>
          <t>Short site/call RFQ/P</t>
        </is>
      </c>
      <c r="E26" s="5" t="n"/>
      <c r="F26" s="5" t="inlineStr">
        <is>
          <t>Not started</t>
        </is>
      </c>
    </row>
    <row r="27" ht="41.2" customHeight="1" s="59">
      <c r="A27" s="60"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53.2" customHeight="1" s="59">
      <c r="A28" s="60"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29" ht="15" customHeight="1" s="59"/>
    <row r="30" ht="19.7" customHeight="1" s="59">
      <c r="A30" s="118" t="inlineStr">
        <is>
          <t>RFQ/P — EMAIL TEMPLATE  (copy-paste for email contacts; fill the [brackets])</t>
        </is>
      </c>
    </row>
    <row r="31" ht="18.4" customHeight="1" s="59">
      <c r="A31" s="63" t="inlineStr">
        <is>
          <t>Subject:  Request for Quote / Proposal — Recurring Porcine Tissue Harvesting Partnership</t>
        </is>
      </c>
      <c r="B31" s="64" t="n"/>
      <c r="C31" s="64" t="n"/>
      <c r="D31" s="64" t="n"/>
      <c r="E31" s="64" t="n"/>
      <c r="F31" s="65" t="n"/>
    </row>
    <row r="32" ht="18.4" customHeight="1" s="59">
      <c r="A32" s="58" t="inlineStr">
        <is>
          <t>Hello [Name],</t>
        </is>
      </c>
    </row>
    <row r="33" ht="31.8" customHeight="1" s="59">
      <c r="A33"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8.4" customHeight="1" s="59">
      <c r="A34" s="58" t="inlineStr">
        <is>
          <t>We can structure the arrangement either way and would welcome your input:</t>
        </is>
      </c>
    </row>
    <row r="35" ht="18.4" customHeight="1" s="59">
      <c r="A35" s="58" t="inlineStr">
        <is>
          <t xml:space="preserve">   • Model A — our trained technicians harvest on-site; we rent line/cooler access (by visit or by piece).</t>
        </is>
      </c>
    </row>
    <row r="36" ht="18.4" customHeight="1" s="59">
      <c r="A36" s="58" t="inlineStr">
        <is>
          <t xml:space="preserve">   • Model B — your team harvests to our written protocol; we send trainers/inspectors to qualify and audit.</t>
        </is>
      </c>
    </row>
    <row r="37" ht="18.4" customHeight="1" s="59">
      <c r="A37" s="58" t="inlineStr">
        <is>
          <t>Could you please share:</t>
        </is>
      </c>
    </row>
    <row r="38" ht="18.4" customHeight="1" s="59">
      <c r="A38" s="58" t="inlineStr">
        <is>
          <t xml:space="preserve">   1. Approximate hogs slaughtered per week, and whether you can add head for us.</t>
        </is>
      </c>
    </row>
    <row r="39" ht="18.4" customHeight="1" s="59">
      <c r="A39" s="58" t="inlineStr">
        <is>
          <t xml:space="preserve">   2. USDA/FSIS inspection status (establishment #) and any APHIS export listing (we may export finished models to the EU).</t>
        </is>
      </c>
    </row>
    <row r="40" ht="18.4" customHeight="1" s="59">
      <c r="A40" s="58" t="inlineStr">
        <is>
          <t xml:space="preserve">   3. Which organs/tissues you currently harvest vs. send to rendering, and whether we can collect pelvic/abdominal/thoracic blocks at the kill.</t>
        </is>
      </c>
    </row>
    <row r="41" ht="18.4" customHeight="1" s="59">
      <c r="A41" s="58" t="inlineStr">
        <is>
          <t xml:space="preserve">   4. Pricing — Model A: per-visit access/rental or per-piece; Model B: per-piece harvest fee.</t>
        </is>
      </c>
    </row>
    <row r="42" ht="18.4" customHeight="1" s="59">
      <c r="A42" s="58" t="inlineStr">
        <is>
          <t xml:space="preserve">   5. Cooler/hanging space and typical time-to-chill after slaughter (freshness window).</t>
        </is>
      </c>
    </row>
    <row r="43" ht="18.4" customHeight="1" s="59">
      <c r="A43" s="58" t="inlineStr">
        <is>
          <t xml:space="preserve">   6. Your humane-handling program, and any recent USDA humane-handling actions.</t>
        </is>
      </c>
    </row>
    <row r="44" ht="18.4" customHeight="1" s="59">
      <c r="A44" s="58" t="inlineStr">
        <is>
          <t xml:space="preserve">   7. Lead time, minimum commitment, scheduling, and whether an NDA is needed before we share our protocol.</t>
        </is>
      </c>
    </row>
    <row r="45" ht="18.4" customHeight="1" s="59">
      <c r="A45" s="58" t="inlineStr">
        <is>
          <t>We are glad to sign an NDA and to set up a call or a site visit. Thank you — we look forward to your proposal.</t>
        </is>
      </c>
    </row>
    <row r="46" ht="18.4" customHeight="1" s="59">
      <c r="A46" s="58" t="inlineStr">
        <is>
          <t>Best regards,</t>
        </is>
      </c>
    </row>
    <row r="47" ht="18.4" customHeight="1" s="59">
      <c r="A47" s="58" t="inlineStr">
        <is>
          <t>[Your name] · [Title] · [Company] · [Phone] · [Email]</t>
        </is>
      </c>
    </row>
    <row r="48" ht="15" customHeight="1" s="59"/>
    <row r="49" ht="19.7" customHeight="1" s="59">
      <c r="A49" s="118" t="inlineStr">
        <is>
          <t>RFQ/P — SHORT SITE / CALL VERSION  (for phone or website inquiry forms)</t>
        </is>
      </c>
    </row>
    <row r="50" ht="18.4" customHeight="1" s="59">
      <c r="A50" s="58" t="inlineStr">
        <is>
          <t>•  Who we are: biomedical porcine-tissue harvester setting up a recurring program.</t>
        </is>
      </c>
    </row>
    <row r="51" ht="18.4" customHeight="1" s="59">
      <c r="A51" s="58" t="inlineStr">
        <is>
          <t>•  Hogs per week? Can you add head for us? Steady year-round?</t>
        </is>
      </c>
    </row>
    <row r="52" ht="18.4" customHeight="1" s="59">
      <c r="A52" s="58" t="inlineStr">
        <is>
          <t>•  USDA/FSIS establishment #? APHIS export listing (we may export to the EU)?</t>
        </is>
      </c>
    </row>
    <row r="53" ht="18.4" customHeight="1" s="59">
      <c r="A53" s="58" t="inlineStr">
        <is>
          <t>•  Which organs are saved vs. rendered? Can we collect pelvic / abdominal / thoracic blocks at the kill?</t>
        </is>
      </c>
    </row>
    <row r="54" ht="18.4" customHeight="1" s="59">
      <c r="A54" s="58" t="inlineStr">
        <is>
          <t>•  Would you HOST our harvesters (Model A — rent by visit or by piece) OR harvest to our spec (Model B)?</t>
        </is>
      </c>
    </row>
    <row r="55" ht="18.4" customHeight="1" s="59">
      <c r="A55" s="58" t="inlineStr">
        <is>
          <t>•  Ballpark pricing (per-visit rental or per-piece)?</t>
        </is>
      </c>
    </row>
    <row r="56" ht="18.4" customHeight="1" s="59">
      <c r="A56" s="58" t="inlineStr">
        <is>
          <t>•  Cooler space + time-to-chill after slaughter (freshness window)?</t>
        </is>
      </c>
    </row>
    <row r="57" ht="18.4" customHeight="1" s="59">
      <c r="A57" s="58" t="inlineStr">
        <is>
          <t>•  Lead time, minimum commitment, NDA needed?</t>
        </is>
      </c>
    </row>
    <row r="58" ht="18.4" customHeight="1" s="59">
      <c r="A58" s="58" t="inlineStr">
        <is>
          <t>•  Best contact name + email to send a written RFQ/P.</t>
        </is>
      </c>
    </row>
    <row r="59" ht="17.1" customHeight="1" s="59">
      <c r="A59" s="66"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6"/>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31.8" customHeight="1" s="59">
      <c r="A35" s="90" t="inlineStr">
        <is>
          <t>❌ DOMESTIC ONLY
(WITHDRAWN)</t>
        </is>
      </c>
      <c r="B35" s="130" t="inlineStr">
        <is>
          <t>NO LONGER IN USE. This marker was applied to Nahunta and state-inspected plants before APHIS confirmed that NC state inspection counts as equivalent. Nahunta output can go international. Disregard any domestic-only marking.</t>
        </is>
      </c>
    </row>
    <row r="36" ht="15" customHeight="1" s="59"/>
    <row r="37" ht="19.7" customHeight="1" s="59">
      <c r="A37" s="87" t="inlineStr">
        <is>
          <t>UPDATED AFTER THE MEETING (2026-08)</t>
        </is>
      </c>
    </row>
    <row r="38" ht="31.8" customHeight="1" s="59">
      <c r="A38" s="88" t="inlineStr">
        <is>
          <t>✅ Path 1 — WE HARVEST</t>
        </is>
      </c>
      <c r="B38" s="56" t="inlineStr">
        <is>
          <t>Slaughterhouse we harvest at. Needs USDA/FSIS inspection only; APHIS NOT required of the plant. Model assembled at ATM carries the export.</t>
        </is>
      </c>
    </row>
    <row r="39" ht="31.8" customHeight="1" s="59">
      <c r="A39" s="89" t="inlineStr">
        <is>
          <t>⛔ Path 2 — DIRECT SUPPLY</t>
        </is>
      </c>
      <c r="B39" s="56" t="inlineStr">
        <is>
          <t>Supplier ships us finished tissue blocks. APHIS certification IS REQUIRED — a gating requirement for every direct tissue supplier.</t>
        </is>
      </c>
    </row>
    <row r="40" ht="15" customHeight="1" s="59">
      <c r="A40" s="131" t="n"/>
      <c r="B40" s="56" t="n"/>
    </row>
    <row r="41" ht="15" customHeight="1" s="59"/>
    <row r="42" ht="19.7" customHeight="1" s="59">
      <c r="A42" s="100" t="inlineStr">
        <is>
          <t>MODEL A PROXIMITY &amp; STATE-INSPECTION SCOPE</t>
        </is>
      </c>
    </row>
    <row r="43" ht="31.8" customHeight="1" s="59">
      <c r="A43" s="88" t="inlineStr">
        <is>
          <t>YES (est.)</t>
        </is>
      </c>
      <c r="B43" s="56" t="inlineStr">
        <is>
          <t>Within ~120 miles — PREFERRED for Model A. Same-day round trip, and can share one crew with other plants in the radius.</t>
        </is>
      </c>
    </row>
    <row r="44" ht="18.4" customHeight="1" s="59">
      <c r="A44" s="89" t="inlineStr">
        <is>
          <t>NO / NO (est.)</t>
        </is>
      </c>
      <c r="B44" s="56" t="inlineStr">
        <is>
          <t>Outside ~120 miles. Model A becomes costly; treat Model B (they harvest to our spec) as the default for these.</t>
        </is>
      </c>
    </row>
    <row r="45" ht="31.8" customHeight="1" s="59">
      <c r="A45" s="113" t="inlineStr">
        <is>
          <t>mixed / confirm</t>
        </is>
      </c>
      <c r="B45" s="56" t="inlineStr">
        <is>
          <t>A roll-up spanning several locations, or a plant whose distance has not been measured. Resolve on the qualifying call.</t>
        </is>
      </c>
    </row>
    <row r="46" ht="31.8" customHeight="1" s="59">
      <c r="A46" s="88" t="inlineStr">
        <is>
          <t>NC state = equivalent</t>
        </is>
      </c>
      <c r="B46" s="56" t="inlineStr">
        <is>
          <t>APHIS accepts NC state inspection as equivalent to federal. ONLY NC — state inspection in any other state is NOT accepted.</t>
        </is>
      </c>
    </row>
  </sheetData>
  <mergeCells count="8">
    <mergeCell ref="A25:B25"/>
    <mergeCell ref="A33:B33"/>
    <mergeCell ref="A10:B10"/>
    <mergeCell ref="A42:B42"/>
    <mergeCell ref="A37:B37"/>
    <mergeCell ref="A1:B1"/>
    <mergeCell ref="A18:B18"/>
    <mergeCell ref="A3:B3"/>
  </mergeCells>
  <pageMargins left="0.75" right="0.75" top="1" bottom="1" header="0.5" footer="0.5"/>
</worksheet>
</file>

<file path=xl/worksheets/sheet6.xml><?xml version="1.0" encoding="utf-8"?>
<worksheet xmlns="http://schemas.openxmlformats.org/spreadsheetml/2006/main">
  <sheetPr>
    <tabColor theme="9" tint="0.7999816888943144"/>
    <outlinePr summaryBelow="1" summaryRight="1"/>
    <pageSetUpPr/>
  </sheetPr>
  <dimension ref="A1:R117"/>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18" customWidth="1" style="59" min="2" max="2"/>
    <col width="18" customWidth="1" style="59" min="3" max="3"/>
    <col width="15" customWidth="1" style="59" min="4" max="4"/>
    <col width="15" customWidth="1" style="59" min="5" max="5"/>
    <col width="8" customWidth="1" style="59" min="6" max="6"/>
    <col width="12" customWidth="1" style="59" min="7" max="7"/>
    <col width="34" customWidth="1" style="59" min="8" max="8"/>
    <col width="32" customWidth="1" style="59" min="9" max="9"/>
    <col width="30" customWidth="1" style="59" min="10" max="10"/>
    <col width="32" customWidth="1" style="59" min="11" max="11"/>
    <col width="18" customWidth="1" style="59" min="12" max="12"/>
    <col width="14" customWidth="1" style="59" min="13" max="13"/>
    <col width="18" customWidth="1" style="59" min="14" max="14"/>
    <col width="22" customWidth="1" style="59" min="15" max="15"/>
    <col width="13" customWidth="1" style="59" min="16" max="16"/>
    <col width="9" customWidth="1" style="59" min="17" max="17"/>
    <col width="52" customWidth="1" style="59" min="18" max="18"/>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Conf.</t>
        </is>
      </c>
      <c r="R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~400-500 (est.)</t>
        </is>
      </c>
      <c r="E6" s="20" t="inlineStr">
        <is>
          <t>MEDIUM
(350-2,500/wk)</t>
        </is>
      </c>
      <c r="F6" s="68" t="inlineStr">
        <is>
          <t>Yes</t>
        </is>
      </c>
      <c r="G6" s="68" t="inlineStr">
        <is>
          <t>STATE only
(NOT USDA)</t>
        </is>
      </c>
      <c r="H6" s="68" t="inlineStr">
        <is>
          <t>None found in public FSIS / recall / AWI sources</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Incumbent — most organ needs already covered here</t>
        </is>
      </c>
      <c r="L6" s="68" t="inlineStr">
        <is>
          <t>Yes (already custom-slaughters 3rd-party animals)</t>
        </is>
      </c>
      <c r="M6" s="109" t="inlineStr">
        <is>
          <t>YES (est.)</t>
        </is>
      </c>
      <c r="N6" s="68" t="inlineStr">
        <is>
          <t>Yes</t>
        </is>
      </c>
      <c r="O6" s="68" t="inlineStr">
        <is>
          <t>(919) 242-4735
nahuntapork.com</t>
        </is>
      </c>
      <c r="P6" s="21" t="inlineStr">
        <is>
          <t>REFERENCE</t>
        </is>
      </c>
      <c r="Q6" s="68" t="inlineStr">
        <is>
          <t>High / est.</t>
        </is>
      </c>
      <c r="R6" s="68" t="inlineStr">
        <is>
          <t>RESOLVED: the earlier 'domestic-only' position is fully withdrawn, and the state-vs-federal question is closed — APHIS deems NC state inspection equivalent. || CLIENT-CONFIRMED (2026-08): Nahunta is PERMANENTLY DOMESTIC-ONLY — its output cannot be used for exports. This settles the open question and CONFIRMS the two-lane split: Nahunta serves the US domestic programme; every EU-bound model must be sourced from a federally-inspected (USDA or Talmadge-Aiken) plant. It does NOT diminish Nahunta — it remains the best-culture plant with a published research-specimen pathway and viscera coming off the floor intact. It simply fixes which lane it serves. || Incumbent; great culture but volume-capped (~150 hogs/day). NC STATE-inspected, NOT USDA — FLAG per your cert requirement. APHIS unknown.</t>
        </is>
      </c>
    </row>
    <row r="7" ht="125.6" customHeight="1" s="59">
      <c r="A7" s="4" t="inlineStr">
        <is>
          <t>Martin's Pork Products, Inc.</t>
        </is>
      </c>
      <c r="B7" s="68" t="inlineStr">
        <is>
          <t>Falcon, NC</t>
        </is>
      </c>
      <c r="C7" s="68" t="inlineStr">
        <is>
          <t>USDA (Talmadge-Aiken) slaughter + processing</t>
        </is>
      </c>
      <c r="D7" s="68" t="inlineStr">
        <is>
          <t>unknown — 'has volume' (est. mid-size)</t>
        </is>
      </c>
      <c r="E7" s="20" t="inlineStr">
        <is>
          <t>MEDIUM
(350-2,500/wk)</t>
        </is>
      </c>
      <c r="F7" s="68" t="inlineStr">
        <is>
          <t>Yes</t>
        </is>
      </c>
      <c r="G7" s="68" t="inlineStr">
        <is>
          <t>USDA ✓
(T-A, TA-6720)</t>
        </is>
      </c>
      <c r="H7" s="68" t="inlineStr">
        <is>
          <t>None found in public FSIS / recall / AWI sources</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(est.)</t>
        </is>
      </c>
      <c r="N7" s="68" t="inlineStr">
        <is>
          <t>Yes (incumbent)</t>
        </is>
      </c>
      <c r="O7" s="68" t="inlineStr">
        <is>
          <t>(910) 980-1501
beth@martinspork.com · martinspork.com</t>
        </is>
      </c>
      <c r="P7" s="21" t="inlineStr">
        <is>
          <t>REFERENCE</t>
        </is>
      </c>
      <c r="Q7" s="68" t="inlineStr">
        <is>
          <t>High</t>
        </is>
      </c>
      <c r="R7" s="68"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7" customHeight="1" s="59">
      <c r="A8" s="118" t="inlineStr">
        <is>
          <t>NORTH CAROLINA — candidate slaughterhouses (primary region)</t>
        </is>
      </c>
    </row>
    <row r="9" ht="72" customHeight="1" s="59">
      <c r="A9" s="4" t="inlineStr">
        <is>
          <t>Piedmont Custom Meats</t>
        </is>
      </c>
      <c r="B9" s="68" t="inlineStr">
        <is>
          <t>Gibsonville / Asheboro, NC</t>
        </is>
      </c>
      <c r="C9" s="68" t="inlineStr">
        <is>
          <t>USDA-inspected</t>
        </is>
      </c>
      <c r="D9" s="68" t="inlineStr">
        <is>
          <t>unknown (5 days/wk)</t>
        </is>
      </c>
      <c r="E9" s="22" t="inlineStr">
        <is>
          <t>SMALL
(0-300/wk)</t>
        </is>
      </c>
      <c r="F9" s="68" t="inlineStr">
        <is>
          <t>Yes</t>
        </is>
      </c>
      <c r="G9" s="68" t="inlineStr">
        <is>
          <t>USDA ✓</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Runs a SEPARATE dedicated harvesting facility (distinct from processing)</t>
        </is>
      </c>
      <c r="L9" s="68" t="inlineStr">
        <is>
          <t>Yes — separate harvest site suits on-site access</t>
        </is>
      </c>
      <c r="M9" s="110" t="inlineStr">
        <is>
          <t>NO (est.)</t>
        </is>
      </c>
      <c r="N9" s="68" t="inlineStr">
        <is>
          <t>Yes — contract harvest plausible</t>
        </is>
      </c>
      <c r="O9" s="68" t="inlineStr">
        <is>
          <t>(336) 628-4949
piedmontcustommeats.com</t>
        </is>
      </c>
      <c r="P9" s="20" t="inlineStr">
        <is>
          <t>STRONG FIT</t>
        </is>
      </c>
      <c r="Q9" s="68" t="inlineStr">
        <is>
          <t>High (struct.)</t>
        </is>
      </c>
      <c r="R9" s="6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72" customHeight="1" s="59">
      <c r="A10" s="4" t="inlineStr">
        <is>
          <t>Acre Station Meat Farm</t>
        </is>
      </c>
      <c r="B10" s="68" t="inlineStr">
        <is>
          <t>Pinetown, NC</t>
        </is>
      </c>
      <c r="C10" s="68" t="inlineStr">
        <is>
          <t>USDA-equivalent (Talmadge-Aiken)</t>
        </is>
      </c>
      <c r="D10" s="68" t="inlineStr">
        <is>
          <t>~400 (80 hogs/day cap)</t>
        </is>
      </c>
      <c r="E10" s="22" t="inlineStr">
        <is>
          <t>SMALL
(0-300/wk)</t>
        </is>
      </c>
      <c r="F10" s="68" t="inlineStr">
        <is>
          <t>Yes</t>
        </is>
      </c>
      <c r="G10" s="68" t="inlineStr">
        <is>
          <t>USDA ✓
(T-A prog.)</t>
        </is>
      </c>
      <c r="H10" s="68" t="inlineStr">
        <is>
          <t>None found (Est. M19904)</t>
        </is>
      </c>
      <c r="I10" s="68" t="inlineStr">
        <is>
          <t>Not on public export lists — verify w/ APHIS VS</t>
        </is>
      </c>
      <c r="J10" s="68" t="inlineStr">
        <is>
          <t>AWA (Animal Welfare Approved) certified; family farm</t>
        </is>
      </c>
      <c r="K10" s="68" t="inlineStr">
        <is>
          <t>Plausible — custom multi-species</t>
        </is>
      </c>
      <c r="L10" s="68" t="inlineStr">
        <is>
          <t>Plausible</t>
        </is>
      </c>
      <c r="M10" s="109" t="inlineStr">
        <is>
          <t>YES (est.)</t>
        </is>
      </c>
      <c r="N10" s="68" t="inlineStr">
        <is>
          <t>Plausible</t>
        </is>
      </c>
      <c r="O10" s="68" t="inlineStr">
        <is>
          <t>(252) 927-3700
acrestationmeatfarm.com</t>
        </is>
      </c>
      <c r="P10" s="23" t="inlineStr">
        <is>
          <t>POSSIBLE</t>
        </is>
      </c>
      <c r="Q10" s="68" t="inlineStr">
        <is>
          <t>Med</t>
        </is>
      </c>
      <c r="R10" s="68" t="inlineStr">
        <is>
          <t>SMALL tier — deep study found ~150/wk ACTUAL (the ~400/wk figure was a nameplate '80 hogs OR 7 cattle'/day x5). Still a welfare-forward TA plant. UNRESOLVED: two directories label it CUSTOM EXEMPT, which would kill saleability/exportability — confirm first.</t>
        </is>
      </c>
    </row>
    <row r="11" ht="45.2" customHeight="1" s="59">
      <c r="A11" s="82" t="inlineStr">
        <is>
          <t>Custom Quality Packers, LLC</t>
        </is>
      </c>
      <c r="B11" s="83" t="inlineStr">
        <is>
          <t>Sims, NC</t>
        </is>
      </c>
      <c r="C11" s="83" t="inlineStr">
        <is>
          <t>Slaughter (USDA/NCDA unclear)</t>
        </is>
      </c>
      <c r="D11" s="83" t="inlineStr">
        <is>
          <t>unknown</t>
        </is>
      </c>
      <c r="E11" s="84" t="inlineStr">
        <is>
          <t>unknown
(confirm)</t>
        </is>
      </c>
      <c r="F11" s="83" t="inlineStr">
        <is>
          <t>Yes (HOGS ONLY)</t>
        </is>
      </c>
      <c r="G11" s="83" t="inlineStr">
        <is>
          <t>unknown</t>
        </is>
      </c>
      <c r="H11" s="83" t="inlineStr">
        <is>
          <t>None found (Est. M20129)</t>
        </is>
      </c>
      <c r="I11" s="83" t="inlineStr">
        <is>
          <t>Not on public export lists — verify</t>
        </is>
      </c>
      <c r="J11" s="83" t="inlineStr">
        <is>
          <t>unknown</t>
        </is>
      </c>
      <c r="K11" s="83" t="inlineStr">
        <is>
          <t>Plausible; skin-and-scald offered</t>
        </is>
      </c>
      <c r="L11" s="83" t="inlineStr">
        <is>
          <t>Plausible</t>
        </is>
      </c>
      <c r="M11" s="109" t="inlineStr">
        <is>
          <t>YES (est.)</t>
        </is>
      </c>
      <c r="N11" s="83" t="inlineStr">
        <is>
          <t>Plausible</t>
        </is>
      </c>
      <c r="O11" s="83" t="inlineStr">
        <is>
          <t>(252) 235-3558</t>
        </is>
      </c>
      <c r="P11" s="23" t="inlineStr">
        <is>
          <t>POSSIBLE</t>
        </is>
      </c>
      <c r="Q11" s="83" t="inlineStr">
        <is>
          <t>Med</t>
        </is>
      </c>
      <c r="R11" s="83" t="inlineStr">
        <is>
          <t>Rare HOG-ONLY plant (most are multi-species) — potentially higher hog throughput. Call to confirm volume + inspection type.</t>
        </is>
      </c>
    </row>
    <row r="12" ht="31.8" customHeight="1" s="59">
      <c r="A12" s="4" t="inlineStr">
        <is>
          <t>George Flowers Slaughter House</t>
        </is>
      </c>
      <c r="B12" s="68" t="inlineStr">
        <is>
          <t>Sims, NC</t>
        </is>
      </c>
      <c r="C12" s="68" t="inlineStr">
        <is>
          <t>Slaughter</t>
        </is>
      </c>
      <c r="D12" s="68" t="inlineStr">
        <is>
          <t>unknown</t>
        </is>
      </c>
      <c r="E12" s="24" t="inlineStr">
        <is>
          <t>unknown
(confirm)</t>
        </is>
      </c>
      <c r="F12" s="68" t="inlineStr">
        <is>
          <t>Yes (hogs+goats)</t>
        </is>
      </c>
      <c r="G12" s="68" t="inlineStr">
        <is>
          <t>unknown</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(est.)</t>
        </is>
      </c>
      <c r="N12" s="68" t="inlineStr">
        <is>
          <t>Plausible</t>
        </is>
      </c>
      <c r="O12" s="68" t="inlineStr">
        <is>
          <t>(252) 237-2982</t>
        </is>
      </c>
      <c r="P12" s="23" t="inlineStr">
        <is>
          <t>POSSIBLE</t>
        </is>
      </c>
      <c r="Q12" s="68" t="inlineStr">
        <is>
          <t>Med</t>
        </is>
      </c>
      <c r="R12" s="68" t="inlineStr">
        <is>
          <t>Hog-focused small op. Volume/inspection/APHIS all to verify by phone.</t>
        </is>
      </c>
    </row>
    <row r="13" ht="58.6" customHeight="1" s="59">
      <c r="A13" s="4" t="inlineStr">
        <is>
          <t>Wayne Mays Meat Processing</t>
        </is>
      </c>
      <c r="B13" s="68" t="inlineStr">
        <is>
          <t>Taylorsville, NC</t>
        </is>
      </c>
      <c r="C13" s="68" t="inlineStr">
        <is>
          <t>USDA-inspected</t>
        </is>
      </c>
      <c r="D13" s="68" t="inlineStr">
        <is>
          <t>unknown (small)</t>
        </is>
      </c>
      <c r="E13" s="22" t="inlineStr">
        <is>
          <t>SMALL
(0-300/wk)</t>
        </is>
      </c>
      <c r="F13" s="68" t="inlineStr">
        <is>
          <t>Yes</t>
        </is>
      </c>
      <c r="G13" s="68" t="inlineStr">
        <is>
          <t>USDA ✓</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(est.)</t>
        </is>
      </c>
      <c r="N13" s="68" t="inlineStr">
        <is>
          <t>Plausible</t>
        </is>
      </c>
      <c r="O13" s="68" t="inlineStr">
        <is>
          <t>(828) 634-2034
maysmeats.net</t>
        </is>
      </c>
      <c r="P13" s="23" t="inlineStr">
        <is>
          <t>CAUTION</t>
        </is>
      </c>
      <c r="Q13" s="68" t="inlineStr">
        <is>
          <t>Med</t>
        </is>
      </c>
      <c r="R13" s="68" t="inlineStr">
        <is>
          <t>SMALL tier. USDA (in/out NC). Strong welfare CERTS but see enforcement column — humane-handling NOS ~2020 + PETA 2024 report is at odds with the AWA/Organic branding. Welfare, not volume, is what holds this at CAUTION.</t>
        </is>
      </c>
    </row>
    <row r="14" ht="58.6" customHeight="1" s="59">
      <c r="A14" s="4" t="inlineStr">
        <is>
          <t>M.L. Mitchell &amp; Son</t>
        </is>
      </c>
      <c r="B14" s="68" t="inlineStr">
        <is>
          <t>Walnut Cove, NC</t>
        </is>
      </c>
      <c r="C14" s="68" t="inlineStr">
        <is>
          <t>USDA-inspected</t>
        </is>
      </c>
      <c r="D14" s="68" t="inlineStr">
        <is>
          <t>unknown</t>
        </is>
      </c>
      <c r="E14" s="24" t="inlineStr">
        <is>
          <t>unknown
(confirm)</t>
        </is>
      </c>
      <c r="F14" s="68" t="inlineStr">
        <is>
          <t>Yes</t>
        </is>
      </c>
      <c r="G14" s="68" t="inlineStr">
        <is>
          <t>USDA ✓</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(est.)</t>
        </is>
      </c>
      <c r="N14" s="68" t="inlineStr">
        <is>
          <t>Plausible</t>
        </is>
      </c>
      <c r="O14" s="68" t="inlineStr">
        <is>
          <t>(336) 591-7420</t>
        </is>
      </c>
      <c r="P14" s="23" t="inlineStr">
        <is>
          <t>CAUTION</t>
        </is>
      </c>
      <c r="Q14" s="68" t="inlineStr">
        <is>
          <t>Med</t>
        </is>
      </c>
      <c r="R14" s="68" t="inlineStr">
        <is>
          <t>USDA (in/out NC). Family-run — BUT see enforcement: egregious humane-handling slaughter suspension Aug 2021 (failed goat stun, conscious throat-cut). Confirm remediation + volume.</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(est.)</t>
        </is>
      </c>
      <c r="N15" s="68" t="inlineStr">
        <is>
          <t>Plausible</t>
        </is>
      </c>
      <c r="O15" s="68" t="inlineStr">
        <is>
          <t>(910) 464-3507
keypackingcompany.com</t>
        </is>
      </c>
      <c r="P15" s="23" t="inlineStr">
        <is>
          <t>POSSIBLE</t>
        </is>
      </c>
      <c r="Q15" s="68" t="inlineStr">
        <is>
          <t>Med</t>
        </is>
      </c>
      <c r="R15" s="68" t="inlineStr">
        <is>
          <t>NC STATE-INSPECTED — ACCEPTED: APHIS treats NC state inspection as equivalent, so this plant satisfies the harvest-site requirement for Path 1 (we harvest, model assembled at ATM). APHIS not required of the plant. || STATE-inspected, in-NC sales only — FLAG (not USDA). Family culture. Likely small volume.</t>
        </is>
      </c>
    </row>
    <row r="16" ht="31.8"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probable USDA
(unconfirmed)</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(est.)</t>
        </is>
      </c>
      <c r="N16" s="68" t="inlineStr">
        <is>
          <t>Plausible</t>
        </is>
      </c>
      <c r="O16" s="68" t="inlineStr">
        <is>
          <t>(252) 332-2978</t>
        </is>
      </c>
      <c r="P16" s="23" t="inlineStr">
        <is>
          <t>POSSIBLE</t>
        </is>
      </c>
      <c r="Q16" s="68" t="inlineStr">
        <is>
          <t>Low-Med</t>
        </is>
      </c>
      <c r="R16" s="68" t="inlineStr">
        <is>
          <t>Whole-hog capable. Confirm inspection type + volume.</t>
        </is>
      </c>
    </row>
    <row r="17" ht="58.6" customHeight="1" s="59">
      <c r="A17" s="4" t="inlineStr">
        <is>
          <t>Thomas Brothers Abattoir</t>
        </is>
      </c>
      <c r="B17" s="68" t="inlineStr">
        <is>
          <t>North Wilkesboro, NC</t>
        </is>
      </c>
      <c r="C17" s="68" t="inlineStr">
        <is>
          <t>Slaughter</t>
        </is>
      </c>
      <c r="D17" s="68" t="inlineStr">
        <is>
          <t>unknown</t>
        </is>
      </c>
      <c r="E17" s="24" t="inlineStr">
        <is>
          <t>unknown
(confirm)</t>
        </is>
      </c>
      <c r="F17" s="68" t="inlineStr">
        <is>
          <t>Yes</t>
        </is>
      </c>
      <c r="G17" s="68" t="inlineStr">
        <is>
          <t>unknown</t>
        </is>
      </c>
      <c r="H17" s="25" t="inlineStr">
        <is>
          <t>⚠ REPEAT humane-handling suspensions 2009, 2015, 2018 (AWI list; Est. 19511M)</t>
        </is>
      </c>
      <c r="I17" s="68" t="inlineStr">
        <is>
          <t>Not on public export lists — verify</t>
        </is>
      </c>
      <c r="J17" s="68" t="inlineStr">
        <is>
          <t>unknown</t>
        </is>
      </c>
      <c r="K17" s="68" t="inlineStr">
        <is>
          <t>Plausible</t>
        </is>
      </c>
      <c r="L17" s="68" t="inlineStr">
        <is>
          <t>Plausible</t>
        </is>
      </c>
      <c r="M17" s="110" t="inlineStr">
        <is>
          <t>NO (est.)</t>
        </is>
      </c>
      <c r="N17" s="68" t="inlineStr">
        <is>
          <t>Plausible</t>
        </is>
      </c>
      <c r="O17" s="68" t="inlineStr">
        <is>
          <t>(336) 667-1346</t>
        </is>
      </c>
      <c r="P17" s="23" t="inlineStr">
        <is>
          <t>CAUTION</t>
        </is>
      </c>
      <c r="Q17" s="68" t="inlineStr">
        <is>
          <t>Low-Med</t>
        </is>
      </c>
      <c r="R17" s="68" t="inlineStr">
        <is>
          <t>Broad species range. See enforcement: REPEAT humane-handling suspensions 2009/2015/2018 (AWI list). Later acquired by Apple Brandy Beef — confirm current ownership/practices. Inspection/volume to verify.</t>
        </is>
      </c>
    </row>
    <row r="18" ht="31.8" customHeight="1" s="59">
      <c r="A18" s="4" t="inlineStr">
        <is>
          <t>Cruse Meat Processing</t>
        </is>
      </c>
      <c r="B18" s="68" t="inlineStr">
        <is>
          <t>Concord, NC</t>
        </is>
      </c>
      <c r="C18" s="68" t="inlineStr">
        <is>
          <t>Slaughter</t>
        </is>
      </c>
      <c r="D18" s="68" t="inlineStr">
        <is>
          <t>unknown</t>
        </is>
      </c>
      <c r="E18" s="24" t="inlineStr">
        <is>
          <t>unknown
(confirm)</t>
        </is>
      </c>
      <c r="F18" s="68" t="inlineStr">
        <is>
          <t>Yes</t>
        </is>
      </c>
      <c r="G18" s="68" t="inlineStr">
        <is>
          <t>unknown</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(est.)</t>
        </is>
      </c>
      <c r="N18" s="68" t="inlineStr">
        <is>
          <t>Plausible</t>
        </is>
      </c>
      <c r="O18" s="68" t="inlineStr">
        <is>
          <t>(704) 786-8616</t>
        </is>
      </c>
      <c r="P18" s="23" t="inlineStr">
        <is>
          <t>POSSIBLE</t>
        </is>
      </c>
      <c r="Q18" s="68" t="inlineStr">
        <is>
          <t>Low-Med</t>
        </is>
      </c>
      <c r="R18" s="68" t="inlineStr">
        <is>
          <t>Small custom multi-species. Verify by phone.</t>
        </is>
      </c>
    </row>
    <row r="19" ht="45.2" customHeight="1" s="59">
      <c r="A19" s="4" t="inlineStr">
        <is>
          <t>Triad Meat Custom Processing</t>
        </is>
      </c>
      <c r="B19" s="68" t="inlineStr">
        <is>
          <t>Madison, NC</t>
        </is>
      </c>
      <c r="C19" s="68" t="inlineStr">
        <is>
          <t>Slaughter</t>
        </is>
      </c>
      <c r="D19" s="68" t="inlineStr">
        <is>
          <t>unknown</t>
        </is>
      </c>
      <c r="E19" s="24" t="inlineStr">
        <is>
          <t>unknown
(confirm)</t>
        </is>
      </c>
      <c r="F19" s="68" t="inlineStr">
        <is>
          <t>Yes</t>
        </is>
      </c>
      <c r="G19" s="68" t="inlineStr">
        <is>
          <t>unknown</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Plausible</t>
        </is>
      </c>
      <c r="M19" s="110" t="inlineStr">
        <is>
          <t>NO (est.)</t>
        </is>
      </c>
      <c r="N19" s="68" t="inlineStr">
        <is>
          <t>Plausible</t>
        </is>
      </c>
      <c r="O19" s="68" t="inlineStr">
        <is>
          <t>(336) 949-9696</t>
        </is>
      </c>
      <c r="P19" s="23" t="inlineStr">
        <is>
          <t>CAUTION</t>
        </is>
      </c>
      <c r="Q19" s="68" t="inlineStr">
        <is>
          <t>Low-Med</t>
        </is>
      </c>
      <c r="R19" s="68" t="inlineStr">
        <is>
          <t>AWA welfare signal, BUT see enforcement: FSIS suspension ~Dec 2025 (cause unspecified in public snippets) — confirm status. Now Triad Halal Meats. Confirm volume/inspection.</t>
        </is>
      </c>
    </row>
    <row r="20" ht="31.8" customHeight="1" s="59">
      <c r="A20" s="4" t="inlineStr">
        <is>
          <t>Wells, Jenkins &amp; Wells Abattoir</t>
        </is>
      </c>
      <c r="B20" s="68" t="inlineStr">
        <is>
          <t>Forest City, NC</t>
        </is>
      </c>
      <c r="C20" s="68" t="inlineStr">
        <is>
          <t>Slaughter</t>
        </is>
      </c>
      <c r="D20" s="68" t="inlineStr">
        <is>
          <t>unknown</t>
        </is>
      </c>
      <c r="E20" s="24" t="inlineStr">
        <is>
          <t>unknown
(confirm)</t>
        </is>
      </c>
      <c r="F20" s="68" t="inlineStr">
        <is>
          <t>Yes</t>
        </is>
      </c>
      <c r="G20" s="68" t="inlineStr">
        <is>
          <t>unknown</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(est.)</t>
        </is>
      </c>
      <c r="N20" s="68" t="inlineStr">
        <is>
          <t>Plausible</t>
        </is>
      </c>
      <c r="O20" s="68" t="inlineStr">
        <is>
          <t>(828) 245-5544</t>
        </is>
      </c>
      <c r="P20" s="23" t="inlineStr">
        <is>
          <t>POSSIBLE</t>
        </is>
      </c>
      <c r="Q20" s="68" t="inlineStr">
        <is>
          <t>Low-Med</t>
        </is>
      </c>
      <c r="R20" s="68" t="inlineStr">
        <is>
          <t>AWA welfare signal. Confirm volume/inspection.</t>
        </is>
      </c>
    </row>
    <row r="21" ht="45.2" customHeight="1" s="59">
      <c r="A21" s="4" t="inlineStr">
        <is>
          <t>Riverside Meats</t>
        </is>
      </c>
      <c r="B21" s="68" t="inlineStr">
        <is>
          <t>Trenton, NC</t>
        </is>
      </c>
      <c r="C21" s="68" t="inlineStr">
        <is>
          <t>CUSTOM-EXEMPT</t>
        </is>
      </c>
      <c r="D21" s="68" t="inlineStr">
        <is>
          <t>unknown</t>
        </is>
      </c>
      <c r="E21" s="24" t="inlineStr">
        <is>
          <t>unknown
(confirm)</t>
        </is>
      </c>
      <c r="F21" s="68" t="inlineStr">
        <is>
          <t>Yes</t>
        </is>
      </c>
      <c r="G21" s="68" t="inlineStr">
        <is>
          <t>Custom-exempt
(NOT for resale)</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(est.)</t>
        </is>
      </c>
      <c r="N21" s="68" t="inlineStr">
        <is>
          <t>Limited</t>
        </is>
      </c>
      <c r="O21" s="68" t="inlineStr">
        <is>
          <t>(252) 448-4047
riversidemeatsnc.com</t>
        </is>
      </c>
      <c r="P21" s="23" t="inlineStr">
        <is>
          <t>CAUTION</t>
        </is>
      </c>
      <c r="Q21" s="68" t="inlineStr">
        <is>
          <t>Med</t>
        </is>
      </c>
      <c r="R21" s="68" t="inlineStr">
        <is>
          <t>Custom-EXEMPT: product not for general commerce — FLAG. AWA. Would need to confirm any lawful path for our use.</t>
        </is>
      </c>
    </row>
    <row r="22" ht="19.7" customHeight="1" s="59">
      <c r="A22" s="118" t="inlineStr">
        <is>
          <t>NORTH CAROLINA — large plants (context / ceiling, generally excluded)</t>
        </is>
      </c>
    </row>
    <row r="23" ht="72" customHeight="1" s="59">
      <c r="A23" s="4" t="inlineStr">
        <is>
          <t>Smithfield Foods — Tar Heel</t>
        </is>
      </c>
      <c r="B23" s="68" t="inlineStr">
        <is>
          <t>Bladen County, NC</t>
        </is>
      </c>
      <c r="C23" s="68" t="inlineStr">
        <is>
          <t>Industrial packer</t>
        </is>
      </c>
      <c r="D23" s="68" t="inlineStr">
        <is>
          <t>~28,000-32,000 / DAY</t>
        </is>
      </c>
      <c r="E23" s="26" t="inlineStr">
        <is>
          <t>HIGH
(&gt;5,000/wk)</t>
        </is>
      </c>
      <c r="F23" s="68" t="inlineStr">
        <is>
          <t>Yes</t>
        </is>
      </c>
      <c r="G23" s="68" t="inlineStr">
        <is>
          <t>USDA ✓</t>
        </is>
      </c>
      <c r="H23" s="68" t="inlineStr">
        <is>
          <t>2011 recall (undeclared dairy allergen); 2021-22 sanitation/welfare NRs (not a suspension). Est. M18079.</t>
        </is>
      </c>
      <c r="I23" s="68" t="inlineStr">
        <is>
          <t>FSIS export-certified (edible, general; documented exports). EU/APHIS-byproduct status unverified</t>
        </is>
      </c>
      <c r="J23" s="68" t="inlineStr">
        <is>
          <t>Industrial line-speed (~5,500 staff)</t>
        </is>
      </c>
      <c r="K23" s="68" t="inlineStr">
        <is>
          <t>No dedicated on-site rental noted</t>
        </is>
      </c>
      <c r="L23" s="68" t="inlineStr">
        <is>
          <t>No</t>
        </is>
      </c>
      <c r="M23" s="109" t="inlineStr">
        <is>
          <t>YES (est.)</t>
        </is>
      </c>
      <c r="N23" s="68" t="inlineStr">
        <is>
          <t>No</t>
        </is>
      </c>
      <c r="O23" s="68" t="inlineStr">
        <is>
          <t>—</t>
        </is>
      </c>
      <c r="P23" s="23" t="inlineStr">
        <is>
          <t>CAUTION</t>
        </is>
      </c>
      <c r="Q23" s="68" t="inlineStr">
        <is>
          <t>High</t>
        </is>
      </c>
      <c r="R23"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45.2" customHeight="1" s="59">
      <c r="A24" s="4" t="inlineStr">
        <is>
          <t>Smithfield / KC Sausage (sow plant)</t>
        </is>
      </c>
      <c r="B24" s="68" t="inlineStr">
        <is>
          <t>Godwin, NC</t>
        </is>
      </c>
      <c r="C24" s="68" t="inlineStr">
        <is>
          <t>Industrial sow slaughter</t>
        </is>
      </c>
      <c r="D24" s="68" t="inlineStr">
        <is>
          <t>~1,000 sows/DAY (~5-6k/wk)</t>
        </is>
      </c>
      <c r="E24" s="27" t="inlineStr">
        <is>
          <t>MEDIUM-HIGH
(2,500-5,000/wk)</t>
        </is>
      </c>
      <c r="F24" s="68" t="inlineStr">
        <is>
          <t>Yes (sows)</t>
        </is>
      </c>
      <c r="G24" s="68" t="inlineStr">
        <is>
          <t>USDA ✓</t>
        </is>
      </c>
      <c r="H24" s="68" t="inlineStr">
        <is>
          <t>None found for the Godwin plant specifically</t>
        </is>
      </c>
      <c r="I24" s="68" t="inlineStr">
        <is>
          <t>FSIS-inspected; export not confirmed</t>
        </is>
      </c>
      <c r="J24" s="68" t="inlineStr">
        <is>
          <t>Industrial / corporate-owned</t>
        </is>
      </c>
      <c r="K24" s="68" t="inlineStr">
        <is>
          <t>Sow/organ-relevant but industrial scale</t>
        </is>
      </c>
      <c r="L24" s="68" t="inlineStr">
        <is>
          <t>Unlikely</t>
        </is>
      </c>
      <c r="M24" s="109" t="inlineStr">
        <is>
          <t>YES (est.)</t>
        </is>
      </c>
      <c r="N24" s="68" t="inlineStr">
        <is>
          <t>Unlikely</t>
        </is>
      </c>
      <c r="O24" s="68" t="inlineStr">
        <is>
          <t>—</t>
        </is>
      </c>
      <c r="P24" s="23" t="inlineStr">
        <is>
          <t>CAUTION</t>
        </is>
      </c>
      <c r="Q24" s="68" t="inlineStr">
        <is>
          <t>High</t>
        </is>
      </c>
      <c r="R24" s="68" t="inlineStr">
        <is>
          <t>Sow-specialized (organ-relevant) but industrial &amp; corporate; Model A on-site access unlikely. Over volume band. Included as the nearby active operation vs. defunct Martin's.</t>
        </is>
      </c>
    </row>
    <row r="25" ht="19.7" customHeight="1" s="59">
      <c r="A25" s="118" t="inlineStr">
        <is>
          <t>SOUTH CAROLINA — candidate slaughterhouses</t>
        </is>
      </c>
    </row>
    <row r="26" ht="45.2" customHeight="1" s="59">
      <c r="A26" s="4" t="inlineStr">
        <is>
          <t>Caughman's Meat Plant, Inc.</t>
        </is>
      </c>
      <c r="B26" s="68" t="inlineStr">
        <is>
          <t>Lexington, SC</t>
        </is>
      </c>
      <c r="C26" s="68" t="inlineStr">
        <is>
          <t>USDA slaughter + processing</t>
        </is>
      </c>
      <c r="D26" s="68" t="inlineStr">
        <is>
          <t>unknown (small-mid est.)</t>
        </is>
      </c>
      <c r="E26" s="24" t="inlineStr">
        <is>
          <t>unknown
(confirm)</t>
        </is>
      </c>
      <c r="F26" s="68" t="inlineStr">
        <is>
          <t>Yes</t>
        </is>
      </c>
      <c r="G26" s="68" t="inlineStr">
        <is>
          <t>USDA ✓</t>
        </is>
      </c>
      <c r="H26" s="68" t="inlineStr">
        <is>
          <t>None found in public sources</t>
        </is>
      </c>
      <c r="I26" s="68" t="inlineStr">
        <is>
          <t>Not on public export lists — verify w/ APHIS VS</t>
        </is>
      </c>
      <c r="J26" s="68" t="inlineStr">
        <is>
          <t>Multi-generation family since ~1947 — strong culture signal</t>
        </is>
      </c>
      <c r="K26" s="68" t="inlineStr">
        <is>
          <t>Not noted</t>
        </is>
      </c>
      <c r="L26" s="68" t="inlineStr">
        <is>
          <t>Possible (space unverified)</t>
        </is>
      </c>
      <c r="M26" s="110" t="inlineStr">
        <is>
          <t>NO</t>
        </is>
      </c>
      <c r="N26" s="68" t="inlineStr">
        <is>
          <t>Good — established slaughter + custom</t>
        </is>
      </c>
      <c r="O26" s="68" t="inlineStr">
        <is>
          <t>803-356-3216
caughmans.com</t>
        </is>
      </c>
      <c r="P26" s="23" t="inlineStr">
        <is>
          <t>POSSIBLE</t>
        </is>
      </c>
      <c r="Q26" s="68" t="inlineStr">
        <is>
          <t>Med</t>
        </is>
      </c>
      <c r="R26" s="68" t="inlineStr">
        <is>
          <t>Strongest verified SC USDA hog-slaughter + family option. On AMS buying-packer list. Confirm weekly volume + establishment #.</t>
        </is>
      </c>
    </row>
    <row r="27" ht="72" customHeight="1" s="59">
      <c r="A27" s="4" t="inlineStr">
        <is>
          <t>Knockout Butchery</t>
        </is>
      </c>
      <c r="B27" s="68" t="inlineStr">
        <is>
          <t>Roebuck, SC</t>
        </is>
      </c>
      <c r="C27" s="68" t="inlineStr">
        <is>
          <t>USDA custom processing</t>
        </is>
      </c>
      <c r="D27" s="68" t="inlineStr">
        <is>
          <t>unknown</t>
        </is>
      </c>
      <c r="E27" s="24" t="inlineStr">
        <is>
          <t>unknown
(confirm)</t>
        </is>
      </c>
      <c r="F27" s="68" t="inlineStr">
        <is>
          <t>Yes (on-site slaughter unconfirmed)</t>
        </is>
      </c>
      <c r="G27" s="68" t="inlineStr">
        <is>
          <t>USDA ✓</t>
        </is>
      </c>
      <c r="H27" s="68" t="inlineStr">
        <is>
          <t>None found in public sources</t>
        </is>
      </c>
      <c r="I27" s="68" t="inlineStr">
        <is>
          <t>Not on public export lists — verify</t>
        </is>
      </c>
      <c r="J27" s="68" t="inlineStr">
        <is>
          <t>'Careful handling'; recent capacity investment (trade press)</t>
        </is>
      </c>
      <c r="K27" s="68" t="inlineStr">
        <is>
          <t>Not noted</t>
        </is>
      </c>
      <c r="L27" s="68" t="inlineStr">
        <is>
          <t>Ask</t>
        </is>
      </c>
      <c r="M27" s="110" t="inlineStr">
        <is>
          <t>NO</t>
        </is>
      </c>
      <c r="N27" s="68" t="inlineStr">
        <is>
          <t>Likely B</t>
        </is>
      </c>
      <c r="O27" s="68" t="inlineStr">
        <is>
          <t>864-410-7068
knockoutbutchery.com</t>
        </is>
      </c>
      <c r="P27" s="23" t="inlineStr">
        <is>
          <t>POSSIBLE</t>
        </is>
      </c>
      <c r="Q27" s="68" t="inlineStr">
        <is>
          <t>Med</t>
        </is>
      </c>
      <c r="R27" s="68" t="inlineStr">
        <is>
          <t>USDA-inspected, serves Upstate farmers; growing. Confirm on-site HOG slaughter + volume.</t>
        </is>
      </c>
    </row>
    <row r="28" ht="72" customHeight="1" s="59">
      <c r="A28" s="4" t="inlineStr">
        <is>
          <t>Back Forty Butchery</t>
        </is>
      </c>
      <c r="B28" s="68" t="inlineStr">
        <is>
          <t>Hodges, SC</t>
        </is>
      </c>
      <c r="C28" s="68" t="inlineStr">
        <is>
          <t>USDA processing</t>
        </is>
      </c>
      <c r="D28" s="68" t="inlineStr">
        <is>
          <t>unknown (small)</t>
        </is>
      </c>
      <c r="E28" s="22" t="inlineStr">
        <is>
          <t>SMALL
(0-300/wk)</t>
        </is>
      </c>
      <c r="F28" s="68" t="inlineStr">
        <is>
          <t>Yes (on-site slaughter unconfirmed)</t>
        </is>
      </c>
      <c r="G28" s="68" t="inlineStr">
        <is>
          <t>USDA ✓</t>
        </is>
      </c>
      <c r="H28" s="68" t="inlineStr">
        <is>
          <t>None found (Est. M46060)</t>
        </is>
      </c>
      <c r="I28" s="68" t="inlineStr">
        <is>
          <t>Not on public export lists — verify</t>
        </is>
      </c>
      <c r="J28" s="68" t="inlineStr">
        <is>
          <t>Not addressed</t>
        </is>
      </c>
      <c r="K28" s="68" t="inlineStr">
        <is>
          <t>Not noted</t>
        </is>
      </c>
      <c r="L28" s="68" t="inlineStr">
        <is>
          <t>Ask</t>
        </is>
      </c>
      <c r="M28" s="110" t="inlineStr">
        <is>
          <t>NO</t>
        </is>
      </c>
      <c r="N28" s="68" t="inlineStr">
        <is>
          <t>B if slaughter on-site</t>
        </is>
      </c>
      <c r="O28" s="68" t="inlineStr">
        <is>
          <t>864-374-3571</t>
        </is>
      </c>
      <c r="P28" s="23" t="inlineStr">
        <is>
          <t>POSSIBLE</t>
        </is>
      </c>
      <c r="Q28" s="68" t="inlineStr">
        <is>
          <t>Low-Med</t>
        </is>
      </c>
      <c r="R28" s="68" t="inlineStr">
        <is>
          <t>Processes domestic pigs + cattle (+ seasonal deer). Confirm slaughter-vs-cut-only.</t>
        </is>
      </c>
    </row>
    <row r="29" ht="45.2" customHeight="1" s="59">
      <c r="A29" s="4" t="inlineStr">
        <is>
          <t>601 Deer and Hog Processors</t>
        </is>
      </c>
      <c r="B29" s="68" t="inlineStr">
        <is>
          <t>Fort Motte, SC</t>
        </is>
      </c>
      <c r="C29" s="68" t="inlineStr">
        <is>
          <t>Deer/game + hog (likely custom-exempt)</t>
        </is>
      </c>
      <c r="D29" s="68" t="inlineStr">
        <is>
          <t>unknown</t>
        </is>
      </c>
      <c r="E29" s="22" t="inlineStr">
        <is>
          <t>SMALL
(0-300/wk)</t>
        </is>
      </c>
      <c r="F29" s="68" t="inlineStr">
        <is>
          <t>Yes</t>
        </is>
      </c>
      <c r="G29" s="68" t="inlineStr">
        <is>
          <t>likely custom-
exempt (flag)</t>
        </is>
      </c>
      <c r="H29" s="68" t="inlineStr">
        <is>
          <t>None found (business also appears closed)</t>
        </is>
      </c>
      <c r="I29" s="68" t="inlineStr">
        <is>
          <t>Not on public export lists — verify</t>
        </is>
      </c>
      <c r="J29" s="68" t="inlineStr">
        <is>
          <t>Family (McDonald, since 2001)</t>
        </is>
      </c>
      <c r="K29" s="68" t="inlineStr">
        <is>
          <t>Not noted</t>
        </is>
      </c>
      <c r="L29" s="68" t="inlineStr">
        <is>
          <t>If own kills</t>
        </is>
      </c>
      <c r="M29" s="110" t="inlineStr">
        <is>
          <t>NO</t>
        </is>
      </c>
      <c r="N29" s="68" t="inlineStr">
        <is>
          <t>B if USDA confirmed</t>
        </is>
      </c>
      <c r="O29" s="68" t="inlineStr">
        <is>
          <t>803-707-1040</t>
        </is>
      </c>
      <c r="P29" s="23" t="inlineStr">
        <is>
          <t>CAUTION</t>
        </is>
      </c>
      <c r="Q29" s="68" t="inlineStr">
        <is>
          <t>Low-Med</t>
        </is>
      </c>
      <c r="R29" s="68" t="inlineStr">
        <is>
          <t>FLAG: USDA status unverified — game processors are often custom-exempt (product not for resale). One directory lists it CLOSED; verify still operating.</t>
        </is>
      </c>
    </row>
    <row r="30" ht="45.2" customHeight="1" s="59">
      <c r="A30" s="4" t="inlineStr">
        <is>
          <t>Palmetto Fresh Meats</t>
        </is>
      </c>
      <c r="B30" s="68" t="inlineStr">
        <is>
          <t>Aynor, SC</t>
        </is>
      </c>
      <c r="C30" s="68" t="inlineStr">
        <is>
          <t>USDA slaughter (Est. M47715) — SUSPENDED</t>
        </is>
      </c>
      <c r="D30" s="68" t="inlineStr">
        <is>
          <t>unknown</t>
        </is>
      </c>
      <c r="E30" s="24" t="inlineStr">
        <is>
          <t>unknown
(confirm)</t>
        </is>
      </c>
      <c r="F30" s="68" t="inlineStr">
        <is>
          <t>Yes</t>
        </is>
      </c>
      <c r="G30" s="68" t="inlineStr">
        <is>
          <t>USDA ✓ but
SUSPENDED 2022</t>
        </is>
      </c>
      <c r="H30" s="25" t="inlineStr">
        <is>
          <t>⚠ Humane-handling NOS Feb &amp; Mar 2022 (Est. M47715); PETA sought criminal probe. Also the slaughter suspension.</t>
        </is>
      </c>
      <c r="I30" s="68" t="inlineStr">
        <is>
          <t>Not on public export lists — verify (slaughter susp. 2022)</t>
        </is>
      </c>
      <c r="J30" s="68" t="inlineStr">
        <is>
          <t>unknown</t>
        </is>
      </c>
      <c r="K30" s="68" t="inlineStr">
        <is>
          <t>Not noted</t>
        </is>
      </c>
      <c r="L30" s="68" t="inlineStr">
        <is>
          <t>Unknown</t>
        </is>
      </c>
      <c r="M30" s="110" t="inlineStr">
        <is>
          <t>NO</t>
        </is>
      </c>
      <c r="N30" s="68" t="inlineStr">
        <is>
          <t>Unknown</t>
        </is>
      </c>
      <c r="O30" s="68" t="inlineStr">
        <is>
          <t>—</t>
        </is>
      </c>
      <c r="P30" s="28" t="inlineStr">
        <is>
          <t>OUT / FLAG</t>
        </is>
      </c>
      <c r="Q30" s="68" t="inlineStr">
        <is>
          <t>Med</t>
        </is>
      </c>
      <c r="R30" s="68" t="inlineStr">
        <is>
          <t>Slaughter inspection SUSPENDED Feb 2022 (FSIS notice). Was hog-capable USDA slaughter — confirm current operating/inspection status before pursuing.</t>
        </is>
      </c>
    </row>
    <row r="31" ht="19.7" customHeight="1" s="59">
      <c r="A31" s="118" t="inlineStr">
        <is>
          <t>TENNESSEE — USDA-inspected hog-slaughter shops (small custom; Model B)</t>
        </is>
      </c>
    </row>
    <row r="32" ht="45.2" customHeight="1" s="59">
      <c r="A32" s="4" t="inlineStr">
        <is>
          <t>Fayette Packing Co., Inc.</t>
        </is>
      </c>
      <c r="B32" s="68" t="inlineStr">
        <is>
          <t>Eads, TN (Memphis area)</t>
        </is>
      </c>
      <c r="C32" s="68" t="inlineStr">
        <is>
          <t>USDA slaughter + processing</t>
        </is>
      </c>
      <c r="D32" s="68" t="inlineStr">
        <is>
          <t>unknown (largest of TN group est.)</t>
        </is>
      </c>
      <c r="E32" s="24" t="inlineStr">
        <is>
          <t>unknown
(confirm)</t>
        </is>
      </c>
      <c r="F32" s="68" t="inlineStr">
        <is>
          <t>Yes</t>
        </is>
      </c>
      <c r="G32" s="68" t="inlineStr">
        <is>
          <t>USDA ✓</t>
        </is>
      </c>
      <c r="H32" s="25" t="inlineStr">
        <is>
          <t>⚠ Humane-handling NOS Apr 2023 (Est. M6555 — 4 stun attempts on a cow); held in abeyance.</t>
        </is>
      </c>
      <c r="I32" s="68" t="inlineStr">
        <is>
          <t>Not on public export lists — verify w/ APHIS VS</t>
        </is>
      </c>
      <c r="J32" s="68" t="inlineStr">
        <is>
          <t>Family since 1952 (3 generations, Keith) — strong culture</t>
        </is>
      </c>
      <c r="K32" s="68" t="inlineStr">
        <is>
          <t>Not noted</t>
        </is>
      </c>
      <c r="L32" s="68" t="inlineStr">
        <is>
          <t>Possible</t>
        </is>
      </c>
      <c r="M32" s="110" t="inlineStr">
        <is>
          <t>NO</t>
        </is>
      </c>
      <c r="N32" s="68" t="inlineStr">
        <is>
          <t>Good B</t>
        </is>
      </c>
      <c r="O32" s="68" t="inlineStr">
        <is>
          <t>901-867-3826
fayettepackingco.com</t>
        </is>
      </c>
      <c r="P32" s="23" t="inlineStr">
        <is>
          <t>POSSIBLE</t>
        </is>
      </c>
      <c r="Q32" s="68" t="inlineStr">
        <is>
          <t>Med</t>
        </is>
      </c>
      <c r="R32" s="68" t="inlineStr">
        <is>
          <t>Established multi-gen family; likely the highest-capacity of the TN group. Confirm weekly hogs.</t>
        </is>
      </c>
    </row>
    <row r="33" ht="31.8" customHeight="1" s="59">
      <c r="A33" s="4" t="inlineStr">
        <is>
          <t>Underground Slaughter / Processing</t>
        </is>
      </c>
      <c r="B33" s="68" t="inlineStr">
        <is>
          <t>Walling, TN</t>
        </is>
      </c>
      <c r="C33" s="68" t="inlineStr">
        <is>
          <t>USDA multi-species (growing)</t>
        </is>
      </c>
      <c r="D33" s="68" t="inlineStr">
        <is>
          <t>unknown</t>
        </is>
      </c>
      <c r="E33" s="24" t="inlineStr">
        <is>
          <t>unknown
(confirm)</t>
        </is>
      </c>
      <c r="F33" s="68" t="inlineStr">
        <is>
          <t>Yes</t>
        </is>
      </c>
      <c r="G33" s="68" t="inlineStr">
        <is>
          <t>USDA ✓</t>
        </is>
      </c>
      <c r="H33" s="68" t="inlineStr">
        <is>
          <t>None found (a logged FOIA request is not an enforcement action)</t>
        </is>
      </c>
      <c r="I33" s="68" t="inlineStr">
        <is>
          <t>Not on public export lists — verify</t>
        </is>
      </c>
      <c r="J33" s="68" t="inlineStr">
        <is>
          <t>Growing processor</t>
        </is>
      </c>
      <c r="K33" s="68" t="inlineStr">
        <is>
          <t>Not noted</t>
        </is>
      </c>
      <c r="L33" s="68" t="inlineStr">
        <is>
          <t>Possible</t>
        </is>
      </c>
      <c r="M33" s="110" t="inlineStr">
        <is>
          <t>NO</t>
        </is>
      </c>
      <c r="N33" s="68" t="inlineStr">
        <is>
          <t>Good B</t>
        </is>
      </c>
      <c r="O33" s="68" t="inlineStr">
        <is>
          <t>931-330-6328</t>
        </is>
      </c>
      <c r="P33" s="23" t="inlineStr">
        <is>
          <t>POSSIBLE</t>
        </is>
      </c>
      <c r="Q33" s="68" t="inlineStr">
        <is>
          <t>Med</t>
        </is>
      </c>
      <c r="R33" s="68" t="inlineStr">
        <is>
          <t>Growing capacity; also TN's exclusive USDA small-farmer poultry processor. Call re: hog capacity.</t>
        </is>
      </c>
    </row>
    <row r="34" ht="58.6" customHeight="1" s="59">
      <c r="A34" s="4" t="inlineStr">
        <is>
          <t>Cherry Meat Company</t>
        </is>
      </c>
      <c r="B34" s="68" t="inlineStr">
        <is>
          <t>Chapel Hill, TN</t>
        </is>
      </c>
      <c r="C34" s="68" t="inlineStr">
        <is>
          <t>USDA slaughter + processing</t>
        </is>
      </c>
      <c r="D34" s="68" t="inlineStr">
        <is>
          <t>~18/wk (80/month verified)</t>
        </is>
      </c>
      <c r="E34" s="22" t="inlineStr">
        <is>
          <t>SMALL
(0-300/wk)</t>
        </is>
      </c>
      <c r="F34" s="68" t="inlineStr">
        <is>
          <t>Yes</t>
        </is>
      </c>
      <c r="G34" s="68" t="inlineStr">
        <is>
          <t>USDA ✓</t>
        </is>
      </c>
      <c r="H34" s="68" t="inlineStr">
        <is>
          <t>None found (very small; FSIS grant 2021)</t>
        </is>
      </c>
      <c r="I34" s="68" t="inlineStr">
        <is>
          <t>Not on public export lists — verify</t>
        </is>
      </c>
      <c r="J34" s="68" t="inlineStr">
        <is>
          <t>Family (Cherry / Bear Creek Farm) — strong culture</t>
        </is>
      </c>
      <c r="K34" s="68" t="inlineStr">
        <is>
          <t>Not noted</t>
        </is>
      </c>
      <c r="L34" s="68" t="inlineStr">
        <is>
          <t>Low-vol</t>
        </is>
      </c>
      <c r="M34" s="110" t="inlineStr">
        <is>
          <t>NO</t>
        </is>
      </c>
      <c r="N34" s="68" t="inlineStr">
        <is>
          <t>Good B (high-touch)</t>
        </is>
      </c>
      <c r="O34" s="68" t="inlineStr">
        <is>
          <t>931-364-7924
cherrymeat.com</t>
        </is>
      </c>
      <c r="P34" s="23" t="inlineStr">
        <is>
          <t>POSSIBLE</t>
        </is>
      </c>
      <c r="Q34" s="68" t="inlineStr">
        <is>
          <t>High</t>
        </is>
      </c>
      <c r="R34" s="68" t="inlineStr">
        <is>
          <t>SMALL tier — verified ~80 hogs/MONTH (~18/wk). With capacity now open this is a legitimate high-touch, family-culture option for pilot or specialty work; it simply cannot carry volume alone.</t>
        </is>
      </c>
    </row>
    <row r="35" ht="125.6" customHeight="1" s="59">
      <c r="A35" s="4" t="inlineStr">
        <is>
          <t>Other TN USDA hog shops (roll-up)</t>
        </is>
      </c>
      <c r="B35" s="68" t="inlineStr">
        <is>
          <t>various, TN</t>
        </is>
      </c>
      <c r="C35" s="68" t="inlineStr">
        <is>
          <t>USDA small custom slaughter</t>
        </is>
      </c>
      <c r="D35" s="68" t="inlineStr">
        <is>
          <t>unknown (tens–low 100s/wk est.)</t>
        </is>
      </c>
      <c r="E35" s="22" t="inlineStr">
        <is>
          <t>SMALL
(0-300/wk)</t>
        </is>
      </c>
      <c r="F35" s="68" t="inlineStr">
        <is>
          <t>Yes</t>
        </is>
      </c>
      <c r="G35" s="68" t="inlineStr">
        <is>
          <t>USDA ✓</t>
        </is>
      </c>
      <c r="H35" s="25" t="inlineStr">
        <is>
          <t>⚠ Harris Country Meats (Greeneville, M20686): humane NOS 2024. Volunteer/412 (Lexington, M6561): humane NOS Nov 2024. Others: none found.</t>
        </is>
      </c>
      <c r="I35" s="68" t="inlineStr">
        <is>
          <t>Not on public export lists — verify each w/ APHIS VS</t>
        </is>
      </c>
      <c r="J35" s="68" t="inlineStr">
        <is>
          <t>Small family shops</t>
        </is>
      </c>
      <c r="K35" s="68" t="inlineStr">
        <is>
          <t>Not noted</t>
        </is>
      </c>
      <c r="L35" s="68" t="inlineStr">
        <is>
          <t>Possible</t>
        </is>
      </c>
      <c r="M35" s="111" t="inlineStr">
        <is>
          <t>mixed — confirm</t>
        </is>
      </c>
      <c r="N35" s="68" t="inlineStr">
        <is>
          <t>B</t>
        </is>
      </c>
      <c r="O35" s="68" t="inlineStr">
        <is>
          <t>see notes →</t>
        </is>
      </c>
      <c r="P35" s="23" t="inlineStr">
        <is>
          <t>POSSIBLE</t>
        </is>
      </c>
      <c r="Q35" s="68" t="inlineStr">
        <is>
          <t>Low-Med</t>
        </is>
      </c>
      <c r="R35"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7" customHeight="1" s="59">
      <c r="A36" s="118" t="inlineStr">
        <is>
          <t>VIRGINIA — strongest welfare bench (humane-certified USDA abattoirs; Model B)</t>
        </is>
      </c>
    </row>
    <row r="37" ht="85.40000000000001" customHeight="1" s="59">
      <c r="A37" s="4" t="inlineStr">
        <is>
          <t>EcoFriendly Foods, LLC</t>
        </is>
      </c>
      <c r="B37" s="68" t="inlineStr">
        <is>
          <t>Moneta, VA</t>
        </is>
      </c>
      <c r="C37" s="68" t="inlineStr">
        <is>
          <t>USDA + Certified Humane multi-species harvest</t>
        </is>
      </c>
      <c r="D37" s="68" t="inlineStr">
        <is>
          <t>unknown</t>
        </is>
      </c>
      <c r="E37" s="22" t="inlineStr">
        <is>
          <t>SMALL
(0-300/wk)</t>
        </is>
      </c>
      <c r="F37" s="68" t="inlineStr">
        <is>
          <t>Yes</t>
        </is>
      </c>
      <c r="G37" s="68" t="inlineStr">
        <is>
          <t>USDA ✓</t>
        </is>
      </c>
      <c r="H37" s="68" t="inlineStr">
        <is>
          <t>None found in FSIS/recall/AWI — BUT reportedly CEASED operations / bankruptcy ~2020. Verify still operating!</t>
        </is>
      </c>
      <c r="I37" s="68" t="inlineStr">
        <is>
          <t>Not on public export lists — verify (and confirm still operating)</t>
        </is>
      </c>
      <c r="J37" s="68" t="inlineStr">
        <is>
          <t>CERTIFIED HUMANE — strongest welfare match in the study</t>
        </is>
      </c>
      <c r="K37" s="68" t="inlineStr">
        <is>
          <t>Custom multi-species harvest for outside producers</t>
        </is>
      </c>
      <c r="L37" s="68" t="inlineStr">
        <is>
          <t>Worth asking (A)</t>
        </is>
      </c>
      <c r="M37" s="110" t="inlineStr">
        <is>
          <t>NO</t>
        </is>
      </c>
      <c r="N37" s="68" t="inlineStr">
        <is>
          <t>Excellent B (already does custom harvest)</t>
        </is>
      </c>
      <c r="O37" s="68" t="inlineStr">
        <is>
          <t>540-525-0352
ecofriendly.com</t>
        </is>
      </c>
      <c r="P37" s="23" t="inlineStr">
        <is>
          <t>CAUTION</t>
        </is>
      </c>
      <c r="Q37" s="68" t="inlineStr">
        <is>
          <t>Med</t>
        </is>
      </c>
      <c r="R37" s="6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45.2" customHeight="1" s="59">
      <c r="A38" s="4" t="inlineStr">
        <is>
          <t>T&amp;E Meats (True &amp; Essential)</t>
        </is>
      </c>
      <c r="B38" s="68" t="inlineStr">
        <is>
          <t>Harrisonburg, VA</t>
        </is>
      </c>
      <c r="C38" s="68" t="inlineStr">
        <is>
          <t>USDA + AWA slaughter + processing</t>
        </is>
      </c>
      <c r="D38" s="68" t="inlineStr">
        <is>
          <t>unknown (small)</t>
        </is>
      </c>
      <c r="E38" s="22" t="inlineStr">
        <is>
          <t>SMALL
(0-300/wk)</t>
        </is>
      </c>
      <c r="F38" s="68" t="inlineStr">
        <is>
          <t>Yes (hogs Thu &amp; Fri)</t>
        </is>
      </c>
      <c r="G38" s="68" t="inlineStr">
        <is>
          <t>USDA ✓</t>
        </is>
      </c>
      <c r="H38" s="68" t="inlineStr">
        <is>
          <t>None found in public sources</t>
        </is>
      </c>
      <c r="I38" s="68" t="inlineStr">
        <is>
          <t>Not on public export lists — verify w/ APHIS VS</t>
        </is>
      </c>
      <c r="J38" s="68" t="inlineStr">
        <is>
          <t>AWA humane; mission-driven independent (Salatin/Cloud); site since 1930s — very strong</t>
        </is>
      </c>
      <c r="K38" s="68" t="inlineStr">
        <is>
          <t>Not noted</t>
        </is>
      </c>
      <c r="L38" s="68" t="inlineStr">
        <is>
          <t>Worth asking (A)</t>
        </is>
      </c>
      <c r="M38" s="110" t="inlineStr">
        <is>
          <t>NO</t>
        </is>
      </c>
      <c r="N38" s="68" t="inlineStr">
        <is>
          <t>Excellent B</t>
        </is>
      </c>
      <c r="O38" s="68" t="inlineStr">
        <is>
          <t>540-434-4415
temeats.com</t>
        </is>
      </c>
      <c r="P38" s="20" t="inlineStr">
        <is>
          <t>STRONG FIT</t>
        </is>
      </c>
      <c r="Q38" s="68" t="inlineStr">
        <is>
          <t>High</t>
        </is>
      </c>
      <c r="R38" s="68" t="inlineStr">
        <is>
          <t>USDA + Animal Welfare Approved; slaughters hogs Thu/Fri (verified); uses Grandin methods; serves 60+ farms. Small — confirm weekly count.</t>
        </is>
      </c>
    </row>
    <row r="39" ht="31.8" customHeight="1" s="59">
      <c r="A39" s="4" t="inlineStr">
        <is>
          <t>Blue Ridge Meats of Front Royal</t>
        </is>
      </c>
      <c r="B39" s="68" t="inlineStr">
        <is>
          <t>Middletown, VA</t>
        </is>
      </c>
      <c r="C39" s="68" t="inlineStr">
        <is>
          <t>USDA + AWA abattoir</t>
        </is>
      </c>
      <c r="D39" s="68" t="inlineStr">
        <is>
          <t>unknown</t>
        </is>
      </c>
      <c r="E39" s="24" t="inlineStr">
        <is>
          <t>unknown
(confirm)</t>
        </is>
      </c>
      <c r="F39" s="68" t="inlineStr">
        <is>
          <t>Yes</t>
        </is>
      </c>
      <c r="G39" s="68" t="inlineStr">
        <is>
          <t>USDA ✓</t>
        </is>
      </c>
      <c r="H39" s="68" t="inlineStr">
        <is>
          <t>None found (do NOT confuse with 'Blue Ridge Beef' pet-food recalls)</t>
        </is>
      </c>
      <c r="I39" s="68" t="inlineStr">
        <is>
          <t>Not on public export lists — verify</t>
        </is>
      </c>
      <c r="J39" s="68" t="inlineStr">
        <is>
          <t>AWA-approved (humane) since 2006</t>
        </is>
      </c>
      <c r="K39" s="68" t="inlineStr">
        <is>
          <t>Not noted</t>
        </is>
      </c>
      <c r="L39" s="68" t="inlineStr">
        <is>
          <t>Mobile-slaughter option</t>
        </is>
      </c>
      <c r="M39" s="110" t="inlineStr">
        <is>
          <t>NO</t>
        </is>
      </c>
      <c r="N39" s="68" t="inlineStr">
        <is>
          <t>Strong B</t>
        </is>
      </c>
      <c r="O39" s="68" t="inlineStr">
        <is>
          <t>540-636-6050
blueridgemeats.com</t>
        </is>
      </c>
      <c r="P39" s="20" t="inlineStr">
        <is>
          <t>STRONG FIT</t>
        </is>
      </c>
      <c r="Q39" s="68" t="inlineStr">
        <is>
          <t>High</t>
        </is>
      </c>
      <c r="R39" s="68" t="inlineStr">
        <is>
          <t>USDA + AWA; full-service slaughter incl. pork + game; artisan focus; also offers mobile slaughter.</t>
        </is>
      </c>
    </row>
    <row r="40" ht="58.6" customHeight="1" s="59">
      <c r="A40" s="4" t="inlineStr">
        <is>
          <t>Fauquier's Finest Custom Meat</t>
        </is>
      </c>
      <c r="B40" s="68" t="inlineStr">
        <is>
          <t>Bealeton, VA</t>
        </is>
      </c>
      <c r="C40" s="68" t="inlineStr">
        <is>
          <t>USDA/FSIS slaughter + processing</t>
        </is>
      </c>
      <c r="D40" s="68" t="inlineStr">
        <is>
          <t>unknown</t>
        </is>
      </c>
      <c r="E40" s="24" t="inlineStr">
        <is>
          <t>unknown
(confirm)</t>
        </is>
      </c>
      <c r="F40" s="68" t="inlineStr">
        <is>
          <t>Yes</t>
        </is>
      </c>
      <c r="G40" s="68" t="inlineStr">
        <is>
          <t>USDA ✓ (FSIS
slaughter listed)</t>
        </is>
      </c>
      <c r="H40" s="25" t="inlineStr">
        <is>
          <t>⚠ REPEAT humane-handling suspensions 2021 &amp; Dec 2024 (+ a 2018 violation). Est. M33940.</t>
        </is>
      </c>
      <c r="I40" s="68" t="inlineStr">
        <is>
          <t>FSIS Est. M33940; not on public export lists — verify</t>
        </is>
      </c>
      <c r="J40" s="68" t="inlineStr">
        <is>
          <t>Not noted</t>
        </is>
      </c>
      <c r="K40" s="68" t="inlineStr">
        <is>
          <t>Not noted</t>
        </is>
      </c>
      <c r="L40" s="68" t="inlineStr">
        <is>
          <t>Worth asking (A)</t>
        </is>
      </c>
      <c r="M40" s="110" t="inlineStr">
        <is>
          <t>NO</t>
        </is>
      </c>
      <c r="N40" s="68" t="inlineStr">
        <is>
          <t>Strong B</t>
        </is>
      </c>
      <c r="O40" s="68" t="inlineStr">
        <is>
          <t>540-439-7227
finestbutcher.com</t>
        </is>
      </c>
      <c r="P40" s="23" t="inlineStr">
        <is>
          <t>CAUTION</t>
        </is>
      </c>
      <c r="Q40" s="68" t="inlineStr">
        <is>
          <t>Med-High</t>
        </is>
      </c>
      <c r="R40" s="68" t="inlineStr">
        <is>
          <t>FSIS-listed for BOTH slaughter &amp; processing incl. hogs — BUT see enforcement: REPEAT humane-handling suspensions (2018, 2021, Dec 2024). A pattern that cuts against the welfare requirement — vet carefully before pursuing.</t>
        </is>
      </c>
    </row>
    <row r="41" ht="139" customHeight="1" s="59">
      <c r="A41" s="4" t="inlineStr">
        <is>
          <t>Other VA USDA slaughter (roll-up)</t>
        </is>
      </c>
      <c r="B41" s="68" t="inlineStr">
        <is>
          <t>various, VA</t>
        </is>
      </c>
      <c r="C41" s="68" t="inlineStr">
        <is>
          <t>USDA slaughter</t>
        </is>
      </c>
      <c r="D41" s="68" t="inlineStr">
        <is>
          <t>unknown</t>
        </is>
      </c>
      <c r="E41" s="24" t="inlineStr">
        <is>
          <t>unknown
(confirm)</t>
        </is>
      </c>
      <c r="F41" s="68" t="inlineStr">
        <is>
          <t>Yes (confirm per-facility)</t>
        </is>
      </c>
      <c r="G41" s="68" t="inlineStr">
        <is>
          <t>USDA ✓</t>
        </is>
      </c>
      <c r="H41" s="25" t="inlineStr">
        <is>
          <t>⚠ Donald's Meat Processing (Lexington, M39968): repeat humane suspension 2023 → 3-yr consent decision. Others: none found.</t>
        </is>
      </c>
      <c r="I41" s="68" t="inlineStr">
        <is>
          <t>Not on public export lists — verify each</t>
        </is>
      </c>
      <c r="J41" s="68" t="inlineStr">
        <is>
          <t>Varies</t>
        </is>
      </c>
      <c r="K41" s="68" t="inlineStr">
        <is>
          <t>Not noted</t>
        </is>
      </c>
      <c r="L41" s="68" t="inlineStr">
        <is>
          <t>Possible</t>
        </is>
      </c>
      <c r="M41" s="111" t="inlineStr">
        <is>
          <t>mixed — confirm</t>
        </is>
      </c>
      <c r="N41" s="68" t="inlineStr">
        <is>
          <t>B</t>
        </is>
      </c>
      <c r="O41" s="68" t="inlineStr">
        <is>
          <t>see notes →</t>
        </is>
      </c>
      <c r="P41" s="23" t="inlineStr">
        <is>
          <t>POSSIBLE</t>
        </is>
      </c>
      <c r="Q41" s="68" t="inlineStr">
        <is>
          <t>Low-Med</t>
        </is>
      </c>
      <c r="R41"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98.8" customHeight="1" s="59">
      <c r="A42" s="4" t="inlineStr">
        <is>
          <t>VA state-inspected (roll-up)</t>
        </is>
      </c>
      <c r="B42" s="68" t="inlineStr">
        <is>
          <t>various, VA</t>
        </is>
      </c>
      <c r="C42" s="68" t="inlineStr">
        <is>
          <t>STATE-inspected slaughter (NOT USDA)</t>
        </is>
      </c>
      <c r="D42" s="68" t="inlineStr">
        <is>
          <t>unknown</t>
        </is>
      </c>
      <c r="E42" s="22" t="inlineStr">
        <is>
          <t>SMALL
(0-300/wk)</t>
        </is>
      </c>
      <c r="F42" s="68" t="inlineStr">
        <is>
          <t>Yes</t>
        </is>
      </c>
      <c r="G42" s="68" t="inlineStr">
        <is>
          <t>STATE only
(NOT USDA)</t>
        </is>
      </c>
      <c r="H42" s="68" t="inlineStr">
        <is>
          <t>Not in FSIS federal enforcement data (state-inspected) — check VDACS state records</t>
        </is>
      </c>
      <c r="I42" s="112" t="inlineStr">
        <is>
          <t>⛔ State-inspected, non-NC — NOT accepted as equivalent. Needs USDA/FSIS to qualify for Path 1.</t>
        </is>
      </c>
      <c r="J42" s="68" t="inlineStr">
        <is>
          <t>Varies</t>
        </is>
      </c>
      <c r="K42" s="68" t="inlineStr">
        <is>
          <t>Not noted</t>
        </is>
      </c>
      <c r="L42" s="68" t="inlineStr">
        <is>
          <t>Possible</t>
        </is>
      </c>
      <c r="M42" s="111" t="inlineStr">
        <is>
          <t>mixed — confirm</t>
        </is>
      </c>
      <c r="N42" s="68" t="inlineStr">
        <is>
          <t>B</t>
        </is>
      </c>
      <c r="O42" s="68" t="inlineStr">
        <is>
          <t>see notes →</t>
        </is>
      </c>
      <c r="P42" s="23" t="inlineStr">
        <is>
          <t>CAUTION</t>
        </is>
      </c>
      <c r="Q42" s="68" t="inlineStr">
        <is>
          <t>Low</t>
        </is>
      </c>
      <c r="R42"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3" ht="19.7" customHeight="1" s="59">
      <c r="A43" s="118" t="inlineStr">
        <is>
          <t>IOWA &amp; MIDWEST — best fits (dedicated organ / tissue harvesters)</t>
        </is>
      </c>
    </row>
    <row r="44" ht="72" customHeight="1" s="59">
      <c r="A44" s="4" t="inlineStr">
        <is>
          <t>Midwest Research Swine (MRS)</t>
        </is>
      </c>
      <c r="B44" s="68" t="inlineStr">
        <is>
          <t>Glencoe / Gibbon, MN</t>
        </is>
      </c>
      <c r="C44" s="68" t="inlineStr">
        <is>
          <t>Porcine-ONLY abattoir + tissue-harvest facility</t>
        </is>
      </c>
      <c r="D44" s="68" t="inlineStr">
        <is>
          <t>~385 (20k/yr)</t>
        </is>
      </c>
      <c r="E44" s="20" t="inlineStr">
        <is>
          <t>MEDIUM
(350-2,500/wk)</t>
        </is>
      </c>
      <c r="F44" s="68" t="inlineStr">
        <is>
          <t>Yes</t>
        </is>
      </c>
      <c r="G44" s="68" t="inlineStr">
        <is>
          <t>meat insp.
unconfirmed</t>
        </is>
      </c>
      <c r="H44" s="68" t="inlineStr">
        <is>
          <t>None found (small research facility; rarely in enforcement data)</t>
        </is>
      </c>
      <c r="I44" s="68" t="inlineStr">
        <is>
          <t>Holds APHIS Class B/R (AWA licenses); research-tissue export via APHIS VS/TRACES by-products channel NOT confirmed — verify (correct channel)</t>
        </is>
      </c>
      <c r="J44" s="68" t="inlineStr">
        <is>
          <t>Strong — closed herd, stringent QC; family (Theis, since 1978), ~20 staff</t>
        </is>
      </c>
      <c r="K44" s="68" t="inlineStr">
        <is>
          <t>YES — CORE BUSINESS: whole organs (decellularization), veins/arteries for implantation, mesh tissue, bio-samples; xeno/vaccine/stem-cell research</t>
        </is>
      </c>
      <c r="L44" s="68" t="inlineStr">
        <is>
          <t>Plausible (has harvest facility)</t>
        </is>
      </c>
      <c r="M44" s="111" t="inlineStr">
        <is>
          <t>confirm</t>
        </is>
      </c>
      <c r="N44" s="68" t="inlineStr">
        <is>
          <t>Best fit — harvest to spec</t>
        </is>
      </c>
      <c r="O44" s="68" t="inlineStr">
        <is>
          <t>midwestresearchswine.com
(phone via site)</t>
        </is>
      </c>
      <c r="P44" s="20" t="inlineStr">
        <is>
          <t>STRONG FIT</t>
        </is>
      </c>
      <c r="Q44" s="68" t="inlineStr">
        <is>
          <t>High</t>
        </is>
      </c>
      <c r="R44" s="68" t="inlineStr">
        <is>
          <t>THE standout — already exactly our operation at our scale. Clients incl. Mayo, U.Minnesota, Harvard, 40+ firms. Holds USDA APHIS Class B/R (AWA research licenses; distinct from an FSIS meat grant — confirm meat-inspection status).</t>
        </is>
      </c>
    </row>
    <row r="45" ht="85.40000000000001" customHeight="1" s="59">
      <c r="A45" s="4" t="inlineStr">
        <is>
          <t>Smithfield BioScience — Denison</t>
        </is>
      </c>
      <c r="B45" s="68" t="inlineStr">
        <is>
          <t>Denison, IA
(+ Monmouth IL, Milan MO)</t>
        </is>
      </c>
      <c r="C45" s="68" t="inlineStr">
        <is>
          <t>LARGE packer + biologics program</t>
        </is>
      </c>
      <c r="D45" s="68" t="inlineStr">
        <is>
          <t>~10,000 / DAY
(organ exception)</t>
        </is>
      </c>
      <c r="E45" s="26" t="inlineStr">
        <is>
          <t>HIGH
(&gt;5,000/wk)</t>
        </is>
      </c>
      <c r="F45" s="68" t="inlineStr">
        <is>
          <t>Yes</t>
        </is>
      </c>
      <c r="G45" s="68" t="inlineStr">
        <is>
          <t>USDA ✓ (Est. 717)
export-cert</t>
        </is>
      </c>
      <c r="H45" s="25" t="inlineStr">
        <is>
          <t>⚠ REPEAT humane-handling: NOIE 2021 &amp; 2023; suspension 09/2024 (egregious). ASPCA line-speed concerns. Est. M717.</t>
        </is>
      </c>
      <c r="I45" s="68" t="inlineStr">
        <is>
          <t>FSIS export-certified (edible, Est. M717). Research-tissue via APHIS VS/TRACES unverified</t>
        </is>
      </c>
      <c r="J45" s="68" t="inlineStr">
        <is>
          <t>Industrial scale, but a structured biologics unit</t>
        </is>
      </c>
      <c r="K45" s="68" t="inlineStr">
        <is>
          <t>YES — full program: PELVIC (bladder, ovary); ABDOMINAL (kidney, liver, pancreas, sm. intestine, mucosa, peritoneum, pepsin lining); THORACIC (heart, valves, lung, aorta, pericardium, trachea); glands/skin/eyes</t>
        </is>
      </c>
      <c r="L45" s="68" t="inlineStr">
        <is>
          <t>Negotiate (industrial site)</t>
        </is>
      </c>
      <c r="M45" s="110" t="inlineStr">
        <is>
          <t>NO</t>
        </is>
      </c>
      <c r="N45" s="68" t="inlineStr">
        <is>
          <t>Strong — harvests in-house to customer spec</t>
        </is>
      </c>
      <c r="O45" s="68" t="inlineStr">
        <is>
          <t>smithfieldbioscience.com</t>
        </is>
      </c>
      <c r="P45" s="20" t="inlineStr">
        <is>
          <t>STRONG FIT
(organ exc.)</t>
        </is>
      </c>
      <c r="Q45" s="68" t="inlineStr">
        <is>
          <t>High</t>
        </is>
      </c>
      <c r="R45" s="68" t="inlineStr">
        <is>
          <t>The large packer that QUALIFIES via your organ exception — covers all three target regions harvested to spec. Model B natural fit; Model A access would need negotiation.</t>
        </is>
      </c>
    </row>
    <row r="46" ht="19.7" customHeight="1" s="59">
      <c r="A46" s="118" t="inlineStr">
        <is>
          <t>IOWA &amp; MIDWEST — mid / small USDA hog plants (standard pork; Model A or B)</t>
        </is>
      </c>
    </row>
    <row r="47" ht="58.6" customHeight="1" s="59">
      <c r="A47" s="4" t="inlineStr">
        <is>
          <t>Lorentz Meats</t>
        </is>
      </c>
      <c r="B47" s="68" t="inlineStr">
        <is>
          <t>Cannon Falls, MN</t>
        </is>
      </c>
      <c r="C47" s="68" t="inlineStr">
        <is>
          <t>USDA niche processor (slaughter→retail)</t>
        </is>
      </c>
      <c r="D47" s="68" t="inlineStr">
        <is>
          <t>up to ~600 (120/day est.)</t>
        </is>
      </c>
      <c r="E47" s="20" t="inlineStr">
        <is>
          <t>MEDIUM
(350-2,500/wk)</t>
        </is>
      </c>
      <c r="F47" s="68" t="inlineStr">
        <is>
          <t>Yes</t>
        </is>
      </c>
      <c r="G47" s="68" t="inlineStr">
        <is>
          <t>USDA ✓</t>
        </is>
      </c>
      <c r="H47" s="68" t="inlineStr">
        <is>
          <t>Recall 2010 (Listeria, cooked ham, Class I). No humane-handling action found.</t>
        </is>
      </c>
      <c r="I47" s="68" t="inlineStr">
        <is>
          <t>FSIS export-certified (edible, general; Est. M21207). EU-specific unverified</t>
        </is>
      </c>
      <c r="J47" s="68" t="inlineStr">
        <is>
          <t>Strong — explicit humane-slaughter positioning; family since 1968, ~140 staff; organic/grass-fed ties</t>
        </is>
      </c>
      <c r="K47" s="68" t="inlineStr">
        <is>
          <t>None known</t>
        </is>
      </c>
      <c r="L47" s="68" t="inlineStr">
        <is>
          <t>Good Model A host (fee-for-service, small-producer friendly)</t>
        </is>
      </c>
      <c r="M47" s="110" t="inlineStr">
        <is>
          <t>NO</t>
        </is>
      </c>
      <c r="N47" s="68" t="inlineStr">
        <is>
          <t>Plausible</t>
        </is>
      </c>
      <c r="O47" s="68" t="inlineStr">
        <is>
          <t>(507) 263-3618
lorentzmeats.com</t>
        </is>
      </c>
      <c r="P47" s="23" t="inlineStr">
        <is>
          <t>POSSIBLE</t>
        </is>
      </c>
      <c r="Q47" s="68" t="inlineStr">
        <is>
          <t>Med</t>
        </is>
      </c>
      <c r="R47" s="68" t="inlineStr">
        <is>
          <t>Strong welfare &amp; culture signals (Nahunta-type). Confirm true pork-day cadence / weekly hog count.</t>
        </is>
      </c>
    </row>
    <row r="48" ht="45.2" customHeight="1" s="59">
      <c r="A48" s="4" t="inlineStr">
        <is>
          <t>SIG International, Iowa</t>
        </is>
      </c>
      <c r="B48" s="68" t="inlineStr">
        <is>
          <t>Boyden, IA</t>
        </is>
      </c>
      <c r="C48" s="68" t="inlineStr">
        <is>
          <t>USDA slaughter+processing (Est. M20748)</t>
        </is>
      </c>
      <c r="D48" s="68" t="inlineStr">
        <is>
          <t>unknown (small-mid)</t>
        </is>
      </c>
      <c r="E48" s="24" t="inlineStr">
        <is>
          <t>unknown
(confirm)</t>
        </is>
      </c>
      <c r="F48" s="68" t="inlineStr">
        <is>
          <t>Yes</t>
        </is>
      </c>
      <c r="G48" s="68" t="inlineStr">
        <is>
          <t>USDA ✓
export-cert (Japan)</t>
        </is>
      </c>
      <c r="H48" s="68" t="inlineStr">
        <is>
          <t>None found in public sources</t>
        </is>
      </c>
      <c r="I48" s="68" t="inlineStr">
        <is>
          <t>FSIS export-certified (edible; exports to Japan — Japan ≠ EU). EU/APHIS unverified</t>
        </is>
      </c>
      <c r="J48" s="68" t="inlineStr">
        <is>
          <t>Berkshire / USDA-organic; export QC discipline</t>
        </is>
      </c>
      <c r="K48" s="68" t="inlineStr">
        <is>
          <t>None found</t>
        </is>
      </c>
      <c r="L48" s="68" t="inlineStr">
        <is>
          <t>Likely Model A host</t>
        </is>
      </c>
      <c r="M48" s="110" t="inlineStr">
        <is>
          <t>NO</t>
        </is>
      </c>
      <c r="N48" s="68" t="inlineStr">
        <is>
          <t>Plausible</t>
        </is>
      </c>
      <c r="O48" s="68" t="inlineStr">
        <is>
          <t>(712) 725-2172
sigiowa.com</t>
        </is>
      </c>
      <c r="P48" s="23" t="inlineStr">
        <is>
          <t>POSSIBLE</t>
        </is>
      </c>
      <c r="Q48" s="68" t="inlineStr">
        <is>
          <t>Med</t>
        </is>
      </c>
      <c r="R48" s="68" t="inlineStr">
        <is>
          <t>Niche premium/Berkshire, organic, export-grade QC (Japan). Confirm weekly hog throughput.</t>
        </is>
      </c>
    </row>
    <row r="49" ht="45.2" customHeight="1" s="59">
      <c r="A49" s="4" t="inlineStr">
        <is>
          <t>Eickman's Processing Co.</t>
        </is>
      </c>
      <c r="B49" s="68" t="inlineStr">
        <is>
          <t>Seward, IL</t>
        </is>
      </c>
      <c r="C49" s="68" t="inlineStr">
        <is>
          <t>USDA (Est. M31776), small family plant</t>
        </is>
      </c>
      <c r="D49" s="68" t="inlineStr">
        <is>
          <t>small (low-100s/wk est.)</t>
        </is>
      </c>
      <c r="E49" s="22" t="inlineStr">
        <is>
          <t>SMALL
(0-300/wk)</t>
        </is>
      </c>
      <c r="F49" s="68" t="inlineStr">
        <is>
          <t>Yes</t>
        </is>
      </c>
      <c r="G49" s="68" t="inlineStr">
        <is>
          <t>USDA ✓</t>
        </is>
      </c>
      <c r="H49" s="68" t="inlineStr">
        <is>
          <t>Recall 2010 (underprocessed canned). No humane-handling action found.</t>
        </is>
      </c>
      <c r="I49" s="68" t="inlineStr">
        <is>
          <t>Not on public export lists — verify</t>
        </is>
      </c>
      <c r="J49" s="68" t="inlineStr">
        <is>
          <t>Long-tenured family operation (~70 yrs, ~30 staff) — stable culture</t>
        </is>
      </c>
      <c r="K49" s="68" t="inlineStr">
        <is>
          <t>None</t>
        </is>
      </c>
      <c r="L49" s="68" t="inlineStr">
        <is>
          <t>Model A small batches</t>
        </is>
      </c>
      <c r="M49" s="110" t="inlineStr">
        <is>
          <t>NO</t>
        </is>
      </c>
      <c r="N49" s="68" t="inlineStr">
        <is>
          <t>Plausible</t>
        </is>
      </c>
      <c r="O49" s="68" t="inlineStr">
        <is>
          <t>(815) 247-8451
eickmans.com</t>
        </is>
      </c>
      <c r="P49" s="23" t="inlineStr">
        <is>
          <t>POSSIBLE</t>
        </is>
      </c>
      <c r="Q49" s="68" t="inlineStr">
        <is>
          <t>Med</t>
        </is>
      </c>
      <c r="R49" s="68" t="inlineStr">
        <is>
          <t>SMALL tier (~low-100s/wk est.). Stable family culture, USDA. Viable now that capacity is open — good Model A small-batch partner.</t>
        </is>
      </c>
    </row>
    <row r="50" ht="45.2" customHeight="1" s="59">
      <c r="A50" s="4" t="inlineStr">
        <is>
          <t>Ruthven Meat Processing</t>
        </is>
      </c>
      <c r="B50" s="68" t="inlineStr">
        <is>
          <t>Ruthven, IA</t>
        </is>
      </c>
      <c r="C50" s="68" t="inlineStr">
        <is>
          <t>USDA (Est. M2118), FSIS 'Very Small'</t>
        </is>
      </c>
      <c r="D50" s="68" t="inlineStr">
        <is>
          <t>low (very small)</t>
        </is>
      </c>
      <c r="E50" s="22" t="inlineStr">
        <is>
          <t>SMALL
(0-300/wk)</t>
        </is>
      </c>
      <c r="F50" s="68" t="inlineStr">
        <is>
          <t>Hogs NOT
confirmed</t>
        </is>
      </c>
      <c r="G50" s="68" t="inlineStr">
        <is>
          <t>USDA ✓</t>
        </is>
      </c>
      <c r="H50" s="68" t="inlineStr">
        <is>
          <t>None found in public sources</t>
        </is>
      </c>
      <c r="I50" s="68" t="inlineStr">
        <is>
          <t>Not on public export lists — verify</t>
        </is>
      </c>
      <c r="J50" s="68" t="inlineStr">
        <is>
          <t>Small locker</t>
        </is>
      </c>
      <c r="K50" s="68" t="inlineStr">
        <is>
          <t>Unknown</t>
        </is>
      </c>
      <c r="L50" s="68" t="inlineStr">
        <is>
          <t>Model A small batch</t>
        </is>
      </c>
      <c r="M50" s="110" t="inlineStr">
        <is>
          <t>NO</t>
        </is>
      </c>
      <c r="N50" s="68" t="inlineStr">
        <is>
          <t>Plausible</t>
        </is>
      </c>
      <c r="O50" s="68" t="inlineStr">
        <is>
          <t>(712) 837-5334</t>
        </is>
      </c>
      <c r="P50" s="23" t="inlineStr">
        <is>
          <t>CAUTION</t>
        </is>
      </c>
      <c r="Q50" s="68" t="inlineStr">
        <is>
          <t>Low-Med</t>
        </is>
      </c>
      <c r="R50" s="68" t="inlineStr">
        <is>
          <t>FSIS 'Very Small' volume class (fits low band) BUT swine slaughter NOT confirmed — verify it actually takes hogs before relying on it.</t>
        </is>
      </c>
    </row>
    <row r="51" ht="19.7" customHeight="1" s="59">
      <c r="A51" s="118" t="inlineStr">
        <is>
          <t>IOWA &amp; MIDWEST — large packers (excluded unless a biologics program is confirmed)</t>
        </is>
      </c>
    </row>
    <row r="52" ht="72" customHeight="1" s="59">
      <c r="A52" s="4" t="inlineStr">
        <is>
          <t>Sioux-Preme Packing / Perdue</t>
        </is>
      </c>
      <c r="B52" s="68" t="inlineStr">
        <is>
          <t>Sioux Center, IA</t>
        </is>
      </c>
      <c r="C52" s="68" t="inlineStr">
        <is>
          <t>Large niche pork (Est. M5537)</t>
        </is>
      </c>
      <c r="D52" s="68" t="inlineStr">
        <is>
          <t>~4,500 / DAY</t>
        </is>
      </c>
      <c r="E52" s="26" t="inlineStr">
        <is>
          <t>HIGH
(&gt;5,000/wk)</t>
        </is>
      </c>
      <c r="F52" s="68" t="inlineStr">
        <is>
          <t>Yes</t>
        </is>
      </c>
      <c r="G52" s="68" t="inlineStr">
        <is>
          <t>USDA ✓
organic</t>
        </is>
      </c>
      <c r="H52" s="25" t="inlineStr">
        <is>
          <t>⚠ Humane-handling: NOIE 11/2020, suspension 04/2021 (Est. M5537); PETA sought charges (none filed on record).</t>
        </is>
      </c>
      <c r="I52" s="68" t="inlineStr">
        <is>
          <t>Export status not confirmed on public lists — verify</t>
        </is>
      </c>
      <c r="J52" s="68" t="inlineStr">
        <is>
          <t>NEGATIVE signal — an animal-rights group publicly sought charges over handling</t>
        </is>
      </c>
      <c r="K52" s="68" t="inlineStr">
        <is>
          <t>No biologics program found</t>
        </is>
      </c>
      <c r="L52" s="68" t="inlineStr">
        <is>
          <t>Unlikely</t>
        </is>
      </c>
      <c r="M52" s="110" t="inlineStr">
        <is>
          <t>NO</t>
        </is>
      </c>
      <c r="N52" s="68" t="inlineStr">
        <is>
          <t>Unlikely</t>
        </is>
      </c>
      <c r="O52" s="68" t="inlineStr">
        <is>
          <t>(712) 722-2555</t>
        </is>
      </c>
      <c r="P52" s="23" t="inlineStr">
        <is>
          <t>CAUTION</t>
        </is>
      </c>
      <c r="Q52" s="68" t="inlineStr">
        <is>
          <t>High</t>
        </is>
      </c>
      <c r="R52" s="68" t="inlineStr">
        <is>
          <t>HIGH tier — no longer excluded on size. Held at CAUTION on WELFARE, not volume: humane-handling NOIE 11/2020 and suspension 04/2021 (Est. M5537), and PETA sought criminal charges. No organ program found. Weigh heavily against the Nahunta standard.</t>
        </is>
      </c>
    </row>
    <row r="53" ht="45.2" customHeight="1" s="59">
      <c r="A53" s="4" t="inlineStr">
        <is>
          <t>Seaboard Triumph Foods</t>
        </is>
      </c>
      <c r="B53" s="68" t="inlineStr">
        <is>
          <t>Sioux City, IA</t>
        </is>
      </c>
      <c r="C53" s="68" t="inlineStr">
        <is>
          <t>Very large packer</t>
        </is>
      </c>
      <c r="D53" s="68" t="inlineStr">
        <is>
          <t>~10,000/DAY (up to 20-24k)</t>
        </is>
      </c>
      <c r="E53" s="26" t="inlineStr">
        <is>
          <t>HIGH
(&gt;5,000/wk)</t>
        </is>
      </c>
      <c r="F53" s="68" t="inlineStr">
        <is>
          <t>Yes</t>
        </is>
      </c>
      <c r="G53" s="68" t="inlineStr">
        <is>
          <t>USDA ✓</t>
        </is>
      </c>
      <c r="H53" s="68" t="inlineStr">
        <is>
          <t>No FSIS humane/recall found. Non-FSIS press: labor / child-labor fines, emissions.</t>
        </is>
      </c>
      <c r="I53" s="68" t="inlineStr">
        <is>
          <t>FSIS export-certified (edible, general; Est. M46071). EU-specific unverified</t>
        </is>
      </c>
      <c r="J53" s="68" t="inlineStr">
        <is>
          <t>Industrial</t>
        </is>
      </c>
      <c r="K53" s="68" t="inlineStr">
        <is>
          <t>NOT confirmed (no research-organ program found)</t>
        </is>
      </c>
      <c r="L53" s="68" t="inlineStr">
        <is>
          <t>Unlikely</t>
        </is>
      </c>
      <c r="M53" s="110" t="inlineStr">
        <is>
          <t>NO</t>
        </is>
      </c>
      <c r="N53" s="68" t="inlineStr">
        <is>
          <t>Unlikely</t>
        </is>
      </c>
      <c r="O53" s="68" t="inlineStr">
        <is>
          <t>—</t>
        </is>
      </c>
      <c r="P53" s="23" t="inlineStr">
        <is>
          <t>POSSIBLE</t>
        </is>
      </c>
      <c r="Q53" s="68" t="inlineStr">
        <is>
          <t>High</t>
        </is>
      </c>
      <c r="R53" s="68" t="inlineStr">
        <is>
          <t>HIGH tier. No longer excluded on size (~10-24k/day). Biologics program UNCONFIRMED — do NOT assume one exists; ask directly. Non-FSIS labour/child-labour press on record.</t>
        </is>
      </c>
    </row>
    <row r="54" ht="45.2" customHeight="1" s="59">
      <c r="A54" s="4" t="inlineStr">
        <is>
          <t>Prestage Foods of Iowa</t>
        </is>
      </c>
      <c r="B54" s="68" t="inlineStr">
        <is>
          <t>Eagle Grove, IA</t>
        </is>
      </c>
      <c r="C54" s="68" t="inlineStr">
        <is>
          <t>Very large packer</t>
        </is>
      </c>
      <c r="D54" s="68" t="inlineStr">
        <is>
          <t>~10,000-12,000/DAY</t>
        </is>
      </c>
      <c r="E54" s="26" t="inlineStr">
        <is>
          <t>HIGH
(&gt;5,000/wk)</t>
        </is>
      </c>
      <c r="F54" s="68" t="inlineStr">
        <is>
          <t>Yes</t>
        </is>
      </c>
      <c r="G54" s="68" t="inlineStr">
        <is>
          <t>USDA ✓</t>
        </is>
      </c>
      <c r="H54" s="25" t="inlineStr">
        <is>
          <t>⚠ REPEAT humane-handling suspensions 2020 &amp; 04/2022 (egregious). Est. M51340. PETA sought kill-floor cameras.</t>
        </is>
      </c>
      <c r="I54" s="68" t="inlineStr">
        <is>
          <t>Export-oriented; 'Certification–Export' not directly confirmed. EU unverified</t>
        </is>
      </c>
      <c r="J54" s="68" t="inlineStr">
        <is>
          <t>Industrial</t>
        </is>
      </c>
      <c r="K54" s="68" t="inlineStr">
        <is>
          <t>No organ program found</t>
        </is>
      </c>
      <c r="L54" s="68" t="inlineStr">
        <is>
          <t>Unlikely</t>
        </is>
      </c>
      <c r="M54" s="110" t="inlineStr">
        <is>
          <t>NO</t>
        </is>
      </c>
      <c r="N54" s="68" t="inlineStr">
        <is>
          <t>Unlikely</t>
        </is>
      </c>
      <c r="O54" s="68" t="inlineStr">
        <is>
          <t>—</t>
        </is>
      </c>
      <c r="P54" s="23" t="inlineStr">
        <is>
          <t>POSSIBLE</t>
        </is>
      </c>
      <c r="Q54" s="68" t="inlineStr">
        <is>
          <t>High</t>
        </is>
      </c>
      <c r="R54" s="68" t="inlineStr">
        <is>
          <t>HIGH tier. No longer excluded on size (~10-12k hogs/day). No organ program found — confirm directly. Documented repeat humane-handling suspensions (see enforcement).</t>
        </is>
      </c>
    </row>
    <row r="55" ht="45.2" customHeight="1" s="59">
      <c r="A55" s="4" t="inlineStr">
        <is>
          <t>Wholestone Farms</t>
        </is>
      </c>
      <c r="B55" s="68" t="inlineStr">
        <is>
          <t>Fremont, NE</t>
        </is>
      </c>
      <c r="C55" s="68" t="inlineStr">
        <is>
          <t>Very large packer</t>
        </is>
      </c>
      <c r="D55" s="68" t="inlineStr">
        <is>
          <t>~8,200/DAY (3M→5.6M/yr)</t>
        </is>
      </c>
      <c r="E55" s="26" t="inlineStr">
        <is>
          <t>HIGH
(&gt;5,000/wk)</t>
        </is>
      </c>
      <c r="F55" s="68" t="inlineStr">
        <is>
          <t>Yes</t>
        </is>
      </c>
      <c r="G55" s="68" t="inlineStr">
        <is>
          <t>USDA ✓</t>
        </is>
      </c>
      <c r="H55" s="25" t="inlineStr">
        <is>
          <t>⚠ Humane-handling NOIE 12/2019 (Est. M46491; captive bolt on a condemned hog).</t>
        </is>
      </c>
      <c r="I55" s="68" t="inlineStr">
        <is>
          <t>Not confirmed on public lists — verify</t>
        </is>
      </c>
      <c r="J55" s="68" t="inlineStr">
        <is>
          <t>Industrial</t>
        </is>
      </c>
      <c r="K55" s="68" t="inlineStr">
        <is>
          <t>Biologics unknown</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Biologics unknown — confirm. Humane-handling NOIE 12/2019 on record.</t>
        </is>
      </c>
    </row>
    <row r="56" ht="58.6" customHeight="1" s="59">
      <c r="A56" s="4" t="inlineStr">
        <is>
          <t>Other large regional (context)</t>
        </is>
      </c>
      <c r="B56" s="68" t="inlineStr">
        <is>
          <t>IA / Midwest</t>
        </is>
      </c>
      <c r="C56" s="68" t="inlineStr">
        <is>
          <t>Very large packers</t>
        </is>
      </c>
      <c r="D56" s="68" t="inlineStr">
        <is>
          <t>&gt;5,000/wk (est.)</t>
        </is>
      </c>
      <c r="E56" s="26" t="inlineStr">
        <is>
          <t>HIGH
(&gt;5,000/wk)</t>
        </is>
      </c>
      <c r="F56" s="68" t="inlineStr">
        <is>
          <t>Yes/mixed</t>
        </is>
      </c>
      <c r="G56" s="68" t="inlineStr">
        <is>
          <t>USDA ✓</t>
        </is>
      </c>
      <c r="H56" s="68" t="inlineStr">
        <is>
          <t>Varies by plant — check FSIS Quarterly Enforcement Reports per establishment #</t>
        </is>
      </c>
      <c r="I56" s="68" t="inlineStr">
        <is>
          <t>Varies — check FSIS 'Eligible Establishments by Country' + TRACES</t>
        </is>
      </c>
      <c r="J56" s="68" t="inlineStr">
        <is>
          <t>Industrial</t>
        </is>
      </c>
      <c r="K56" s="68" t="inlineStr">
        <is>
          <t>Not confirmed</t>
        </is>
      </c>
      <c r="L56" s="68" t="inlineStr">
        <is>
          <t>Unlikely</t>
        </is>
      </c>
      <c r="M56" s="110" t="inlineStr">
        <is>
          <t>NO</t>
        </is>
      </c>
      <c r="N56" s="68" t="inlineStr">
        <is>
          <t>Unlikely</t>
        </is>
      </c>
      <c r="O56" s="68" t="inlineStr">
        <is>
          <t>—</t>
        </is>
      </c>
      <c r="P56" s="23" t="inlineStr">
        <is>
          <t>CAUTION</t>
        </is>
      </c>
      <c r="Q56" s="68" t="inlineStr">
        <is>
          <t>Med</t>
        </is>
      </c>
      <c r="R56" s="68" t="inlineStr">
        <is>
          <t>Tyson Fresh Meats (Columbus Junction, Storm Lake, Waterloo IA); JBS/Cargill pork (Ottumwa/Marshalltown). Tyson Perry IA CLOSED 2024. Iowa Premium/National Beef (Tama) = BEEF — exclude. Biologics programs unverified.</t>
        </is>
      </c>
    </row>
    <row r="57" ht="19.7" customHeight="1" s="59">
      <c r="A57" s="118" t="inlineStr">
        <is>
          <t>ADJACENT SOURCES — research minipig suppliers (scale mismatch; comparator only)</t>
        </is>
      </c>
    </row>
    <row r="58" ht="58.6" customHeight="1" s="59">
      <c r="A58" s="4" t="inlineStr">
        <is>
          <t>Sinclair BioResources</t>
        </is>
      </c>
      <c r="B58" s="68" t="inlineStr">
        <is>
          <t>Auxvasse, MO</t>
        </is>
      </c>
      <c r="C58" s="68" t="inlineStr">
        <is>
          <t>Minipig supplier + bio-samples</t>
        </is>
      </c>
      <c r="D58" s="68" t="inlineStr">
        <is>
          <t>n/a (research minipigs)</t>
        </is>
      </c>
      <c r="E58" s="24" t="inlineStr">
        <is>
          <t>n/a</t>
        </is>
      </c>
      <c r="F58" s="68" t="inlineStr">
        <is>
          <t>Yes (minipigs)</t>
        </is>
      </c>
      <c r="G58" s="68" t="inlineStr">
        <is>
          <t>unknown</t>
        </is>
      </c>
      <c r="H58" s="68" t="inlineStr">
        <is>
          <t>None found (research minipig facility)</t>
        </is>
      </c>
      <c r="I58" s="68" t="inlineStr">
        <is>
          <t>Research minipig; APHIS VS channel — verify</t>
        </is>
      </c>
      <c r="J58" s="68" t="inlineStr">
        <is>
          <t>Research-scale program</t>
        </is>
      </c>
      <c r="K58" s="68" t="inlineStr">
        <is>
          <t>Minipig tissue / bio-samples (Sinclair, Yucatan, Hanford)</t>
        </is>
      </c>
      <c r="L58" s="68" t="inlineStr">
        <is>
          <t>n/a</t>
        </is>
      </c>
      <c r="M58" s="110" t="inlineStr">
        <is>
          <t>NO</t>
        </is>
      </c>
      <c r="N58" s="68" t="inlineStr">
        <is>
          <t>Comparator only</t>
        </is>
      </c>
      <c r="O58" s="68" t="inlineStr">
        <is>
          <t>sinclairbioresources.com</t>
        </is>
      </c>
      <c r="P58" s="23" t="inlineStr">
        <is>
          <t>CAUTION</t>
        </is>
      </c>
      <c r="Q58" s="68" t="inlineStr">
        <is>
          <t>Med</t>
        </is>
      </c>
      <c r="R58" s="68" t="inlineStr">
        <is>
          <t>MISMATCH: research minipigs at research scale, not commercial market hogs at our volume tiers; tissue blocks would be minipig-sized. Useful as a comparator/specialty source, not a throughput abattoir.</t>
        </is>
      </c>
    </row>
    <row r="59" ht="19.7" customHeight="1" s="59">
      <c r="A59" s="118" t="inlineStr">
        <is>
          <t>NORTH CAROLINA — NEWLY FOUND (registry sweep, NCDA&amp;CS directories 2026-07-24)</t>
        </is>
      </c>
    </row>
    <row r="60" ht="85.40000000000001" customHeight="1" s="59">
      <c r="A60" s="82" t="inlineStr">
        <is>
          <t>The Pork Company (Villari Food Group)</t>
        </is>
      </c>
      <c r="B60" s="83" t="inlineStr">
        <is>
          <t>Warsaw, NC (Duplin)</t>
        </is>
      </c>
      <c r="C60" s="83" t="inlineStr">
        <is>
          <t>USDA federal fresh-pork HARVEST plant</t>
        </is>
      </c>
      <c r="D60" s="83" t="inlineStr">
        <is>
          <t>~7,500/wk (1,500 hd/day, EMI 2017)</t>
        </is>
      </c>
      <c r="E60" s="26" t="inlineStr">
        <is>
          <t>HIGH
(&gt;5,000/wk)</t>
        </is>
      </c>
      <c r="F60" s="83" t="inlineStr">
        <is>
          <t>Yes — MARKET HOGS</t>
        </is>
      </c>
      <c r="G60" s="83" t="inlineStr">
        <is>
          <t>USDA ✓ M20608</t>
        </is>
      </c>
      <c r="H60" s="25" t="inlineStr">
        <is>
          <t>⚠⚠ REPEAT humane-handling: NOIE 11 May 2022 AND NOIE 8 May 2025 (Est. M20608). Both letters 403-blocked — READ THEM before approaching.</t>
        </is>
      </c>
      <c r="I60" s="83" t="inlineStr">
        <is>
          <t>Sister plant Villari Food Group is EXPORT-CERTIFIED for pork (FSIS, edible). APHIS by-product listing unverified</t>
        </is>
      </c>
      <c r="J60" s="83" t="inlineStr">
        <is>
          <t>⚠⚠ TWO humane-handling NOIEs — 11 May 2022 AND 8 May 2025 (repeat pattern, 3 yrs apart)</t>
        </is>
      </c>
      <c r="K60" s="83" t="inlineStr">
        <is>
          <t>Unknown. Sister plant Villari Food Group (Warsaw) is export-certified for pork — the group already runs an export-certified cold chain</t>
        </is>
      </c>
      <c r="L60" s="83" t="inlineStr">
        <is>
          <t>Unlikely at 1,500 hd/day</t>
        </is>
      </c>
      <c r="M60" s="109" t="inlineStr">
        <is>
          <t>YES (est.)</t>
        </is>
      </c>
      <c r="N60" s="83" t="inlineStr">
        <is>
          <t>Model B candidate on volume</t>
        </is>
      </c>
      <c r="O60" s="83" t="inlineStr">
        <is>
          <t>(910) 293-2157
villarifood.com</t>
        </is>
      </c>
      <c r="P60" s="23" t="inlineStr">
        <is>
          <t>CAUTION</t>
        </is>
      </c>
      <c r="Q60" s="83" t="inlineStr">
        <is>
          <t>Med</t>
        </is>
      </c>
      <c r="R60" s="83"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85.40000000000001" customHeight="1" s="59">
      <c r="A61" s="82" t="inlineStr">
        <is>
          <t>Parks Family Meats, LLC</t>
        </is>
      </c>
      <c r="B61" s="83" t="inlineStr">
        <is>
          <t>Warsaw, NC (Duplin)</t>
        </is>
      </c>
      <c r="C61" s="83" t="inlineStr">
        <is>
          <t>Talmadge-Aiken slaughter + processing</t>
        </is>
      </c>
      <c r="D61" s="83" t="inlineStr">
        <is>
          <t>~1,750-2,000/wk (400/day co. capacity)</t>
        </is>
      </c>
      <c r="E61" s="20" t="inlineStr">
        <is>
          <t>MEDIUM
(350-2,500/wk)</t>
        </is>
      </c>
      <c r="F61" s="83" t="inlineStr">
        <is>
          <t>Yes — SWINE-ONLY</t>
        </is>
      </c>
      <c r="G61" s="83" t="inlineStr">
        <is>
          <t>USDA ✓ TA-18296A
(interstate/export eligible)</t>
        </is>
      </c>
      <c r="H61" s="83" t="inlineStr">
        <is>
          <t>None found (FSIS unreachable — NOT a clean bill)</t>
        </is>
      </c>
      <c r="I61" s="83" t="inlineStr">
        <is>
          <t>TA = interstate/export eligible. Company claims Caribbean export (self-reported, UNVERIFIED). APHIS listing not found</t>
        </is>
      </c>
      <c r="J61" s="83" t="inlineStr">
        <is>
          <t>None found (NOT a clean bill — FSIS unreachable)</t>
        </is>
      </c>
      <c r="K61" s="83" t="inlineStr">
        <is>
          <t>Unknown — roasters usually dressed head-on; viscera disposition needs a call</t>
        </is>
      </c>
      <c r="L61" s="83" t="inlineStr">
        <is>
          <t>STRONG — 20 staff, single 15,000 sq ft floor, one decision-maker</t>
        </is>
      </c>
      <c r="M61" s="109" t="inlineStr">
        <is>
          <t>YES (est.)</t>
        </is>
      </c>
      <c r="N61" s="83" t="inlineStr">
        <is>
          <t>Only if juvenile tissue acceptable</t>
        </is>
      </c>
      <c r="O61" s="83" t="inlineStr">
        <is>
          <t>(910) 293-4614
Mike Maxwell · parkslivestock.com</t>
        </is>
      </c>
      <c r="P61" s="23" t="inlineStr">
        <is>
          <t>CAUTION</t>
        </is>
      </c>
      <c r="Q61" s="83" t="inlineStr">
        <is>
          <t>Med-High</t>
        </is>
      </c>
      <c r="R61" s="83"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98.8" customHeight="1" s="59">
      <c r="A62" s="4" t="inlineStr">
        <is>
          <t>Caldwell Meat Processing Co.</t>
        </is>
      </c>
      <c r="B62" s="68" t="inlineStr">
        <is>
          <t>Maiden, NC (Lincoln)</t>
        </is>
      </c>
      <c r="C62" s="68" t="inlineStr">
        <is>
          <t>NC STATE-inspected slaughter + processing</t>
        </is>
      </c>
      <c r="D62" s="68" t="inlineStr">
        <is>
          <t>unknown (est. SMALL)</t>
        </is>
      </c>
      <c r="E62" s="22" t="inlineStr">
        <is>
          <t>SMALL
(0-300/wk)</t>
        </is>
      </c>
      <c r="F62" s="68" t="inlineStr">
        <is>
          <t>Yes — SWINE-ONLY</t>
        </is>
      </c>
      <c r="G62" s="68" t="inlineStr">
        <is>
          <t>STATE only P-312
(NOT USDA — intrastate)</t>
        </is>
      </c>
      <c r="H62" s="68" t="inlineStr">
        <is>
          <t>State-inspected — never appears in FSIS data; absence is meaningless. Check NCDA state records.</t>
        </is>
      </c>
      <c r="I62" s="68" t="inlineStr">
        <is>
          <t>State-inspected — intrastate NC only; not export eligible as edible product</t>
        </is>
      </c>
      <c r="J62" s="68" t="inlineStr">
        <is>
          <t>None found (state plants never appear in FSIS data — absence is meaningless here)</t>
        </is>
      </c>
      <c r="K62" s="68" t="inlineStr">
        <is>
          <t>unknown</t>
        </is>
      </c>
      <c r="L62" s="68" t="inlineStr">
        <is>
          <t>Plausible</t>
        </is>
      </c>
      <c r="M62" s="110" t="inlineStr">
        <is>
          <t>NO (est.)</t>
        </is>
      </c>
      <c r="N62" s="68" t="inlineStr">
        <is>
          <t>Implausible (state inspection blocks interstate edible movement)</t>
        </is>
      </c>
      <c r="O62" s="68" t="inlineStr">
        <is>
          <t>(828) 428-8833</t>
        </is>
      </c>
      <c r="P62" s="23" t="inlineStr">
        <is>
          <t>POSSIBLE</t>
        </is>
      </c>
      <c r="Q62" s="68" t="inlineStr">
        <is>
          <t>Med</t>
        </is>
      </c>
      <c r="R62" s="68" t="inlineStr">
        <is>
          <t>NC STATE-INSPECTED — ACCEPTED: APHIS treats NC state inspection as equivalent, so this plant satisfies the harvest-site requirement for Path 1 (we harvest, model assembled at ATM). APHIS not required of the plant. || NEW swine-only plant. Intrastate NC sales only — FLAG for export. Check whether our tissue moves as inedible/research material, which may change the interstate calculus.</t>
        </is>
      </c>
    </row>
    <row r="63" ht="72" customHeight="1" s="59">
      <c r="A63" s="4" t="inlineStr">
        <is>
          <t>McLaughlin's</t>
        </is>
      </c>
      <c r="B63" s="68" t="inlineStr">
        <is>
          <t>Mooresville, NC (Rowan)</t>
        </is>
      </c>
      <c r="C63" s="68" t="inlineStr">
        <is>
          <t>NC STATE-inspected slaughter + processing</t>
        </is>
      </c>
      <c r="D63" s="68" t="inlineStr">
        <is>
          <t>unknown (est. SMALL)</t>
        </is>
      </c>
      <c r="E63" s="22" t="inlineStr">
        <is>
          <t>SMALL
(0-300/wk)</t>
        </is>
      </c>
      <c r="F63" s="68" t="inlineStr">
        <is>
          <t>Yes — SWINE-ONLY</t>
        </is>
      </c>
      <c r="G63" s="68" t="inlineStr">
        <is>
          <t>STATE only P-85
(NOT USDA — intrastate)</t>
        </is>
      </c>
      <c r="H63" s="68" t="inlineStr">
        <is>
          <t>State-inspected — not in FSIS data by construction</t>
        </is>
      </c>
      <c r="I63" s="68" t="inlineStr">
        <is>
          <t>State-inspected — intrastate NC only</t>
        </is>
      </c>
      <c r="J63" s="68" t="inlineStr">
        <is>
          <t>None found (state plant — not in FSIS data)</t>
        </is>
      </c>
      <c r="K63" s="68" t="inlineStr">
        <is>
          <t>unknown</t>
        </is>
      </c>
      <c r="L63" s="68" t="inlineStr">
        <is>
          <t>Plausible</t>
        </is>
      </c>
      <c r="M63" s="110" t="inlineStr">
        <is>
          <t>NO (est.)</t>
        </is>
      </c>
      <c r="N63" s="68" t="inlineStr">
        <is>
          <t>Implausible</t>
        </is>
      </c>
      <c r="O63" s="68" t="inlineStr">
        <is>
          <t>(704) 235-8003</t>
        </is>
      </c>
      <c r="P63" s="23" t="inlineStr">
        <is>
          <t>POSSIBLE</t>
        </is>
      </c>
      <c r="Q63" s="68" t="inlineStr">
        <is>
          <t>Med</t>
        </is>
      </c>
      <c r="R63" s="68" t="inlineStr">
        <is>
          <t>NC STATE-INSPECTED — ACCEPTED: APHIS treats NC state inspection as equivalent, so this plant satisfies the harvest-site requirement for Path 1 (we harvest, model assembled at ATM). APHIS not required of the plant. || NEW swine-only state plant.</t>
        </is>
      </c>
    </row>
    <row r="64" ht="72" customHeight="1" s="59">
      <c r="A64" s="4" t="inlineStr">
        <is>
          <t>Price's Custom Meat Cutting &amp; Abattoir</t>
        </is>
      </c>
      <c r="B64" s="68" t="inlineStr">
        <is>
          <t>Hickory, NC (Burke)</t>
        </is>
      </c>
      <c r="C64" s="68" t="inlineStr">
        <is>
          <t>NC STATE-inspected slaughter + processing</t>
        </is>
      </c>
      <c r="D64" s="68" t="inlineStr">
        <is>
          <t>unknown (est. SMALL)</t>
        </is>
      </c>
      <c r="E64" s="22" t="inlineStr">
        <is>
          <t>SMALL
(0-300/wk)</t>
        </is>
      </c>
      <c r="F64" s="68" t="inlineStr">
        <is>
          <t>Yes — SWINE-ONLY</t>
        </is>
      </c>
      <c r="G64" s="68" t="inlineStr">
        <is>
          <t>STATE only P-307
(NOT USDA — intrastate)</t>
        </is>
      </c>
      <c r="H64" s="68" t="inlineStr">
        <is>
          <t>State-inspected — not in FSIS data by construction</t>
        </is>
      </c>
      <c r="I64" s="68" t="inlineStr">
        <is>
          <t>State-inspected — intrastate NC only</t>
        </is>
      </c>
      <c r="J64" s="68" t="inlineStr">
        <is>
          <t>None found (state plant — not in FSIS data)</t>
        </is>
      </c>
      <c r="K64" s="68" t="inlineStr">
        <is>
          <t>unknown</t>
        </is>
      </c>
      <c r="L64" s="68" t="inlineStr">
        <is>
          <t>Plausible</t>
        </is>
      </c>
      <c r="M64" s="110" t="inlineStr">
        <is>
          <t>NO (est.)</t>
        </is>
      </c>
      <c r="N64" s="68" t="inlineStr">
        <is>
          <t>Implausible</t>
        </is>
      </c>
      <c r="O64" s="68" t="inlineStr">
        <is>
          <t>(828) 381-8978</t>
        </is>
      </c>
      <c r="P64" s="23" t="inlineStr">
        <is>
          <t>POSSIBLE</t>
        </is>
      </c>
      <c r="Q64" s="68" t="inlineStr">
        <is>
          <t>Med</t>
        </is>
      </c>
      <c r="R64" s="68" t="inlineStr">
        <is>
          <t>NC STATE-INSPECTED — ACCEPTED: APHIS treats NC state inspection as equivalent, so this plant satisfies the harvest-site requirement for Path 1 (we harvest, model assembled at ATM). APHIS not required of the plant. || NEW swine-only state plant.</t>
        </is>
      </c>
    </row>
    <row r="65" ht="72" customHeight="1" s="59">
      <c r="A65" s="4" t="inlineStr">
        <is>
          <t>Contentnea Farms, LLC</t>
        </is>
      </c>
      <c r="B65" s="68" t="inlineStr">
        <is>
          <t>Walstonburg, NC (Greene)</t>
        </is>
      </c>
      <c r="C65" s="68" t="inlineStr">
        <is>
          <t>Talmadge-Aiken multi-species slaughter</t>
        </is>
      </c>
      <c r="D65" s="68" t="inlineStr">
        <is>
          <t>unknown (est. SMALL)</t>
        </is>
      </c>
      <c r="E65" s="24" t="inlineStr">
        <is>
          <t>unknown
(confirm)</t>
        </is>
      </c>
      <c r="F65" s="68" t="inlineStr">
        <is>
          <t>Yes (A,B,C,D,E)</t>
        </is>
      </c>
      <c r="G65" s="68" t="inlineStr">
        <is>
          <t>USDA ✓ TA-2583
(interstate/export eligible)</t>
        </is>
      </c>
      <c r="H65" s="68" t="inlineStr">
        <is>
          <t>None found (FSIS unreachable)</t>
        </is>
      </c>
      <c r="I65" s="68" t="inlineStr">
        <is>
          <t>Talmadge-Aiken — interstate/export eligible. APHIS listing unverified</t>
        </is>
      </c>
      <c r="J65" s="68" t="inlineStr">
        <is>
          <t>None found (FSIS unreachable)</t>
        </is>
      </c>
      <c r="K65" s="68" t="inlineStr">
        <is>
          <t>unknown</t>
        </is>
      </c>
      <c r="L65" s="68" t="inlineStr">
        <is>
          <t>Plausible</t>
        </is>
      </c>
      <c r="M65" s="109" t="inlineStr">
        <is>
          <t>YES (est.)</t>
        </is>
      </c>
      <c r="N65" s="68" t="inlineStr">
        <is>
          <t>Plausible</t>
        </is>
      </c>
      <c r="O65" s="68" t="inlineStr">
        <is>
          <t>(252) 717-9229</t>
        </is>
      </c>
      <c r="P65" s="23" t="inlineStr">
        <is>
          <t>POSSIBLE</t>
        </is>
      </c>
      <c r="Q65" s="68" t="inlineStr">
        <is>
          <t>Med</t>
        </is>
      </c>
      <c r="R65" s="68" t="inlineStr">
        <is>
          <t>NEW. ~30 mi east of Wilson — EXTENDS THE EASTERN-NC AGGREGATION CLUSTER, and TA means export-eligible.</t>
        </is>
      </c>
    </row>
    <row r="66" ht="45.2" customHeight="1" s="59">
      <c r="A66" s="4" t="inlineStr">
        <is>
          <t>Assured Community Processing LLC</t>
        </is>
      </c>
      <c r="B66" s="68" t="inlineStr">
        <is>
          <t>Micro, NC (Johnston)</t>
        </is>
      </c>
      <c r="C66" s="68" t="inlineStr">
        <is>
          <t>USDA federal, FSIS 'Very Small'</t>
        </is>
      </c>
      <c r="D66" s="68" t="inlineStr">
        <is>
          <t>unknown (est. SMALL)</t>
        </is>
      </c>
      <c r="E66" s="24" t="inlineStr">
        <is>
          <t>unknown
(confirm)</t>
        </is>
      </c>
      <c r="F66" s="68" t="inlineStr">
        <is>
          <t>CONFIRM SWINE</t>
        </is>
      </c>
      <c r="G66" s="68" t="inlineStr">
        <is>
          <t>USDA ✓ M2123
(grant 2023 — new plant)</t>
        </is>
      </c>
      <c r="H66" s="68" t="inlineStr">
        <is>
          <t>None found (FSIS unreachable)</t>
        </is>
      </c>
      <c r="I66" s="68" t="inlineStr">
        <is>
          <t>Federal grant — export structurally possible. Not on public export lists</t>
        </is>
      </c>
      <c r="J66" s="68" t="inlineStr">
        <is>
          <t>None found (FSIS unreachable)</t>
        </is>
      </c>
      <c r="K66" s="68" t="inlineStr">
        <is>
          <t>unknown</t>
        </is>
      </c>
      <c r="L66" s="68" t="inlineStr">
        <is>
          <t>Plausible</t>
        </is>
      </c>
      <c r="M66" s="109" t="inlineStr">
        <is>
          <t>YES (est.)</t>
        </is>
      </c>
      <c r="N66" s="68" t="inlineStr">
        <is>
          <t>Plausible</t>
        </is>
      </c>
      <c r="O66" s="68" t="inlineStr">
        <is>
          <t>(919) 284-0064</t>
        </is>
      </c>
      <c r="P66" s="23" t="inlineStr">
        <is>
          <t>POSSIBLE</t>
        </is>
      </c>
      <c r="Q66" s="68" t="inlineStr">
        <is>
          <t>Low-Med</t>
        </is>
      </c>
      <c r="R66" s="68" t="inlineStr">
        <is>
          <t>NEW. Sits INSIDE the Wilson cluster (~20 mi SW). Species not stated in the mirrored FSIS record — confirm it takes hogs.</t>
        </is>
      </c>
    </row>
    <row r="67" ht="31.8" customHeight="1" s="59">
      <c r="A67" s="4" t="inlineStr">
        <is>
          <t>Country Slaughter and Meats</t>
        </is>
      </c>
      <c r="B67" s="68" t="inlineStr">
        <is>
          <t>Rockingham, NC (Richmond)</t>
        </is>
      </c>
      <c r="C67" s="68" t="inlineStr">
        <is>
          <t>USDA federal, FSIS 'Very Small'</t>
        </is>
      </c>
      <c r="D67" s="68" t="inlineStr">
        <is>
          <t>unknown (est. SMALL)</t>
        </is>
      </c>
      <c r="E67" s="24" t="inlineStr">
        <is>
          <t>unknown
(confirm)</t>
        </is>
      </c>
      <c r="F67" s="68" t="inlineStr">
        <is>
          <t>CONFIRM SWINE</t>
        </is>
      </c>
      <c r="G67" s="68" t="inlineStr">
        <is>
          <t>USDA ✓ M32012</t>
        </is>
      </c>
      <c r="H67" s="68" t="inlineStr">
        <is>
          <t>None found (FSIS unreachable)</t>
        </is>
      </c>
      <c r="I67" s="68" t="inlineStr">
        <is>
          <t>Federal grant. Not on public export lists</t>
        </is>
      </c>
      <c r="J67" s="68" t="inlineStr">
        <is>
          <t>None found (FSIS unreachable)</t>
        </is>
      </c>
      <c r="K67" s="68" t="inlineStr">
        <is>
          <t>unknown</t>
        </is>
      </c>
      <c r="L67" s="68" t="inlineStr">
        <is>
          <t>Plausible</t>
        </is>
      </c>
      <c r="M67" s="109" t="inlineStr">
        <is>
          <t>YES (est.)</t>
        </is>
      </c>
      <c r="N67" s="68" t="inlineStr">
        <is>
          <t>Plausible</t>
        </is>
      </c>
      <c r="O67" s="68" t="inlineStr">
        <is>
          <t>(910) 895-0838</t>
        </is>
      </c>
      <c r="P67" s="23" t="inlineStr">
        <is>
          <t>POSSIBLE</t>
        </is>
      </c>
      <c r="Q67" s="68" t="inlineStr">
        <is>
          <t>Low-Med</t>
        </is>
      </c>
      <c r="R67" s="68" t="inlineStr">
        <is>
          <t>NEW federal plant. Confirm swine.</t>
        </is>
      </c>
    </row>
    <row r="68" ht="45.2" customHeight="1" s="59">
      <c r="A68" s="4" t="inlineStr">
        <is>
          <t>Flowers Slaughter House (George Flowers)</t>
        </is>
      </c>
      <c r="B68" s="68" t="inlineStr">
        <is>
          <t>Sims, NC (Wilson)</t>
        </is>
      </c>
      <c r="C68" s="68" t="inlineStr">
        <is>
          <t>USDA FEDERAL (not TA) — 'Very Small'</t>
        </is>
      </c>
      <c r="D68" s="68" t="inlineStr">
        <is>
          <t>unknown (est. SMALL)</t>
        </is>
      </c>
      <c r="E68" s="22" t="inlineStr">
        <is>
          <t>SMALL
(0-300/wk)</t>
        </is>
      </c>
      <c r="F68" s="68" t="inlineStr">
        <is>
          <t>Yes (beef + pork)</t>
        </is>
      </c>
      <c r="G68" s="68" t="inlineStr">
        <is>
          <t>USDA ✓ M21747 + P21747
(grant 2022)</t>
        </is>
      </c>
      <c r="H68" s="68" t="inlineStr">
        <is>
          <t>None found (FSIS unreachable)</t>
        </is>
      </c>
      <c r="I68" s="68" t="inlineStr">
        <is>
          <t>Federal (M21747). Not on public export lists</t>
        </is>
      </c>
      <c r="J68" s="68" t="inlineStr">
        <is>
          <t>None found (FSIS unreachable)</t>
        </is>
      </c>
      <c r="K68" s="68" t="inlineStr">
        <is>
          <t>unknown</t>
        </is>
      </c>
      <c r="L68" s="68" t="inlineStr">
        <is>
          <t>Plausible</t>
        </is>
      </c>
      <c r="M68" s="109" t="inlineStr">
        <is>
          <t>YES (est.)</t>
        </is>
      </c>
      <c r="N68" s="68" t="inlineStr">
        <is>
          <t>Plausible</t>
        </is>
      </c>
      <c r="O68" s="68" t="inlineStr">
        <is>
          <t>(252) 237-2982</t>
        </is>
      </c>
      <c r="P68" s="23" t="inlineStr">
        <is>
          <t>POSSIBLE</t>
        </is>
      </c>
      <c r="Q68" s="68" t="inlineStr">
        <is>
          <t>Med</t>
        </is>
      </c>
      <c r="R68" s="68" t="inlineStr">
        <is>
          <t>CORRECTION: this is straight FEDERAL, not Talmadge-Aiken. ~4 miles from Custom Quality Packers — core of the Wilson cluster.</t>
        </is>
      </c>
    </row>
    <row r="69" ht="165.8" customHeight="1" s="59">
      <c r="A69" s="4" t="inlineStr">
        <is>
          <t>13 multi-species TA plants (roll-up)</t>
        </is>
      </c>
      <c r="B69" s="68" t="inlineStr">
        <is>
          <t>across NC</t>
        </is>
      </c>
      <c r="C69" s="68" t="inlineStr">
        <is>
          <t>Talmadge-Aiken multi-species (incl. swine)</t>
        </is>
      </c>
      <c r="D69" s="68" t="inlineStr">
        <is>
          <t>unknown — est. 10-80 hogs/wk each</t>
        </is>
      </c>
      <c r="E69" s="22" t="inlineStr">
        <is>
          <t>SMALL
(0-300/wk)</t>
        </is>
      </c>
      <c r="F69" s="68" t="inlineStr">
        <is>
          <t>Yes (C among A-E)</t>
        </is>
      </c>
      <c r="G69" s="68" t="inlineStr">
        <is>
          <t>USDA ✓ Talmadge-Aiken
(interstate/export eligible)</t>
        </is>
      </c>
      <c r="H69" s="68" t="inlineStr">
        <is>
          <t>Not individually researched — Wayne Mays and Wilkes/Thomas Bros carry actions (see their own rows)</t>
        </is>
      </c>
      <c r="I69" s="68" t="inlineStr">
        <is>
          <t>All Talmadge-Aiken = federal-equivalent, so interstate/export eligible in structure. APHIS listing unverified for all</t>
        </is>
      </c>
      <c r="J69" s="68" t="inlineStr">
        <is>
          <t>None found (FSIS unreachable)</t>
        </is>
      </c>
      <c r="K69" s="68" t="inlineStr">
        <is>
          <t>unknown</t>
        </is>
      </c>
      <c r="L69" s="68" t="inlineStr">
        <is>
          <t>Plausible (Model A / aggregation)</t>
        </is>
      </c>
      <c r="M69" s="111" t="inlineStr">
        <is>
          <t>mixed — confirm</t>
        </is>
      </c>
      <c r="N69" s="68" t="inlineStr">
        <is>
          <t>Weak — low hog share</t>
        </is>
      </c>
      <c r="O69" s="68" t="inlineStr">
        <is>
          <t>see notes →</t>
        </is>
      </c>
      <c r="P69" s="23" t="inlineStr">
        <is>
          <t>POSSIBLE</t>
        </is>
      </c>
      <c r="Q69" s="68" t="inlineStr">
        <is>
          <t>Med</t>
        </is>
      </c>
      <c r="R69"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112.2" customHeight="1" s="59">
      <c r="A70" s="4" t="inlineStr">
        <is>
          <t>NC state-inspected multi-species (roll-up)</t>
        </is>
      </c>
      <c r="B70" s="68" t="inlineStr">
        <is>
          <t>across NC</t>
        </is>
      </c>
      <c r="C70" s="68" t="inlineStr">
        <is>
          <t>NC STATE-inspected (intrastate only)</t>
        </is>
      </c>
      <c r="D70" s="68" t="inlineStr">
        <is>
          <t>unknown (est. SMALL)</t>
        </is>
      </c>
      <c r="E70" s="22" t="inlineStr">
        <is>
          <t>SMALL
(0-300/wk)</t>
        </is>
      </c>
      <c r="F70" s="68" t="inlineStr">
        <is>
          <t>Yes</t>
        </is>
      </c>
      <c r="G70" s="68" t="inlineStr">
        <is>
          <t>STATE only
(NOT USDA — FLAG)</t>
        </is>
      </c>
      <c r="H70" s="68" t="inlineStr">
        <is>
          <t>State-inspected — not in FSIS data by construction</t>
        </is>
      </c>
      <c r="I70" s="68" t="inlineStr">
        <is>
          <t>State-inspected — intrastate NC only (FLAG for export)</t>
        </is>
      </c>
      <c r="J70" s="68" t="inlineStr">
        <is>
          <t>Not in FSIS data by construction</t>
        </is>
      </c>
      <c r="K70" s="68" t="inlineStr">
        <is>
          <t>unknown</t>
        </is>
      </c>
      <c r="L70" s="68" t="inlineStr">
        <is>
          <t>Plausible</t>
        </is>
      </c>
      <c r="M70" s="111" t="inlineStr">
        <is>
          <t>mixed — confirm</t>
        </is>
      </c>
      <c r="N70" s="68" t="inlineStr">
        <is>
          <t>Implausible</t>
        </is>
      </c>
      <c r="O70" s="68" t="inlineStr">
        <is>
          <t>see notes →</t>
        </is>
      </c>
      <c r="P70" s="23" t="inlineStr">
        <is>
          <t>CAUTION</t>
        </is>
      </c>
      <c r="Q70" s="68" t="inlineStr">
        <is>
          <t>Med</t>
        </is>
      </c>
      <c r="R70"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1" ht="58.6" customHeight="1" s="59">
      <c r="A71" s="4" t="inlineStr">
        <is>
          <t>Frank Corriher Beef and Sausage</t>
        </is>
      </c>
      <c r="B71" s="68" t="inlineStr">
        <is>
          <t>China Grove, NC (Rowan)</t>
        </is>
      </c>
      <c r="C71" s="68" t="inlineStr">
        <is>
          <t>TA — AMBIGUOUS record</t>
        </is>
      </c>
      <c r="D71" s="68" t="inlineStr">
        <is>
          <t>unknown</t>
        </is>
      </c>
      <c r="E71" s="24" t="inlineStr">
        <is>
          <t>unknown
(confirm)</t>
        </is>
      </c>
      <c r="F71" s="68" t="inlineStr">
        <is>
          <t>Ambiguous — see notes</t>
        </is>
      </c>
      <c r="G71" s="68" t="inlineStr">
        <is>
          <t>USDA ✓ TA-21022 / M21022</t>
        </is>
      </c>
      <c r="H71" s="68" t="inlineStr">
        <is>
          <t>None found</t>
        </is>
      </c>
      <c r="I71" s="68" t="inlineStr">
        <is>
          <t>TA/federal number exists — verify</t>
        </is>
      </c>
      <c r="J71" s="68" t="inlineStr">
        <is>
          <t>None found</t>
        </is>
      </c>
      <c r="K71" s="68" t="inlineStr">
        <is>
          <t>unknown</t>
        </is>
      </c>
      <c r="L71" s="68" t="inlineStr">
        <is>
          <t>Unknown</t>
        </is>
      </c>
      <c r="M71" s="110" t="inlineStr">
        <is>
          <t>NO (est.)</t>
        </is>
      </c>
      <c r="N71" s="68" t="inlineStr">
        <is>
          <t>Unknown</t>
        </is>
      </c>
      <c r="O71" s="68" t="inlineStr">
        <is>
          <t>(704) 857-5519</t>
        </is>
      </c>
      <c r="P71" s="23" t="inlineStr">
        <is>
          <t>CAUTION</t>
        </is>
      </c>
      <c r="Q71" s="68" t="inlineStr">
        <is>
          <t>Low</t>
        </is>
      </c>
      <c r="R71" s="68" t="inlineStr">
        <is>
          <t>DATA ANOMALY: NCDA lists Activities='Processing' but populates Slaughter Species='C' — every other processing-only plant leaves that blank. Either a stale slaughter grant or a data error. Worth ONE phone call.</t>
        </is>
      </c>
    </row>
    <row r="72" ht="45.2" customHeight="1" s="59">
      <c r="A72" s="4" t="inlineStr">
        <is>
          <t>Deer Shack Processing</t>
        </is>
      </c>
      <c r="B72" s="68" t="inlineStr">
        <is>
          <t>Mount Holly, NC (Gaston)</t>
        </is>
      </c>
      <c r="C72" s="68" t="inlineStr">
        <is>
          <t>CUSTOM-EXEMPT</t>
        </is>
      </c>
      <c r="D72" s="68" t="inlineStr">
        <is>
          <t>unknown</t>
        </is>
      </c>
      <c r="E72" s="24" t="inlineStr">
        <is>
          <t>unknown
(confirm)</t>
        </is>
      </c>
      <c r="F72" s="68" t="inlineStr">
        <is>
          <t>Yes — SWINE-ONLY</t>
        </is>
      </c>
      <c r="G72" s="68" t="inlineStr">
        <is>
          <t>CUSTOM-EXEMPT
(no inspection, no sale)</t>
        </is>
      </c>
      <c r="H72" s="68" t="inlineStr">
        <is>
          <t>Custom-exempt — outside FSIS enforcement</t>
        </is>
      </c>
      <c r="I72" s="68" t="inlineStr">
        <is>
          <t>Custom-exempt — not saleable, not exportable</t>
        </is>
      </c>
      <c r="J72" s="68" t="inlineStr">
        <is>
          <t>n/a</t>
        </is>
      </c>
      <c r="K72" s="68" t="inlineStr">
        <is>
          <t>n/a</t>
        </is>
      </c>
      <c r="L72" s="68" t="inlineStr">
        <is>
          <t>Not usable for a regulated chain</t>
        </is>
      </c>
      <c r="M72" s="110" t="inlineStr">
        <is>
          <t>NO (est.)</t>
        </is>
      </c>
      <c r="N72" s="68" t="inlineStr">
        <is>
          <t>No</t>
        </is>
      </c>
      <c r="O72" s="68" t="inlineStr">
        <is>
          <t>(704) 718-9135</t>
        </is>
      </c>
      <c r="P72" s="28" t="inlineStr">
        <is>
          <t>OUT / FLAG</t>
        </is>
      </c>
      <c r="Q72" s="68" t="inlineStr">
        <is>
          <t>Med</t>
        </is>
      </c>
      <c r="R72" s="68" t="inlineStr">
        <is>
          <t>Custom-exempt: owner-return only, product cannot be sold. Listed for completeness.</t>
        </is>
      </c>
    </row>
    <row r="73" ht="45.2" customHeight="1" s="59">
      <c r="A73" s="4" t="inlineStr">
        <is>
          <t>Randolph Packing / Harpley's</t>
        </is>
      </c>
      <c r="B73" s="68" t="inlineStr">
        <is>
          <t>Asheboro, NC</t>
        </is>
      </c>
      <c r="C73" s="68" t="inlineStr">
        <is>
          <t>BEEF packer — EXCLUDED</t>
        </is>
      </c>
      <c r="D73" s="68" t="inlineStr">
        <is>
          <t>n/a — ~350-400 CATTLE/day</t>
        </is>
      </c>
      <c r="E73" s="24" t="inlineStr">
        <is>
          <t>n/a</t>
        </is>
      </c>
      <c r="F73" s="68" t="inlineStr">
        <is>
          <t>NO — beef only</t>
        </is>
      </c>
      <c r="G73" s="68" t="inlineStr">
        <is>
          <t>USDA ✓</t>
        </is>
      </c>
      <c r="H73" s="68" t="inlineStr">
        <is>
          <t>n/a — beef plant, excluded</t>
        </is>
      </c>
      <c r="I73" s="68" t="inlineStr">
        <is>
          <t>n/a</t>
        </is>
      </c>
      <c r="J73" s="68" t="inlineStr">
        <is>
          <t>n/a</t>
        </is>
      </c>
      <c r="K73" s="68" t="inlineStr">
        <is>
          <t>n/a</t>
        </is>
      </c>
      <c r="L73" s="68" t="inlineStr">
        <is>
          <t>No</t>
        </is>
      </c>
      <c r="M73" s="110" t="inlineStr">
        <is>
          <t>NO (est.)</t>
        </is>
      </c>
      <c r="N73" s="68" t="inlineStr">
        <is>
          <t>No</t>
        </is>
      </c>
      <c r="O73" s="68" t="inlineStr">
        <is>
          <t>—</t>
        </is>
      </c>
      <c r="P73" s="28" t="inlineStr">
        <is>
          <t>OUT / FLAG</t>
        </is>
      </c>
      <c r="Q73" s="68" t="inlineStr">
        <is>
          <t>Med-High</t>
        </is>
      </c>
      <c r="R73" s="68" t="inlineStr">
        <is>
          <t>VERIFIED EXCLUSION (saves a trip): looks like a large slaughter plant and is an NCMPA member, but it is BEEF — 30th-largest US beef packer. No hog slaughter found.</t>
        </is>
      </c>
    </row>
    <row r="74" ht="19.7" customHeight="1" s="59">
      <c r="A74" s="118" t="inlineStr">
        <is>
          <t>SOUTH CAROLINA — NEWLY FOUND (Clemson SCMPID official workbook)</t>
        </is>
      </c>
    </row>
    <row r="75" ht="98.8" customHeight="1" s="59">
      <c r="A75" s="4" t="inlineStr">
        <is>
          <t>SC 'Cross Utilization Federal' slaughter plants (roll-up)</t>
        </is>
      </c>
      <c r="B75" s="68" t="inlineStr">
        <is>
          <t>SC</t>
        </is>
      </c>
      <c r="C75" s="68" t="inlineStr">
        <is>
          <t>FEDERAL est. inspected by SC state staff (SC's Talmadge-Aiken analogue)</t>
        </is>
      </c>
      <c r="D75" s="68" t="inlineStr">
        <is>
          <t>unknown</t>
        </is>
      </c>
      <c r="E75" s="24" t="inlineStr">
        <is>
          <t>unknown
(confirm)</t>
        </is>
      </c>
      <c r="F75" s="68" t="inlineStr">
        <is>
          <t>CONFIRM — no species column in SC file</t>
        </is>
      </c>
      <c r="G75" s="68" t="inlineStr">
        <is>
          <t>USDA federal-equivalent
(interstate/export eligible)</t>
        </is>
      </c>
      <c r="H75" s="68" t="inlineStr">
        <is>
          <t>None found — and SC LEGALLY REFUSES to release humane records, so screening returns false negatives by construction</t>
        </is>
      </c>
      <c r="I75" s="68" t="inlineStr">
        <is>
          <t>Federal-equivalent — SC's ONLY export-eligible slaughter route. APHIS listing unverified</t>
        </is>
      </c>
      <c r="J75" s="68" t="inlineStr">
        <is>
          <t>None found</t>
        </is>
      </c>
      <c r="K75" s="68" t="inlineStr">
        <is>
          <t>unknown</t>
        </is>
      </c>
      <c r="L75" s="68" t="inlineStr">
        <is>
          <t>Plausible</t>
        </is>
      </c>
      <c r="M75" s="111" t="inlineStr">
        <is>
          <t>mixed — confirm</t>
        </is>
      </c>
      <c r="N75" s="68" t="inlineStr">
        <is>
          <t>Plausible</t>
        </is>
      </c>
      <c r="O75" s="68" t="inlineStr">
        <is>
          <t>see notes →</t>
        </is>
      </c>
      <c r="P75" s="23" t="inlineStr">
        <is>
          <t>POSSIBLE</t>
        </is>
      </c>
      <c r="Q75" s="68" t="inlineStr">
        <is>
          <t>Med</t>
        </is>
      </c>
      <c r="R75"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179.2" customHeight="1" s="59">
      <c r="A76" s="4" t="inlineStr">
        <is>
          <t>SC state-inspected slaughter plants (roll-up)</t>
        </is>
      </c>
      <c r="B76" s="68" t="inlineStr">
        <is>
          <t>SC</t>
        </is>
      </c>
      <c r="C76" s="68" t="inlineStr">
        <is>
          <t>SC STATE-inspected (intrastate only)</t>
        </is>
      </c>
      <c r="D76" s="68" t="inlineStr">
        <is>
          <t>unknown (est. SMALL)</t>
        </is>
      </c>
      <c r="E76" s="22" t="inlineStr">
        <is>
          <t>SMALL
(0-300/wk)</t>
        </is>
      </c>
      <c r="F76" s="68" t="inlineStr">
        <is>
          <t>CONFIRM — no species column</t>
        </is>
      </c>
      <c r="G76" s="68" t="inlineStr">
        <is>
          <t>STATE only
(NOT USDA — FLAG)</t>
        </is>
      </c>
      <c r="H76" s="68" t="inlineStr">
        <is>
          <t>SC law blocks release of humane-handling records — public screening is unreliable by construction</t>
        </is>
      </c>
      <c r="I76" s="112" t="inlineStr">
        <is>
          <t>⛔ State-inspected, non-NC — NOT accepted as equivalent. Needs USDA/FSIS to qualify for Path 1.</t>
        </is>
      </c>
      <c r="J76" s="68" t="inlineStr">
        <is>
          <t>SC LEGALLY REFUSES to release humane-handling records — screening returns false negatives by construction</t>
        </is>
      </c>
      <c r="K76" s="68" t="inlineStr">
        <is>
          <t>unknown</t>
        </is>
      </c>
      <c r="L76" s="68" t="inlineStr">
        <is>
          <t>Plausible</t>
        </is>
      </c>
      <c r="M76" s="111" t="inlineStr">
        <is>
          <t>mixed — confirm</t>
        </is>
      </c>
      <c r="N76" s="68" t="inlineStr">
        <is>
          <t>Implausible</t>
        </is>
      </c>
      <c r="O76" s="68" t="inlineStr">
        <is>
          <t>see notes →</t>
        </is>
      </c>
      <c r="P76" s="23" t="inlineStr">
        <is>
          <t>CAUTION</t>
        </is>
      </c>
      <c r="Q76" s="68" t="inlineStr">
        <is>
          <t>Med</t>
        </is>
      </c>
      <c r="R76"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7" customHeight="1" s="59">
      <c r="A77" s="118" t="inlineStr">
        <is>
          <t>TENNESSEE &amp; VIRGINIA — SOW plants and corrections</t>
        </is>
      </c>
    </row>
    <row r="78" ht="58.6" customHeight="1" s="59">
      <c r="A78" s="4" t="inlineStr">
        <is>
          <t>Swaggerty Sausage Co.</t>
        </is>
      </c>
      <c r="B78" s="68" t="inlineStr">
        <is>
          <t>Kodak, TN (Sevier)</t>
        </is>
      </c>
      <c r="C78" s="68" t="inlineStr">
        <is>
          <t>USDA federal — PRIMARILY SOWS</t>
        </is>
      </c>
      <c r="D78" s="68" t="inlineStr">
        <is>
          <t>~4,250/wk (850 hd/day)</t>
        </is>
      </c>
      <c r="E78" s="27" t="inlineStr">
        <is>
          <t>MEDIUM-HIGH
(2,500-5,000/wk)</t>
        </is>
      </c>
      <c r="F78" s="68" t="inlineStr">
        <is>
          <t>Yes — SOWS</t>
        </is>
      </c>
      <c r="G78" s="68" t="inlineStr">
        <is>
          <t>USDA ✓ M8314 + V8314</t>
        </is>
      </c>
      <c r="H78" s="25" t="inlineStr">
        <is>
          <t>⚠ Two TN OSHA machine-guarding actions (2018 complaint-driven, 2024 planned; same 1910.212(a)(1) standard 6 yrs apart)</t>
        </is>
      </c>
      <c r="I78" s="68" t="inlineStr">
        <is>
          <t>Federal (M8314). Not confirmed on public export lists</t>
        </is>
      </c>
      <c r="J78" s="68" t="inlineStr">
        <is>
          <t>⚠ Two TN OSHA machine-guarding actions 6 yrs apart (2018, 2024, same standard) — worker-welfare flag</t>
        </is>
      </c>
      <c r="K78" s="68" t="inlineStr">
        <is>
          <t>No existing organ programme — would have to be BUILT</t>
        </is>
      </c>
      <c r="L78" s="68" t="inlineStr">
        <is>
          <t>Possible</t>
        </is>
      </c>
      <c r="M78" s="110" t="inlineStr">
        <is>
          <t>NO</t>
        </is>
      </c>
      <c r="N78" s="68" t="inlineStr">
        <is>
          <t>Plausible</t>
        </is>
      </c>
      <c r="O78" s="68" t="inlineStr">
        <is>
          <t>2827 Swaggerty Rd, Kodak TN 37764</t>
        </is>
      </c>
      <c r="P78" s="23" t="inlineStr">
        <is>
          <t>POSSIBLE</t>
        </is>
      </c>
      <c r="Q78" s="68" t="inlineStr">
        <is>
          <t>Med</t>
        </is>
      </c>
      <c r="R78" s="68" t="inlineStr">
        <is>
          <t>#7 US SOW plant; 50,000 sq ft expansion recently online. MEDIUM-HIGH tier. Sow anatomy is closer to adult human scale — potentially an ADVANTAGE for pelvic/bariatric blocks. Confirm against the anatomical spec.</t>
        </is>
      </c>
    </row>
    <row r="79" ht="58.6" customHeight="1" s="59">
      <c r="A79" s="4" t="inlineStr">
        <is>
          <t>Wampler's Farm Sausage Co.</t>
        </is>
      </c>
      <c r="B79" s="68" t="inlineStr">
        <is>
          <t>Lenoir City, TN (Loudon)</t>
        </is>
      </c>
      <c r="C79" s="68" t="inlineStr">
        <is>
          <t>USDA federal — PRIMARILY SOWS</t>
        </is>
      </c>
      <c r="D79" s="68" t="inlineStr">
        <is>
          <t>~1,500/wk (300 hd/day)</t>
        </is>
      </c>
      <c r="E79" s="20" t="inlineStr">
        <is>
          <t>MEDIUM
(350-2,500/wk)</t>
        </is>
      </c>
      <c r="F79" s="68" t="inlineStr">
        <is>
          <t>Yes — SOWS</t>
        </is>
      </c>
      <c r="G79" s="68" t="inlineStr">
        <is>
          <t>USDA ✓ M9065 + P9065 + V9065</t>
        </is>
      </c>
      <c r="H79" s="68" t="inlineStr">
        <is>
          <t>None found in FSIS enforcement. Labour flag: production hiring via 3 staffing agencies at $12-14/hr</t>
        </is>
      </c>
      <c r="I79" s="68" t="inlineStr">
        <is>
          <t>Federal (M9065). Not confirmed on public export lists</t>
        </is>
      </c>
      <c r="J79" s="68" t="inlineStr">
        <is>
          <t>Family-owned since 1937 BUT production hiring routes through 3 staffing agencies at $12-14/hr — against the tenure criterion</t>
        </is>
      </c>
      <c r="K79" s="68" t="inlineStr">
        <is>
          <t>unknown</t>
        </is>
      </c>
      <c r="L79" s="68" t="inlineStr">
        <is>
          <t>Possible</t>
        </is>
      </c>
      <c r="M79" s="110" t="inlineStr">
        <is>
          <t>NO</t>
        </is>
      </c>
      <c r="N79" s="68" t="inlineStr">
        <is>
          <t>Plausible</t>
        </is>
      </c>
      <c r="O79" s="68" t="inlineStr">
        <is>
          <t>(865) 986-2056
781 Highway 70 W</t>
        </is>
      </c>
      <c r="P79" s="23" t="inlineStr">
        <is>
          <t>POSSIBLE</t>
        </is>
      </c>
      <c r="Q79" s="68" t="inlineStr">
        <is>
          <t>Med</t>
        </is>
      </c>
      <c r="R79" s="68" t="inlineStr">
        <is>
          <t>FSIS activities confirmed to include Meat Slaughter (not processing-only). MEDIUM tier, SOW plant. Identity trap: the '73-year employee' story belongs to Family Brands LLC (M6515), a different Wampler plant in the same town.</t>
        </is>
      </c>
    </row>
    <row r="80" ht="45.2" customHeight="1" s="59">
      <c r="A80" s="4" t="inlineStr">
        <is>
          <t>Tyson (Hillshire / Jimmy Dean) — Newbern</t>
        </is>
      </c>
      <c r="B80" s="68" t="inlineStr">
        <is>
          <t>Newbern, TN (Dyer)</t>
        </is>
      </c>
      <c r="C80" s="68" t="inlineStr">
        <is>
          <t>Industrial — PRIMARILY SOWS</t>
        </is>
      </c>
      <c r="D80" s="68" t="inlineStr">
        <is>
          <t>~14,000/wk (2,800 hd/day)</t>
        </is>
      </c>
      <c r="E80" s="26" t="inlineStr">
        <is>
          <t>HIGH
(&gt;5,000/wk)</t>
        </is>
      </c>
      <c r="F80" s="68" t="inlineStr">
        <is>
          <t>Yes — SOWS</t>
        </is>
      </c>
      <c r="G80" s="68" t="inlineStr">
        <is>
          <t>USDA ✓</t>
        </is>
      </c>
      <c r="H80" s="68" t="inlineStr">
        <is>
          <t>Not individually researched</t>
        </is>
      </c>
      <c r="I80" s="68" t="inlineStr">
        <is>
          <t>Federal. Export status not researched</t>
        </is>
      </c>
      <c r="J80" s="68" t="inlineStr">
        <is>
          <t>Corporate industrial</t>
        </is>
      </c>
      <c r="K80" s="68" t="inlineStr">
        <is>
          <t>unknown</t>
        </is>
      </c>
      <c r="L80" s="68" t="inlineStr">
        <is>
          <t>Low plausibility</t>
        </is>
      </c>
      <c r="M80" s="110" t="inlineStr">
        <is>
          <t>NO</t>
        </is>
      </c>
      <c r="N80" s="68" t="inlineStr">
        <is>
          <t>Model B only</t>
        </is>
      </c>
      <c r="O80" s="68" t="inlineStr">
        <is>
          <t>—</t>
        </is>
      </c>
      <c r="P80" s="23" t="inlineStr">
        <is>
          <t>POSSIBLE</t>
        </is>
      </c>
      <c r="Q80" s="68" t="inlineStr">
        <is>
          <t>Med</t>
        </is>
      </c>
      <c r="R80" s="68" t="inlineStr">
        <is>
          <t>#3 US SOW plant. HIGH tier — access, not volume, is the constraint. Corporate conversation, not a plant conversation.</t>
        </is>
      </c>
    </row>
    <row r="81" ht="72" customHeight="1" s="59">
      <c r="A81" s="4" t="inlineStr">
        <is>
          <t>Gunnoe Sausage Co.</t>
        </is>
      </c>
      <c r="B81" s="68" t="inlineStr">
        <is>
          <t>Goode, VA (Bedford)</t>
        </is>
      </c>
      <c r="C81" s="68" t="inlineStr">
        <is>
          <t>Dedicated SOW slaughterhouse since 1965</t>
        </is>
      </c>
      <c r="D81" s="68" t="inlineStr">
        <is>
          <t>~450/wk (110 hd/day 2016 → 90/day 2017, DECLINING)</t>
        </is>
      </c>
      <c r="E81" s="20" t="inlineStr">
        <is>
          <t>MEDIUM
(350-2,500/wk)</t>
        </is>
      </c>
      <c r="F81" s="68" t="inlineStr">
        <is>
          <t>Yes — SOWS</t>
        </is>
      </c>
      <c r="G81" s="68" t="inlineStr">
        <is>
          <t>unknown — est. no. NOT captured</t>
        </is>
      </c>
      <c r="H81" s="68" t="inlineStr">
        <is>
          <t>None found (FSIS unreachable)</t>
        </is>
      </c>
      <c r="I81" s="68" t="inlineStr">
        <is>
          <t>Establishment number not captured — inspection + export status UNKNOWN</t>
        </is>
      </c>
      <c r="J81" s="68" t="inlineStr">
        <is>
          <t>None found</t>
        </is>
      </c>
      <c r="K81" s="68" t="inlineStr">
        <is>
          <t>unknown</t>
        </is>
      </c>
      <c r="L81" s="68" t="inlineStr">
        <is>
          <t>Plausible (small family op)</t>
        </is>
      </c>
      <c r="M81" s="110" t="inlineStr">
        <is>
          <t>NO</t>
        </is>
      </c>
      <c r="N81" s="68" t="inlineStr">
        <is>
          <t>Plausible</t>
        </is>
      </c>
      <c r="O81" s="68" t="inlineStr">
        <is>
          <t>(540) 586-1091
3989 Cifax Rd · gunnoesausage.com</t>
        </is>
      </c>
      <c r="P81" s="23" t="inlineStr">
        <is>
          <t>POSSIBLE</t>
        </is>
      </c>
      <c r="Q81" s="68" t="inlineStr">
        <is>
          <t>Med</t>
        </is>
      </c>
      <c r="R81" s="6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72" customHeight="1" s="59">
      <c r="A82" s="4" t="inlineStr">
        <is>
          <t>VIRGINIA — coverage gap (action required)</t>
        </is>
      </c>
      <c r="B82" s="68" t="inlineStr">
        <is>
          <t>VA statewide</t>
        </is>
      </c>
      <c r="C82" s="68" t="inlineStr">
        <is>
          <t>n/a — enumeration incomplete</t>
        </is>
      </c>
      <c r="D82" s="68" t="inlineStr">
        <is>
          <t>n/a</t>
        </is>
      </c>
      <c r="E82" s="24" t="inlineStr">
        <is>
          <t>n/a</t>
        </is>
      </c>
      <c r="F82" s="68" t="inlineStr">
        <is>
          <t>n/a</t>
        </is>
      </c>
      <c r="G82" s="68" t="inlineStr">
        <is>
          <t>VDACS publishes NO online directory</t>
        </is>
      </c>
      <c r="H82" s="68" t="inlineStr">
        <is>
          <t>n/a</t>
        </is>
      </c>
      <c r="I82" s="68" t="inlineStr">
        <is>
          <t>n/a</t>
        </is>
      </c>
      <c r="J82" s="68" t="inlineStr">
        <is>
          <t>n/a</t>
        </is>
      </c>
      <c r="K82" s="68" t="inlineStr">
        <is>
          <t>n/a</t>
        </is>
      </c>
      <c r="L82" s="68" t="inlineStr">
        <is>
          <t>n/a</t>
        </is>
      </c>
      <c r="M82" s="110" t="inlineStr">
        <is>
          <t>NO</t>
        </is>
      </c>
      <c r="N82" s="68" t="inlineStr">
        <is>
          <t>n/a</t>
        </is>
      </c>
      <c r="O82" s="68" t="inlineStr">
        <is>
          <t>VDACS 804-786-4569
omps@vdacs.virginia.gov</t>
        </is>
      </c>
      <c r="P82" s="23" t="inlineStr">
        <is>
          <t>CAUTION</t>
        </is>
      </c>
      <c r="Q82" s="68" t="inlineStr">
        <is>
          <t>High</t>
        </is>
      </c>
      <c r="R82"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7" customHeight="1" s="59">
      <c r="A83" s="118" t="inlineStr">
        <is>
          <t>MEDIUM-HIGH BAND (2,500-5,000/wk) — FSIS category-4 sweep, the enumerable universe</t>
        </is>
      </c>
    </row>
    <row r="84" ht="98.8" customHeight="1" s="59">
      <c r="A84" s="4" t="inlineStr">
        <is>
          <t>Swaggerty Sausage Company</t>
        </is>
      </c>
      <c r="B84" s="68" t="inlineStr">
        <is>
          <t>Kodak, TN (Sevier)</t>
        </is>
      </c>
      <c r="C84" s="68" t="inlineStr">
        <is>
          <t>Captive SOW abattoir + sausage mfr (FSIS 'Large')</t>
        </is>
      </c>
      <c r="D84" s="68" t="inlineStr">
        <is>
          <t>~4,250/wk (850 hd/day EMI 2017; cat-4 confirms ≥2,000/wk)</t>
        </is>
      </c>
      <c r="E84" s="27" t="inlineStr">
        <is>
          <t>MEDIUM-HIGH
(2,500-5,000/wk)</t>
        </is>
      </c>
      <c r="F84" s="68" t="inlineStr">
        <is>
          <t>Yes — SOW ONLY (FSIS flags: sow=TRUE, market=FALSE)</t>
        </is>
      </c>
      <c r="G84" s="68" t="inlineStr">
        <is>
          <t>USDA ✓ M8314 + V8314 (V = voluntary grant)</t>
        </is>
      </c>
      <c r="H84" s="68" t="inlineStr">
        <is>
          <t>See the Welfare &amp; culture column — enforcement detail is carried there for these rows</t>
        </is>
      </c>
      <c r="I84" s="68" t="inlineStr">
        <is>
          <t>Not verified — APHIS publishes no searchable list; confirm with APHIS VS</t>
        </is>
      </c>
      <c r="J84" s="68" t="inlineStr">
        <is>
          <t>NO suspension in ANY FSIS QER FY2024Q1-FY2026Q2 (no public record ≠ clean). Prior TN OSHA machine-guarding actions 2018 &amp; 2024</t>
        </is>
      </c>
      <c r="K84" s="68" t="inlineStr">
        <is>
          <t>No existing organ programme — would be built. V-grant is useful for non-amenable/research material</t>
        </is>
      </c>
      <c r="L84" s="68" t="inlineStr">
        <is>
          <t>Plausible — single site, family-owned, decision-maker reachable</t>
        </is>
      </c>
      <c r="M84" s="110" t="inlineStr">
        <is>
          <t>NO</t>
        </is>
      </c>
      <c r="N84" s="68" t="inlineStr">
        <is>
          <t>Plausible</t>
        </is>
      </c>
      <c r="O84" s="68" t="inlineStr">
        <is>
          <t>(865) 933-2625
2827 Swaggerty Rd, Kodak TN 37764</t>
        </is>
      </c>
      <c r="P84" s="20" t="inlineStr">
        <is>
          <t>STRONG FIT</t>
        </is>
      </c>
      <c r="Q84" s="68" t="inlineStr">
        <is>
          <t>Med-High</t>
        </is>
      </c>
      <c r="R84"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125.6" customHeight="1" s="59">
      <c r="A85" s="4" t="inlineStr">
        <is>
          <t>Peoria Packing, Ltd.</t>
        </is>
      </c>
      <c r="B85" s="68" t="inlineStr">
        <is>
          <t>Grant Park, IL (slaughter)</t>
        </is>
      </c>
      <c r="C85" s="68" t="inlineStr">
        <is>
          <t>USDA federal slaughter; sister processing plant in Chicago</t>
        </is>
      </c>
      <c r="D85" s="68" t="inlineStr">
        <is>
          <t>~3,000/wk (600 hd/day EMI 2017; cat-4)</t>
        </is>
      </c>
      <c r="E85" s="27" t="inlineStr">
        <is>
          <t>MEDIUM-HIGH
(2,500-5,000/wk)</t>
        </is>
      </c>
      <c r="F85" s="68" t="inlineStr">
        <is>
          <t>Yes — MARKET HOGS (butcher hogs 180-230 lb)</t>
        </is>
      </c>
      <c r="G85" s="68" t="inlineStr">
        <is>
          <t>USDA ✓ M21651 (slaughter)
Sister M21826+V21826 Chicago = Certification-Export</t>
        </is>
      </c>
      <c r="H85" s="68" t="inlineStr">
        <is>
          <t>See the Welfare &amp; culture column — enforcement detail is carried there for these rows</t>
        </is>
      </c>
      <c r="I85" s="68" t="inlineStr">
        <is>
          <t>Not verified — APHIS publishes no searchable list; confirm with APHIS VS</t>
        </is>
      </c>
      <c r="J85" s="68" t="inlineStr">
        <is>
          <t>NO suspension in any QER FY2024-FY2026 (no public record)</t>
        </is>
      </c>
      <c r="K85"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68" t="inlineStr">
        <is>
          <t>Plausible</t>
        </is>
      </c>
      <c r="M85" s="110" t="inlineStr">
        <is>
          <t>NO</t>
        </is>
      </c>
      <c r="N85" s="68" t="inlineStr">
        <is>
          <t>EXCELLENT — already positions as medical/pharma supplier with spec flexibility</t>
        </is>
      </c>
      <c r="O85" s="68" t="inlineStr">
        <is>
          <t>(815) 465-9824 (Grant Park)
(312) 226-2600 (Chicago)</t>
        </is>
      </c>
      <c r="P85" s="20" t="inlineStr">
        <is>
          <t>STRONG FIT</t>
        </is>
      </c>
      <c r="Q85" s="68" t="inlineStr">
        <is>
          <t>Med</t>
        </is>
      </c>
      <c r="R85" s="68" t="inlineStr">
        <is>
          <t>★ BEST UNNAMED FIND — a genuine sleeper nobody had surfaced. Market hogs (not sows) so anatomy is smaller — confirm block dimensions suit the spec. Sister plant is export-certified.</t>
        </is>
      </c>
    </row>
    <row r="86" ht="192.6" customHeight="1" s="59">
      <c r="A86" s="4" t="inlineStr">
        <is>
          <t>Perry Way Foods, LLC (Sustainable Swine Resources)</t>
        </is>
      </c>
      <c r="B86" s="68" t="inlineStr">
        <is>
          <t>Watertown, WI</t>
        </is>
      </c>
      <c r="C86" s="68" t="inlineStr">
        <is>
          <t>SOW abattoir + medical tissue operation</t>
        </is>
      </c>
      <c r="D86" s="68" t="inlineStr">
        <is>
          <t>~4,250/wk (850 hd/day EMI 2017) — LIKELY HIGHER NOW (absorbed Momence volume + 2nd shift)</t>
        </is>
      </c>
      <c r="E86" s="27" t="inlineStr">
        <is>
          <t>MEDIUM-HIGH
(2,500-5,000/wk)</t>
        </is>
      </c>
      <c r="F86" s="68" t="inlineStr">
        <is>
          <t>Yes — SOW ONLY</t>
        </is>
      </c>
      <c r="G86" s="68" t="inlineStr">
        <is>
          <t>USDA ✓ M1962 + P1962</t>
        </is>
      </c>
      <c r="H86" s="68" t="inlineStr">
        <is>
          <t>See the Welfare &amp; culture column — enforcement detail is carried there for these rows</t>
        </is>
      </c>
      <c r="I86" s="68" t="inlineStr">
        <is>
          <t>Not verified — APHIS publishes no searchable list; confirm with APHIS VS</t>
        </is>
      </c>
      <c r="J86" s="68" t="inlineStr">
        <is>
          <t>NO suspension in any QER FY2024-FY2026 (no public record)</t>
        </is>
      </c>
      <c r="K86"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68" t="inlineStr">
        <is>
          <t>⚠ May be REFUSED on channel conflict</t>
        </is>
      </c>
      <c r="M86" s="110" t="inlineStr">
        <is>
          <t>NO</t>
        </is>
      </c>
      <c r="N86" s="68" t="inlineStr">
        <is>
          <t>Already built and running — but for their own account</t>
        </is>
      </c>
      <c r="O86" s="68" t="inlineStr">
        <is>
          <t>(920) 261-1053
1222 Perry Way, Watertown WI 53094</t>
        </is>
      </c>
      <c r="P86" s="23" t="inlineStr">
        <is>
          <t>CAUTION</t>
        </is>
      </c>
      <c r="Q86" s="68" t="inlineStr">
        <is>
          <t>Med-High</t>
        </is>
      </c>
      <c r="R86"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85.40000000000001" customHeight="1" s="59">
      <c r="A87" s="4" t="inlineStr">
        <is>
          <t>Banner Creek, LLC (Sustainable Swine Resources)</t>
        </is>
      </c>
      <c r="B87" s="68" t="inlineStr">
        <is>
          <t>Holton, KS</t>
        </is>
      </c>
      <c r="C87" s="68" t="inlineStr">
        <is>
          <t>SOW abattoir (Johnsonville / SSR)</t>
        </is>
      </c>
      <c r="D87" s="68" t="inlineStr">
        <is>
          <t>~5,500/wk (1,100 hd/day EMI 2017) — at/just above ceiling; likely higher post-Momence</t>
        </is>
      </c>
      <c r="E87" s="26" t="inlineStr">
        <is>
          <t>HIGH
(&gt;5,000/wk)</t>
        </is>
      </c>
      <c r="F87" s="68" t="inlineStr">
        <is>
          <t>Yes — SOW ONLY</t>
        </is>
      </c>
      <c r="G87" s="68" t="inlineStr">
        <is>
          <t>USDA ✓ M5536 + P5536</t>
        </is>
      </c>
      <c r="H87" s="68" t="inlineStr">
        <is>
          <t>See the Welfare &amp; culture column — enforcement detail is carried there for these rows</t>
        </is>
      </c>
      <c r="I87" s="68" t="inlineStr">
        <is>
          <t>Not verified — APHIS publishes no searchable list; confirm with APHIS VS</t>
        </is>
      </c>
      <c r="J87" s="68" t="inlineStr">
        <is>
          <t>NO suspension in any QER FY2024-FY2026 (no public record)</t>
        </is>
      </c>
      <c r="K87" s="68" t="inlineStr">
        <is>
          <t>Same SSR medical-tissue infrastructure as Perry Way (ISO 22442-2, GMP rooms, Customization Center)</t>
        </is>
      </c>
      <c r="L87" s="68" t="inlineStr">
        <is>
          <t>⚠ Same competitor caveat</t>
        </is>
      </c>
      <c r="M87" s="110" t="inlineStr">
        <is>
          <t>NO</t>
        </is>
      </c>
      <c r="N87" s="68" t="inlineStr">
        <is>
          <t>Already built for their own account</t>
        </is>
      </c>
      <c r="O87" s="68" t="inlineStr">
        <is>
          <t>(785) 364-3126
619 East 4th St, Holton KS 66436</t>
        </is>
      </c>
      <c r="P87" s="23" t="inlineStr">
        <is>
          <t>CAUTION</t>
        </is>
      </c>
      <c r="Q87" s="68" t="inlineStr">
        <is>
          <t>Med</t>
        </is>
      </c>
      <c r="R87" s="68" t="inlineStr">
        <is>
          <t>Second SSR harvest site. Top-of-band or just over. Same channel-conflict caveat as Perry Way.</t>
        </is>
      </c>
    </row>
    <row r="88" ht="219.4" customHeight="1" s="59">
      <c r="A88" s="4" t="inlineStr">
        <is>
          <t>Calihan Processing Cooperative</t>
        </is>
      </c>
      <c r="B88" s="68" t="inlineStr">
        <is>
          <t>Peoria, IL</t>
        </is>
      </c>
      <c r="C88" s="68" t="inlineStr">
        <is>
          <t>Producer-owned cooperative sow/market abattoir</t>
        </is>
      </c>
      <c r="D88" s="68" t="inlineStr">
        <is>
          <t>~3,500/wk — BEST-VERIFIED FIGURE IN THE BAND ('700 sows per day', company's own site)</t>
        </is>
      </c>
      <c r="E88" s="27" t="inlineStr">
        <is>
          <t>MEDIUM-HIGH
(2,500-5,000/wk)</t>
        </is>
      </c>
      <c r="F88" s="68" t="inlineStr">
        <is>
          <t>Yes — MKT + SOW + boar</t>
        </is>
      </c>
      <c r="G88" s="68" t="inlineStr">
        <is>
          <t>USDA ✓ M6775 + V6775
✅ Certification-Export ON THE GRANT</t>
        </is>
      </c>
      <c r="H88" s="68" t="inlineStr">
        <is>
          <t>See the Welfare &amp; culture column — enforcement detail is carried there for these rows</t>
        </is>
      </c>
      <c r="I88" s="68" t="inlineStr">
        <is>
          <t>Not verified — APHIS publishes no searchable list; confirm with APHIS VS</t>
        </is>
      </c>
      <c r="J88"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68" t="inlineStr">
        <is>
          <t>unknown</t>
        </is>
      </c>
      <c r="L88" s="68" t="inlineStr">
        <is>
          <t>Plausible</t>
        </is>
      </c>
      <c r="M88" s="110" t="inlineStr">
        <is>
          <t>NO</t>
        </is>
      </c>
      <c r="N88" s="68" t="inlineStr">
        <is>
          <t>Plausible — new co-op board may welcome new revenue</t>
        </is>
      </c>
      <c r="O88" s="68" t="inlineStr">
        <is>
          <t>(309) 512-7124
One South Street, Peoria IL 61602
Ben Elbert (Plant Mgr) · Jason Jones (EVP Pork)</t>
        </is>
      </c>
      <c r="P88" s="23" t="inlineStr">
        <is>
          <t>CAUTION</t>
        </is>
      </c>
      <c r="Q88" s="68" t="inlineStr">
        <is>
          <t>High</t>
        </is>
      </c>
      <c r="R88"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98.8" customHeight="1" s="59">
      <c r="A89" s="4" t="inlineStr">
        <is>
          <t>Clausen Meat Company, Inc.</t>
        </is>
      </c>
      <c r="B89" s="68" t="inlineStr">
        <is>
          <t>Turlock, CA (Merced)</t>
        </is>
      </c>
      <c r="C89" s="68" t="inlineStr">
        <is>
          <t>Federal abattoir; absorbed Jim's Farm Meats (Atwater)</t>
        </is>
      </c>
      <c r="D89" s="68" t="inlineStr">
        <is>
          <t>unknown precisely — cat-4 proves ≥2,000/wk; 2,500-5,000 is an INFERENCE from the absorbed 850 hd/day plant</t>
        </is>
      </c>
      <c r="E89" s="27" t="inlineStr">
        <is>
          <t>MEDIUM-HIGH
(2,500-5,000/wk)</t>
        </is>
      </c>
      <c r="F89" s="68" t="inlineStr">
        <is>
          <t>Yes — MKT + SOW + roaster</t>
        </is>
      </c>
      <c r="G89" s="68" t="inlineStr">
        <is>
          <t>USDA ✓ M325</t>
        </is>
      </c>
      <c r="H89" s="68" t="inlineStr">
        <is>
          <t>See the Welfare &amp; culture column — enforcement detail is carried there for these rows</t>
        </is>
      </c>
      <c r="I89" s="68" t="inlineStr">
        <is>
          <t>Not verified — APHIS publishes no searchable list; confirm with APHIS VS</t>
        </is>
      </c>
      <c r="J89" s="68" t="inlineStr">
        <is>
          <t>🚨 INH suspension 15 Nov 2023 — NOT reinstated until 12 Apr 2024, roughly FIVE MONTHS out. A long suspension; warrants scrutiny</t>
        </is>
      </c>
      <c r="K89" s="68" t="inlineStr">
        <is>
          <t>unknown</t>
        </is>
      </c>
      <c r="L89" s="68" t="inlineStr">
        <is>
          <t>Plausible</t>
        </is>
      </c>
      <c r="M89" s="110" t="inlineStr">
        <is>
          <t>NO</t>
        </is>
      </c>
      <c r="N89" s="68" t="inlineStr">
        <is>
          <t>Plausible</t>
        </is>
      </c>
      <c r="O89" s="68" t="inlineStr">
        <is>
          <t>(209) 667-8690
19455 E Clausen Rd, Turlock CA 95380</t>
        </is>
      </c>
      <c r="P89" s="23" t="inlineStr">
        <is>
          <t>CAUTION</t>
        </is>
      </c>
      <c r="Q89" s="68" t="inlineStr">
        <is>
          <t>Low-Med</t>
        </is>
      </c>
      <c r="R89" s="68" t="inlineStr">
        <is>
          <t>The ONLY serious in-band candidate on the WEST COAST, and rare MKT+SOW+roaster flexibility. Volume is an inference, not a published figure — verify volume AND welfare directly.</t>
        </is>
      </c>
    </row>
    <row r="90" ht="19.7" customHeight="1" s="59">
      <c r="A90" s="118" t="inlineStr">
        <is>
          <t>JUST ABOVE BAND (~5,000-7,500/wk) — viable if the ceiling flexes</t>
        </is>
      </c>
    </row>
    <row r="91" ht="58.6" customHeight="1" s="59">
      <c r="A91" s="4" t="inlineStr">
        <is>
          <t>Leidy's, LLC</t>
        </is>
      </c>
      <c r="B91" s="68" t="inlineStr">
        <is>
          <t>Souderton, PA</t>
        </is>
      </c>
      <c r="C91" s="68" t="inlineStr">
        <is>
          <t>USDA federal — MARKET hogs</t>
        </is>
      </c>
      <c r="D91" s="68" t="inlineStr">
        <is>
          <t>~6,750/wk (1,350 hd/day EMI 2017)</t>
        </is>
      </c>
      <c r="E91" s="26" t="inlineStr">
        <is>
          <t>HIGH
(&gt;5,000/wk)</t>
        </is>
      </c>
      <c r="F91" s="68" t="inlineStr">
        <is>
          <t>Yes — MARKET</t>
        </is>
      </c>
      <c r="G91" s="68" t="inlineStr">
        <is>
          <t>USDA ✓ M9520+P9520+V9520
✅ EXPORT-CERTIFIED</t>
        </is>
      </c>
      <c r="H91" s="68" t="inlineStr">
        <is>
          <t>See the Welfare &amp; culture column — enforcement detail is carried there for these rows</t>
        </is>
      </c>
      <c r="I91" s="68" t="inlineStr">
        <is>
          <t>Not verified — APHIS publishes no searchable list; confirm with APHIS VS</t>
        </is>
      </c>
      <c r="J91" s="68" t="inlineStr">
        <is>
          <t>No QER suspension FY2024-FY2026 (no public record)</t>
        </is>
      </c>
      <c r="K91" s="68" t="inlineStr">
        <is>
          <t>unknown</t>
        </is>
      </c>
      <c r="L91" s="68" t="inlineStr">
        <is>
          <t>Plausible</t>
        </is>
      </c>
      <c r="M91" s="110" t="inlineStr">
        <is>
          <t>NO</t>
        </is>
      </c>
      <c r="N91" s="68" t="inlineStr">
        <is>
          <t>Plausible</t>
        </is>
      </c>
      <c r="O91" s="68" t="inlineStr">
        <is>
          <t>(215) 723-4606</t>
        </is>
      </c>
      <c r="P91" s="23" t="inlineStr">
        <is>
          <t>POSSIBLE</t>
        </is>
      </c>
      <c r="Q91" s="68" t="inlineStr">
        <is>
          <t>Med</t>
        </is>
      </c>
      <c r="R91" s="68" t="inlineStr">
        <is>
          <t>MID-ATLANTIC and EXPORT-CERTIFIED — relevant to the Pennsylvania-abattoir lead from Animal Biotech. Closest large export-capable plant to the NC operation.</t>
        </is>
      </c>
    </row>
    <row r="92" ht="45.2" customHeight="1" s="59">
      <c r="A92" s="4" t="inlineStr">
        <is>
          <t>Tri Eagle Provisions</t>
        </is>
      </c>
      <c r="B92" s="68" t="inlineStr">
        <is>
          <t>Tippecanoe, IN</t>
        </is>
      </c>
      <c r="C92" s="68" t="inlineStr">
        <is>
          <t>USDA federal — market + roaster</t>
        </is>
      </c>
      <c r="D92" s="68" t="inlineStr">
        <is>
          <t>~5,500/wk (1,100 hd/day EMI 2017)</t>
        </is>
      </c>
      <c r="E92" s="26" t="inlineStr">
        <is>
          <t>HIGH
(&gt;5,000/wk)</t>
        </is>
      </c>
      <c r="F92" s="68" t="inlineStr">
        <is>
          <t>Yes — MKT + roaster</t>
        </is>
      </c>
      <c r="G92" s="68" t="inlineStr">
        <is>
          <t>USDA ✓ M17496</t>
        </is>
      </c>
      <c r="H92" s="68" t="inlineStr">
        <is>
          <t>See the Welfare &amp; culture column — enforcement detail is carried there for these rows</t>
        </is>
      </c>
      <c r="I92" s="68" t="inlineStr">
        <is>
          <t>Not verified — APHIS publishes no searchable list; confirm with APHIS VS</t>
        </is>
      </c>
      <c r="J92" s="68" t="inlineStr">
        <is>
          <t>No QER suspension FY2024-FY2026</t>
        </is>
      </c>
      <c r="K92" s="68" t="inlineStr">
        <is>
          <t>unknown</t>
        </is>
      </c>
      <c r="L92" s="68" t="inlineStr">
        <is>
          <t>Plausible</t>
        </is>
      </c>
      <c r="M92" s="110" t="inlineStr">
        <is>
          <t>NO</t>
        </is>
      </c>
      <c r="N92" s="68" t="inlineStr">
        <is>
          <t>Plausible</t>
        </is>
      </c>
      <c r="O92" s="68" t="inlineStr">
        <is>
          <t>(574) 223-4600</t>
        </is>
      </c>
      <c r="P92" s="23" t="inlineStr">
        <is>
          <t>POSSIBLE</t>
        </is>
      </c>
      <c r="Q92" s="68" t="inlineStr">
        <is>
          <t>Med</t>
        </is>
      </c>
      <c r="R92" s="68" t="inlineStr">
        <is>
          <t>DBAs Vin Lee Ron, Maple Creek Packing.</t>
        </is>
      </c>
    </row>
    <row r="93" ht="45.2" customHeight="1" s="59">
      <c r="A93" s="4" t="inlineStr">
        <is>
          <t>Verschoor Meats</t>
        </is>
      </c>
      <c r="B93" s="68" t="inlineStr">
        <is>
          <t>Sioux City, IA</t>
        </is>
      </c>
      <c r="C93" s="68" t="inlineStr">
        <is>
          <t>USDA federal — market + boar</t>
        </is>
      </c>
      <c r="D93" s="68" t="inlineStr">
        <is>
          <t>~6,000/wk (1,200 hd/day EMI 2017)</t>
        </is>
      </c>
      <c r="E93" s="26" t="inlineStr">
        <is>
          <t>HIGH
(&gt;5,000/wk)</t>
        </is>
      </c>
      <c r="F93" s="68" t="inlineStr">
        <is>
          <t>Yes — MKT + boar</t>
        </is>
      </c>
      <c r="G93" s="68" t="inlineStr">
        <is>
          <t>USDA ✓ M363</t>
        </is>
      </c>
      <c r="H93" s="68" t="inlineStr">
        <is>
          <t>See the Welfare &amp; culture column — enforcement detail is carried there for these rows</t>
        </is>
      </c>
      <c r="I93" s="68" t="inlineStr">
        <is>
          <t>Not verified — APHIS publishes no searchable list; confirm with APHIS VS</t>
        </is>
      </c>
      <c r="J93" s="68" t="inlineStr">
        <is>
          <t>No QER suspension FY2024-FY2026</t>
        </is>
      </c>
      <c r="K93" s="68" t="inlineStr">
        <is>
          <t>unknown</t>
        </is>
      </c>
      <c r="L93" s="68" t="inlineStr">
        <is>
          <t>Plausible</t>
        </is>
      </c>
      <c r="M93" s="110" t="inlineStr">
        <is>
          <t>NO</t>
        </is>
      </c>
      <c r="N93" s="68" t="inlineStr">
        <is>
          <t>Plausible</t>
        </is>
      </c>
      <c r="O93" s="68" t="inlineStr">
        <is>
          <t>(712) 252-1847</t>
        </is>
      </c>
      <c r="P93" s="23" t="inlineStr">
        <is>
          <t>POSSIBLE</t>
        </is>
      </c>
      <c r="Q93" s="68" t="inlineStr">
        <is>
          <t>Med</t>
        </is>
      </c>
      <c r="R93" s="68" t="inlineStr">
        <is>
          <t>Iowa option just above band.</t>
        </is>
      </c>
    </row>
    <row r="94" ht="45.2" customHeight="1" s="59">
      <c r="A94" s="4" t="inlineStr">
        <is>
          <t>Premium Minnesota Pork</t>
        </is>
      </c>
      <c r="B94" s="68" t="inlineStr">
        <is>
          <t>Luverne, MN</t>
        </is>
      </c>
      <c r="C94" s="68" t="inlineStr">
        <is>
          <t>USDA federal — market</t>
        </is>
      </c>
      <c r="D94" s="68" t="inlineStr">
        <is>
          <t>unknown — FSIS category 4 (≥2,000/wk)</t>
        </is>
      </c>
      <c r="E94" s="24" t="inlineStr">
        <is>
          <t>unknown
(confirm)</t>
        </is>
      </c>
      <c r="F94" s="68" t="inlineStr">
        <is>
          <t>Yes — MARKET</t>
        </is>
      </c>
      <c r="G94" s="68" t="inlineStr">
        <is>
          <t>USDA ✓ M21069L (newer grant, 2022)</t>
        </is>
      </c>
      <c r="H94" s="68" t="inlineStr">
        <is>
          <t>See the Welfare &amp; culture column — enforcement detail is carried there for these rows</t>
        </is>
      </c>
      <c r="I94" s="68" t="inlineStr">
        <is>
          <t>Not verified — APHIS publishes no searchable list; confirm with APHIS VS</t>
        </is>
      </c>
      <c r="J94" s="68" t="inlineStr">
        <is>
          <t>No QER suspension FY2024-FY2026</t>
        </is>
      </c>
      <c r="K94" s="68" t="inlineStr">
        <is>
          <t>unknown</t>
        </is>
      </c>
      <c r="L94" s="68" t="inlineStr">
        <is>
          <t>Plausible</t>
        </is>
      </c>
      <c r="M94" s="110" t="inlineStr">
        <is>
          <t>NO</t>
        </is>
      </c>
      <c r="N94" s="68" t="inlineStr">
        <is>
          <t>Plausible</t>
        </is>
      </c>
      <c r="O94" s="68" t="inlineStr">
        <is>
          <t>(712) 752-8666</t>
        </is>
      </c>
      <c r="P94" s="23" t="inlineStr">
        <is>
          <t>POSSIBLE</t>
        </is>
      </c>
      <c r="Q94" s="68" t="inlineStr">
        <is>
          <t>Low-Med</t>
        </is>
      </c>
      <c r="R94" s="68" t="inlineStr">
        <is>
          <t>Newer establishment; volume unpublished.</t>
        </is>
      </c>
    </row>
    <row r="95" ht="19.7" customHeight="1" s="59">
      <c r="A95" s="118" t="inlineStr">
        <is>
          <t>SOW &amp; DUAL-CLASS PLANTS — verified against USDA's own species flags</t>
        </is>
      </c>
    </row>
    <row r="96" ht="179.2" customHeight="1" s="59">
      <c r="A96" s="4" t="inlineStr">
        <is>
          <t>Pioneer Packing Company, Inc.</t>
        </is>
      </c>
      <c r="B96" s="68" t="inlineStr">
        <is>
          <t>Bowling Green, OH</t>
        </is>
      </c>
      <c r="C96" s="68" t="inlineStr">
        <is>
          <t>PURE SOW/BOAR abattoir (FSIS 'Small')</t>
        </is>
      </c>
      <c r="D96" s="68" t="inlineStr">
        <is>
          <t>~2,250-2,430/wk (450 hd/day EMI 2017, flat)</t>
        </is>
      </c>
      <c r="E96" s="20" t="inlineStr">
        <is>
          <t>MEDIUM
(350-2,500/wk)</t>
        </is>
      </c>
      <c r="F96" s="68" t="inlineStr">
        <is>
          <t>Yes — SOW + BOAR ONLY (market_swine flag BLANK)</t>
        </is>
      </c>
      <c r="G96" s="68" t="inlineStr">
        <is>
          <t>USDA ✓ M372 (grant 2021)</t>
        </is>
      </c>
      <c r="H96" s="68" t="inlineStr">
        <is>
          <t>See the Welfare &amp; culture column — enforcement detail is carried there for these rows</t>
        </is>
      </c>
      <c r="I96" s="68" t="inlineStr">
        <is>
          <t>Not verified — APHIS publishes no searchable list; confirm with APHIS VS</t>
        </is>
      </c>
      <c r="J96" s="68" t="inlineStr">
        <is>
          <t>Not on the current FSIS enforcement page (that page covers only ~Aug 2025-Jul 2026 — NOT a clean record)</t>
        </is>
      </c>
      <c r="K96"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68" t="inlineStr">
        <is>
          <t>STRONG — sow+boar only, single small site, pre-rigor culture</t>
        </is>
      </c>
      <c r="M96" s="110" t="inlineStr">
        <is>
          <t>NO</t>
        </is>
      </c>
      <c r="N96" s="68" t="inlineStr">
        <is>
          <t>STRONG — 'harvest to our spec' extends an existing SKU concept rather than creating a new discipline</t>
        </is>
      </c>
      <c r="O96" s="68" t="inlineStr">
        <is>
          <t>(419) 352-5283
510 Napoleon Rd, Bowling Green OH 43402
Mon-Fri 7am-2pm</t>
        </is>
      </c>
      <c r="P96" s="20" t="inlineStr">
        <is>
          <t>STRONG FIT</t>
        </is>
      </c>
      <c r="Q96" s="68" t="inlineStr">
        <is>
          <t>Med-High</t>
        </is>
      </c>
      <c r="R96"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98.8" customHeight="1" s="59">
      <c r="A97" s="4" t="inlineStr">
        <is>
          <t>F.B. Purnell Sausage Co.</t>
        </is>
      </c>
      <c r="B97" s="68" t="inlineStr">
        <is>
          <t>Simpsonville, KY</t>
        </is>
      </c>
      <c r="C97" s="68" t="inlineStr">
        <is>
          <t>Sow + market slaughter + sausage mfr</t>
        </is>
      </c>
      <c r="D97" s="68" t="inlineStr">
        <is>
          <t>~2,500-2,700/wk (600/day 2016 → 500/day 2017 — DECLINING)</t>
        </is>
      </c>
      <c r="E97" s="27" t="inlineStr">
        <is>
          <t>MEDIUM-HIGH
(2,500-5,000/wk)</t>
        </is>
      </c>
      <c r="F97" s="68" t="inlineStr">
        <is>
          <t>Yes — BOTH sow AND market (USDA flags both = Yes)</t>
        </is>
      </c>
      <c r="G97" s="68" t="inlineStr">
        <is>
          <t>USDA ✓ M7464 + P7464 (grant 2021; category refreshed 2025-06)</t>
        </is>
      </c>
      <c r="H97" s="68" t="inlineStr">
        <is>
          <t>See the Welfare &amp; culture column — enforcement detail is carried there for these rows</t>
        </is>
      </c>
      <c r="I97" s="68" t="inlineStr">
        <is>
          <t>Not verified — APHIS publishes no searchable list; confirm with APHIS VS</t>
        </is>
      </c>
      <c r="J97" s="68" t="inlineStr">
        <is>
          <t>Not on the current FSIS enforcement page (1-yr window only — not a clean record)</t>
        </is>
      </c>
      <c r="K97" s="68" t="inlineStr">
        <is>
          <t>None found</t>
        </is>
      </c>
      <c r="L97" s="68" t="inlineStr">
        <is>
          <t>Plausible — small, family-run, single site, already runs a poultry grant so used to multi-programme oversight</t>
        </is>
      </c>
      <c r="M97" s="110" t="inlineStr">
        <is>
          <t>NO</t>
        </is>
      </c>
      <c r="N97" s="68" t="inlineStr">
        <is>
          <t>Plausible, but sausage-focused workflow means viscera likely already committed to rendering</t>
        </is>
      </c>
      <c r="O97" s="68" t="inlineStr">
        <is>
          <t>(502) 722-5626
6931 Shelbyville Rd · itsgooo-od.com</t>
        </is>
      </c>
      <c r="P97" s="23" t="inlineStr">
        <is>
          <t>POSSIBLE</t>
        </is>
      </c>
      <c r="Q97" s="68" t="inlineStr">
        <is>
          <t>Med</t>
        </is>
      </c>
      <c r="R97" s="68" t="inlineStr">
        <is>
          <t>BEST DUAL-CLASS SUPPLY: the only plant flagged for BOTH sow and market-hog slaughter, so animal class can be specced PER TISSUE BLOCK. Volume trend was downward 2016→2017.</t>
        </is>
      </c>
    </row>
    <row r="98" ht="192.6" customHeight="1" s="59">
      <c r="A98" s="4" t="inlineStr">
        <is>
          <t>BEF Foods (Bob Evans) — Xenia</t>
        </is>
      </c>
      <c r="B98" s="68" t="inlineStr">
        <is>
          <t>Xenia, OH</t>
        </is>
      </c>
      <c r="C98" s="68" t="inlineStr">
        <is>
          <t>SOW-ONLY abattoir; Post Holdings subsidiary</t>
        </is>
      </c>
      <c r="D98" s="68" t="inlineStr">
        <is>
          <t>~2,500-2,700/wk (500 hd/day, flat)</t>
        </is>
      </c>
      <c r="E98" s="27" t="inlineStr">
        <is>
          <t>MEDIUM-HIGH
(2,500-5,000/wk)</t>
        </is>
      </c>
      <c r="F98" s="68" t="inlineStr">
        <is>
          <t>Yes — SOW ONLY</t>
        </is>
      </c>
      <c r="G98" s="68" t="inlineStr">
        <is>
          <t>USDA ✓ M6785 (grant 2020)</t>
        </is>
      </c>
      <c r="H98" s="68" t="inlineStr">
        <is>
          <t>See the Welfare &amp; culture column — enforcement detail is carried there for these rows</t>
        </is>
      </c>
      <c r="I98" s="68" t="inlineStr">
        <is>
          <t>Not verified — APHIS publishes no searchable list; confirm with APHIS VS</t>
        </is>
      </c>
      <c r="J98"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68" t="inlineStr">
        <is>
          <t>None found</t>
        </is>
      </c>
      <c r="L98" s="68" t="inlineStr">
        <is>
          <t>WEAK-MEDIUM — big-corporate parent means legal/insurance friction for third-party staff on the kill floor</t>
        </is>
      </c>
      <c r="M98" s="110" t="inlineStr">
        <is>
          <t>NO</t>
        </is>
      </c>
      <c r="N98" s="68" t="inlineStr">
        <is>
          <t>MEDIUM</t>
        </is>
      </c>
      <c r="O98" s="68" t="inlineStr">
        <is>
          <t>(937) 372-4494
640 Birch Rd, Xenia OH 45385</t>
        </is>
      </c>
      <c r="P98" s="23" t="inlineStr">
        <is>
          <t>CAUTION</t>
        </is>
      </c>
      <c r="Q98" s="68" t="inlineStr">
        <is>
          <t>Med-High</t>
        </is>
      </c>
      <c r="R98" s="6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72" customHeight="1" s="59">
      <c r="A99" s="4" t="inlineStr">
        <is>
          <t>BEF Foods (Bob Evans) — Hillsdale</t>
        </is>
      </c>
      <c r="B99" s="68" t="inlineStr">
        <is>
          <t>Hillsdale, MI</t>
        </is>
      </c>
      <c r="C99" s="68" t="inlineStr">
        <is>
          <t>SOW-ONLY abattoir (open since 1964)</t>
        </is>
      </c>
      <c r="D99" s="68" t="inlineStr">
        <is>
          <t>~2,500-2,700/wk (500 hd/day)</t>
        </is>
      </c>
      <c r="E99" s="27" t="inlineStr">
        <is>
          <t>MEDIUM-HIGH
(2,500-5,000/wk)</t>
        </is>
      </c>
      <c r="F99" s="68" t="inlineStr">
        <is>
          <t>Yes — SOW ONLY</t>
        </is>
      </c>
      <c r="G99" s="68" t="inlineStr">
        <is>
          <t>USDA ✓ M952 (grant 2021)</t>
        </is>
      </c>
      <c r="H99" s="68" t="inlineStr">
        <is>
          <t>See the Welfare &amp; culture column — enforcement detail is carried there for these rows</t>
        </is>
      </c>
      <c r="I99" s="68" t="inlineStr">
        <is>
          <t>Not verified — APHIS publishes no searchable list; confirm with APHIS VS</t>
        </is>
      </c>
      <c r="J99" s="68" t="inlineStr">
        <is>
          <t>Not on the current enforcement page — BUT corporate humane-handling systems are shared with Xenia, so treat the 2018 Xenia action as a COMPANY-LEVEL signal</t>
        </is>
      </c>
      <c r="K99" s="68" t="inlineStr">
        <is>
          <t>None found</t>
        </is>
      </c>
      <c r="L99" s="68" t="inlineStr">
        <is>
          <t>WEAK-MEDIUM (corporate)</t>
        </is>
      </c>
      <c r="M99" s="110" t="inlineStr">
        <is>
          <t>NO</t>
        </is>
      </c>
      <c r="N99" s="68" t="inlineStr">
        <is>
          <t>MEDIUM</t>
        </is>
      </c>
      <c r="O99" s="68" t="inlineStr">
        <is>
          <t>No phone in the USDA file — route via Post / Bob Evans corporate</t>
        </is>
      </c>
      <c r="P99" s="23" t="inlineStr">
        <is>
          <t>CAUTION</t>
        </is>
      </c>
      <c r="Q99" s="68" t="inlineStr">
        <is>
          <t>Med</t>
        </is>
      </c>
      <c r="R99" s="68" t="inlineStr">
        <is>
          <t>Confirmed operating by the same Post FY2025 10-K sentence.</t>
        </is>
      </c>
    </row>
    <row r="100" ht="125.6" customHeight="1" s="59">
      <c r="A100" s="4" t="inlineStr">
        <is>
          <t>Dean Sausage Co. (Attalla)</t>
        </is>
      </c>
      <c r="B100" s="68" t="inlineStr">
        <is>
          <t>Attalla, AL</t>
        </is>
      </c>
      <c r="C100" s="68" t="inlineStr">
        <is>
          <t>SOW slaughter plant marketed purely as a sausage brand</t>
        </is>
      </c>
      <c r="D100" s="68" t="inlineStr">
        <is>
          <t>~1,500-1,620/wk (300 hd/day, flat)</t>
        </is>
      </c>
      <c r="E100" s="20" t="inlineStr">
        <is>
          <t>MEDIUM
(350-2,500/wk)</t>
        </is>
      </c>
      <c r="F100" s="68" t="inlineStr">
        <is>
          <t>Yes — SOW (USDA slaughter=Yes, sow_slaughter=Yes)</t>
        </is>
      </c>
      <c r="G100" s="68" t="inlineStr">
        <is>
          <t>USDA ✓ M6621 + P6621</t>
        </is>
      </c>
      <c r="H100" s="68" t="inlineStr">
        <is>
          <t>See the Welfare &amp; culture column — enforcement detail is carried there for these rows</t>
        </is>
      </c>
      <c r="I100" s="68" t="inlineStr">
        <is>
          <t>Not verified — APHIS publishes no searchable list; confirm with APHIS VS</t>
        </is>
      </c>
      <c r="J100"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68" t="inlineStr">
        <is>
          <t>None found</t>
        </is>
      </c>
      <c r="L100" s="68" t="inlineStr">
        <is>
          <t>WEAK — placing our own harvesters inside a plant with an active repeat record for machine guarding and blocked egress is a direct worker-safety and insurance exposure</t>
        </is>
      </c>
      <c r="M100" s="110" t="inlineStr">
        <is>
          <t>NO</t>
        </is>
      </c>
      <c r="N100" s="68" t="inlineStr">
        <is>
          <t>MEDIUM — arm's-length purchase avoids the exposure</t>
        </is>
      </c>
      <c r="O100" s="68" t="inlineStr">
        <is>
          <t>(256) 538-6082
3750 Pleasant Valley Rd · ~85 staff, founded 1955</t>
        </is>
      </c>
      <c r="P100" s="23" t="inlineStr">
        <is>
          <t>CAUTION</t>
        </is>
      </c>
      <c r="Q100" s="68" t="inlineStr">
        <is>
          <t>High</t>
        </is>
      </c>
      <c r="R100" s="6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85.40000000000001" customHeight="1" s="59">
      <c r="A101" s="4" t="inlineStr">
        <is>
          <t>Carlton Packing Co. (dba Carlton Farms)</t>
        </is>
      </c>
      <c r="B101" s="68" t="inlineStr">
        <is>
          <t>Carlton, OR</t>
        </is>
      </c>
      <c r="C101" s="68" t="inlineStr">
        <is>
          <t>Market-hog + roaster slaughter, also beef; custom-exempt too</t>
        </is>
      </c>
      <c r="D101" s="68" t="inlineStr">
        <is>
          <t>~1,875-2,025/wk (375 hd/day, flat) — mixed-species floor means hog share is lower</t>
        </is>
      </c>
      <c r="E101" s="20" t="inlineStr">
        <is>
          <t>MEDIUM
(350-2,500/wk)</t>
        </is>
      </c>
      <c r="F101" s="68" t="inlineStr">
        <is>
          <t>Yes — MARKET + ROASTER, NO SOW</t>
        </is>
      </c>
      <c r="G101" s="68" t="inlineStr">
        <is>
          <t>USDA ✓ M9228 + P9228 + V9228
(V = VOLUNTARY grant)</t>
        </is>
      </c>
      <c r="H101" s="68" t="inlineStr">
        <is>
          <t>See the Welfare &amp; culture column — enforcement detail is carried there for these rows</t>
        </is>
      </c>
      <c r="I101" s="68" t="inlineStr">
        <is>
          <t>Not verified — APHIS publishes no searchable list; confirm with APHIS VS</t>
        </is>
      </c>
      <c r="J101" s="68" t="inlineStr">
        <is>
          <t>None found (limited-window caveat)</t>
        </is>
      </c>
      <c r="K101" s="68" t="inlineStr">
        <is>
          <t>⭐ The V GRANT IS THE KEY DETAIL: voluntary inspection is the mechanism USDA uses for NON-AMENABLE / NON-FOOD-USE product — so this plant already has the regulatory scaffolding for non-food biomedical harvest</t>
        </is>
      </c>
      <c r="L101" s="68" t="inlineStr">
        <is>
          <t>MEDIUM-STRONG — small, clean, traceable</t>
        </is>
      </c>
      <c r="M101" s="110" t="inlineStr">
        <is>
          <t>NO</t>
        </is>
      </c>
      <c r="N101" s="68" t="inlineStr">
        <is>
          <t>STRONG</t>
        </is>
      </c>
      <c r="O101" s="68" t="inlineStr">
        <is>
          <t>(503) 852-7166
10600 NW Westside Rd · carltonfarms.com</t>
        </is>
      </c>
      <c r="P101" s="23" t="inlineStr">
        <is>
          <t>POSSIBLE</t>
        </is>
      </c>
      <c r="Q101" s="68" t="inlineStr">
        <is>
          <t>Med-High</t>
        </is>
      </c>
      <c r="R101"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112.2" customHeight="1" s="59">
      <c r="A102" s="4" t="inlineStr">
        <is>
          <t>Dealaman Enterprises, Inc.</t>
        </is>
      </c>
      <c r="B102" s="68" t="inlineStr">
        <is>
          <t>Warren, NJ</t>
        </is>
      </c>
      <c r="C102" s="68" t="inlineStr">
        <is>
          <t>Market + roaster + sheep slaughter since 1905</t>
        </is>
      </c>
      <c r="D102" s="68" t="inlineStr">
        <is>
          <t>~1,000-1,200/wk — BEST-CORROBORATED FIGURE IN THE STUDY (EMI 200/day AND a Bloomberg-sourced '1,200 pigs a week' agree)</t>
        </is>
      </c>
      <c r="E102" s="20" t="inlineStr">
        <is>
          <t>MEDIUM
(350-2,500/wk)</t>
        </is>
      </c>
      <c r="F102" s="68" t="inlineStr">
        <is>
          <t>Yes — MARKET + ROASTER + sheep. NO SOW</t>
        </is>
      </c>
      <c r="G102" s="68" t="inlineStr">
        <is>
          <t>USDA ✓ M7562 (grant 2021)</t>
        </is>
      </c>
      <c r="H102" s="68" t="inlineStr">
        <is>
          <t>See the Welfare &amp; culture column — enforcement detail is carried there for these rows</t>
        </is>
      </c>
      <c r="I102" s="68" t="inlineStr">
        <is>
          <t>Not verified — APHIS publishes no searchable list; confirm with APHIS VS</t>
        </is>
      </c>
      <c r="J102" s="68" t="inlineStr">
        <is>
          <t>None found (limited-window caveat). Positively framed in trade press — used by small farms 'who value personalized service and humane treatment'</t>
        </is>
      </c>
      <c r="K102" s="68" t="inlineStr">
        <is>
          <t>None found</t>
        </is>
      </c>
      <c r="L102" s="68" t="inlineStr">
        <is>
          <t>MEDIUM — small, relationship-driven, likely receptive</t>
        </is>
      </c>
      <c r="M102" s="110" t="inlineStr">
        <is>
          <t>NO</t>
        </is>
      </c>
      <c r="N102" s="68" t="inlineStr">
        <is>
          <t>MEDIUM</t>
        </is>
      </c>
      <c r="O102" s="68" t="inlineStr">
        <is>
          <t>(908) 755-1780 / (908) 647-5533
214 Mountainview Rd · ~30 staff</t>
        </is>
      </c>
      <c r="P102" s="23" t="inlineStr">
        <is>
          <t>CAUTION</t>
        </is>
      </c>
      <c r="Q102" s="68" t="inlineStr">
        <is>
          <t>Med-High</t>
        </is>
      </c>
      <c r="R102"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7" customHeight="1" s="59">
      <c r="A103" s="118" t="inlineStr">
        <is>
          <t>PENNSYLVANIA CLUSTER — the Animal Biotech lead, now closed out (73 PA swine plants enumerated)</t>
        </is>
      </c>
    </row>
    <row r="104" ht="85.40000000000001" customHeight="1" s="59">
      <c r="A104" s="4" t="inlineStr">
        <is>
          <t>Leidy's, LLC</t>
        </is>
      </c>
      <c r="B104" s="68" t="inlineStr">
        <is>
          <t>Souderton, PA</t>
        </is>
      </c>
      <c r="C104" s="68" t="inlineStr">
        <is>
          <t>USDA federal market-hog slaughter, operating since 1893</t>
        </is>
      </c>
      <c r="D104" s="68" t="inlineStr">
        <is>
          <t>~5,000-7,000/wk (EMI 1,350/day; company/trade say 1,000-1,200/day; 220+ staff)</t>
        </is>
      </c>
      <c r="E104" s="26" t="inlineStr">
        <is>
          <t>HIGH
(&gt;5,000/wk)</t>
        </is>
      </c>
      <c r="F104" s="68" t="inlineStr">
        <is>
          <t>Yes — MARKET</t>
        </is>
      </c>
      <c r="G104" s="68" t="inlineStr">
        <is>
          <t>USDA ✓ M9520+P9520+V9520
✅ EXPORT-CERTIFIED</t>
        </is>
      </c>
      <c r="H104" s="68" t="inlineStr">
        <is>
          <t>See the Welfare &amp; culture column — enforcement detail is carried there for these rows</t>
        </is>
      </c>
      <c r="I104" s="68" t="inlineStr">
        <is>
          <t>Not verified — APHIS publishes no searchable list; confirm with APHIS VS</t>
        </is>
      </c>
      <c r="J104" s="68" t="inlineStr">
        <is>
          <t>Not on the current FSIS enforcement page (1-yr window)</t>
        </is>
      </c>
      <c r="K104" s="68" t="inlineStr">
        <is>
          <t>None published</t>
        </is>
      </c>
      <c r="L104" s="68" t="inlineStr">
        <is>
          <t>Plausible — ASK WHETHER ABI OR LAMPIRE TECHNICIANS ALREADY HARVEST HERE; if so, a Model A precedent already exists</t>
        </is>
      </c>
      <c r="M104" s="110" t="inlineStr">
        <is>
          <t>NO</t>
        </is>
      </c>
      <c r="N104" s="68" t="inlineStr">
        <is>
          <t>Plausible</t>
        </is>
      </c>
      <c r="O104" s="68" t="inlineStr">
        <is>
          <t>(215) 723-4606
266 W Cherry Ln, Souderton PA</t>
        </is>
      </c>
      <c r="P104" s="20" t="inlineStr">
        <is>
          <t>STRONG FIT</t>
        </is>
      </c>
      <c r="Q104" s="68" t="inlineStr">
        <is>
          <t>Med</t>
        </is>
      </c>
      <c r="R104" s="68" t="inlineStr">
        <is>
          <t>★ BEST PA ENTRY POINT. ~5 MILES from Animal Biotech Industries' lab at Harleysville, and one of only TWO PA swine plants holding export certification. Also appears in the 'just above band' group — Medium-High/High boundary.</t>
        </is>
      </c>
    </row>
    <row r="105" ht="58.6" customHeight="1" s="59">
      <c r="A105" s="4" t="inlineStr">
        <is>
          <t>Clemens Food Group</t>
        </is>
      </c>
      <c r="B105" s="68" t="inlineStr">
        <is>
          <t>Hatfield, PA</t>
        </is>
      </c>
      <c r="C105" s="68" t="inlineStr">
        <is>
          <t>Large industrial market-hog packer</t>
        </is>
      </c>
      <c r="D105" s="68" t="inlineStr">
        <is>
          <t>~58,000-63,000/wk (11,700 hd/day)</t>
        </is>
      </c>
      <c r="E105" s="26" t="inlineStr">
        <is>
          <t>HIGH
(&gt;5,000/wk)</t>
        </is>
      </c>
      <c r="F105" s="68" t="inlineStr">
        <is>
          <t>Yes — MARKET</t>
        </is>
      </c>
      <c r="G105" s="68" t="inlineStr">
        <is>
          <t>USDA ✓ M791+P791+V791
✅ EXPORT-CERTIFIED</t>
        </is>
      </c>
      <c r="H105" s="68" t="inlineStr">
        <is>
          <t>See the Welfare &amp; culture column — enforcement detail is carried there for these rows</t>
        </is>
      </c>
      <c r="I105" s="68" t="inlineStr">
        <is>
          <t>Not verified — APHIS publishes no searchable list; confirm with APHIS VS</t>
        </is>
      </c>
      <c r="J105" s="68" t="inlineStr">
        <is>
          <t>Not on the current enforcement page (1-yr window)</t>
        </is>
      </c>
      <c r="K105" s="68" t="inlineStr">
        <is>
          <t>None published</t>
        </is>
      </c>
      <c r="L105" s="68" t="inlineStr">
        <is>
          <t>Unlikely at this scale — corporate-level agreement required</t>
        </is>
      </c>
      <c r="M105" s="110" t="inlineStr">
        <is>
          <t>NO</t>
        </is>
      </c>
      <c r="N105" s="68" t="inlineStr">
        <is>
          <t>Model B far more realistic</t>
        </is>
      </c>
      <c r="O105" s="68" t="inlineStr">
        <is>
          <t>2700 Clemens Rd, Hatfield PA</t>
        </is>
      </c>
      <c r="P105" s="23" t="inlineStr">
        <is>
          <t>POSSIBLE</t>
        </is>
      </c>
      <c r="Q105" s="68" t="inlineStr">
        <is>
          <t>Med</t>
        </is>
      </c>
      <c r="R105" s="68" t="inlineStr">
        <is>
          <t>The only HIGH-tier PA option and ~5 miles from Animal Biotech's Harleysville lab. Volume solves everything except access.</t>
        </is>
      </c>
    </row>
    <row r="106" ht="112.2" customHeight="1" s="59">
      <c r="A106" s="4" t="inlineStr">
        <is>
          <t>PA SOW plants (roll-up)</t>
        </is>
      </c>
      <c r="B106" s="68" t="inlineStr">
        <is>
          <t>eastern PA</t>
        </is>
      </c>
      <c r="C106" s="68" t="inlineStr">
        <is>
          <t>USDA federal, sow-capable</t>
        </is>
      </c>
      <c r="D106" s="68" t="inlineStr">
        <is>
          <t>unknown</t>
        </is>
      </c>
      <c r="E106" s="24" t="inlineStr">
        <is>
          <t>unknown
(confirm)</t>
        </is>
      </c>
      <c r="F106" s="68" t="inlineStr">
        <is>
          <t>Yes — market + SOW + roaster (+boar at two)</t>
        </is>
      </c>
      <c r="G106" s="68" t="inlineStr">
        <is>
          <t>USDA ✓ — see notes</t>
        </is>
      </c>
      <c r="H106" s="68" t="inlineStr">
        <is>
          <t>See the Welfare &amp; culture column — enforcement detail is carried there for these rows</t>
        </is>
      </c>
      <c r="I106" s="68" t="inlineStr">
        <is>
          <t>Not verified — APHIS publishes no searchable list; confirm with APHIS VS</t>
        </is>
      </c>
      <c r="J106" s="68" t="inlineStr">
        <is>
          <t>Not on the current enforcement page (1-yr window)</t>
        </is>
      </c>
      <c r="K106" s="68" t="inlineStr">
        <is>
          <t>None published</t>
        </is>
      </c>
      <c r="L106" s="68" t="inlineStr">
        <is>
          <t>Plausible (small plants)</t>
        </is>
      </c>
      <c r="M106" s="111" t="inlineStr">
        <is>
          <t>mixed — confirm</t>
        </is>
      </c>
      <c r="N106" s="68" t="inlineStr">
        <is>
          <t>Plausible</t>
        </is>
      </c>
      <c r="O106" s="68" t="inlineStr">
        <is>
          <t>see notes →</t>
        </is>
      </c>
      <c r="P106" s="23" t="inlineStr">
        <is>
          <t>POSSIBLE</t>
        </is>
      </c>
      <c r="Q106" s="68" t="inlineStr">
        <is>
          <t>Med</t>
        </is>
      </c>
      <c r="R106"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206" customHeight="1" s="59">
      <c r="A107" s="4" t="inlineStr">
        <is>
          <t>⚑ The ABI / LAMPIRE abattoir inference</t>
        </is>
      </c>
      <c r="B107" s="68" t="inlineStr">
        <is>
          <t>Harleysville &amp; Pipersville, PA</t>
        </is>
      </c>
      <c r="C107" s="68" t="inlineStr">
        <is>
          <t>tissue suppliers, not slaughterers</t>
        </is>
      </c>
      <c r="D107" s="68" t="inlineStr">
        <is>
          <t>n/a</t>
        </is>
      </c>
      <c r="E107" s="24" t="inlineStr">
        <is>
          <t>n/a</t>
        </is>
      </c>
      <c r="F107" s="68" t="inlineStr">
        <is>
          <t>n/a</t>
        </is>
      </c>
      <c r="G107" s="68" t="inlineStr">
        <is>
          <t>n/a — they BUY from PA abattoirs</t>
        </is>
      </c>
      <c r="H107" s="68" t="inlineStr">
        <is>
          <t>See the Welfare &amp; culture column — enforcement detail is carried there for these rows</t>
        </is>
      </c>
      <c r="I107" s="68" t="inlineStr">
        <is>
          <t>Not verified — APHIS publishes no searchable list; confirm with APHIS VS</t>
        </is>
      </c>
      <c r="J107" s="68" t="inlineStr">
        <is>
          <t>n/a</t>
        </is>
      </c>
      <c r="K107"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68" t="inlineStr">
        <is>
          <t>n/a</t>
        </is>
      </c>
      <c r="M107" s="110" t="inlineStr">
        <is>
          <t>NO</t>
        </is>
      </c>
      <c r="N107" s="68" t="inlineStr">
        <is>
          <t>n/a</t>
        </is>
      </c>
      <c r="O107" s="68" t="inlineStr">
        <is>
          <t>ABI (215) 766-7413 · LAMPIRE Pipersville</t>
        </is>
      </c>
      <c r="P107" s="23" t="inlineStr">
        <is>
          <t>POSSIBLE</t>
        </is>
      </c>
      <c r="Q107" s="68" t="inlineStr">
        <is>
          <t>Med (inference)</t>
        </is>
      </c>
      <c r="R107"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7" customHeight="1" s="59">
      <c r="A108" s="118" t="inlineStr">
        <is>
          <t>⚠ CORRECTED / REFUTED BY THE FSIS PRIMARY-DATA SWEEP</t>
        </is>
      </c>
    </row>
    <row r="109" ht="98.8" customHeight="1" s="59">
      <c r="A109" s="4" t="inlineStr">
        <is>
          <t>Kansas City Sausage / Coastal Protein — REFUTED</t>
        </is>
      </c>
      <c r="B109" s="68" t="inlineStr">
        <is>
          <t>Godwin, NC</t>
        </is>
      </c>
      <c r="C109" s="68" t="inlineStr">
        <is>
          <t>NO ACTIVE FSIS ESTABLISHMENT</t>
        </is>
      </c>
      <c r="D109" s="68" t="inlineStr">
        <is>
          <t>n/a — premise not supported</t>
        </is>
      </c>
      <c r="E109" s="24" t="inlineStr">
        <is>
          <t>n/a</t>
        </is>
      </c>
      <c r="F109" s="68" t="inlineStr">
        <is>
          <t>n/a</t>
        </is>
      </c>
      <c r="G109" s="68" t="inlineStr">
        <is>
          <t>NO active establishment in Godwin NC, zip 28344, or on Martin Road</t>
        </is>
      </c>
      <c r="H109" s="68" t="inlineStr">
        <is>
          <t>See the Welfare &amp; culture column — enforcement detail is carried there for these rows</t>
        </is>
      </c>
      <c r="I109" s="68" t="inlineStr">
        <is>
          <t>Not verified — APHIS publishes no searchable list; confirm with APHIS VS</t>
        </is>
      </c>
      <c r="J109" s="68" t="inlineStr">
        <is>
          <t>n/a</t>
        </is>
      </c>
      <c r="K109" s="68" t="inlineStr">
        <is>
          <t>n/a</t>
        </is>
      </c>
      <c r="L109" s="68" t="inlineStr">
        <is>
          <t>No</t>
        </is>
      </c>
      <c r="M109" s="109" t="inlineStr">
        <is>
          <t>YES (est.)</t>
        </is>
      </c>
      <c r="N109" s="68" t="inlineStr">
        <is>
          <t>No</t>
        </is>
      </c>
      <c r="O109" s="68" t="inlineStr">
        <is>
          <t>—</t>
        </is>
      </c>
      <c r="P109" s="28" t="inlineStr">
        <is>
          <t>OUT / FLAG</t>
        </is>
      </c>
      <c r="Q109" s="68" t="inlineStr">
        <is>
          <t>High</t>
        </is>
      </c>
      <c r="R109" s="6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152.4" customHeight="1" s="59">
      <c r="A110" s="4" t="inlineStr">
        <is>
          <t>Gunnoe Sausage Co. — REFUTED</t>
        </is>
      </c>
      <c r="B110" s="68" t="inlineStr">
        <is>
          <t>Goode, VA</t>
        </is>
      </c>
      <c r="C110" s="68" t="inlineStr">
        <is>
          <t>NO ACTIVE FSIS ESTABLISHMENT</t>
        </is>
      </c>
      <c r="D110" s="68" t="inlineStr">
        <is>
          <t>n/a</t>
        </is>
      </c>
      <c r="E110" s="24" t="inlineStr">
        <is>
          <t>n/a</t>
        </is>
      </c>
      <c r="F110" s="68" t="inlineStr">
        <is>
          <t>n/a</t>
        </is>
      </c>
      <c r="G110" s="68" t="inlineStr">
        <is>
          <t>No active FSIS establishment found</t>
        </is>
      </c>
      <c r="H110" s="68" t="inlineStr">
        <is>
          <t>See the Welfare &amp; culture column — enforcement detail is carried there for these rows</t>
        </is>
      </c>
      <c r="I110" s="68" t="inlineStr">
        <is>
          <t>Not verified — APHIS publishes no searchable list; confirm with APHIS VS</t>
        </is>
      </c>
      <c r="J110" s="68" t="inlineStr">
        <is>
          <t>n/a</t>
        </is>
      </c>
      <c r="K110" s="68" t="inlineStr">
        <is>
          <t>n/a</t>
        </is>
      </c>
      <c r="L110" s="68" t="inlineStr">
        <is>
          <t>No</t>
        </is>
      </c>
      <c r="M110" s="110" t="inlineStr">
        <is>
          <t>NO</t>
        </is>
      </c>
      <c r="N110" s="68" t="inlineStr">
        <is>
          <t>No</t>
        </is>
      </c>
      <c r="O110" s="68" t="inlineStr">
        <is>
          <t>—</t>
        </is>
      </c>
      <c r="P110" s="28" t="inlineStr">
        <is>
          <t>OUT / FLAG</t>
        </is>
      </c>
      <c r="Q110" s="68" t="inlineStr">
        <is>
          <t>Med-High</t>
        </is>
      </c>
      <c r="R110"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112.2" customHeight="1" s="59">
      <c r="A111" s="4" t="inlineStr">
        <is>
          <t>Below-band leads — all REFUTED on volume</t>
        </is>
      </c>
      <c r="B111" s="68" t="inlineStr">
        <is>
          <t>KY / OH / MI / AL / OR / NJ / TX</t>
        </is>
      </c>
      <c r="C111" s="68" t="inlineStr">
        <is>
          <t>FSIS category 2-3 = below 2,000/wk</t>
        </is>
      </c>
      <c r="D111" s="68" t="inlineStr">
        <is>
          <t>below band</t>
        </is>
      </c>
      <c r="E111" s="22" t="inlineStr">
        <is>
          <t>SMALL
(0-300/wk)</t>
        </is>
      </c>
      <c r="F111" s="68" t="inlineStr">
        <is>
          <t>mixed</t>
        </is>
      </c>
      <c r="G111" s="68" t="inlineStr">
        <is>
          <t>USDA ✓ (various)</t>
        </is>
      </c>
      <c r="H111" s="68" t="inlineStr">
        <is>
          <t>See the Welfare &amp; culture column — enforcement detail is carried there for these rows</t>
        </is>
      </c>
      <c r="I111" s="68" t="inlineStr">
        <is>
          <t>Not verified — APHIS publishes no searchable list; confirm with APHIS VS</t>
        </is>
      </c>
      <c r="J111" s="68" t="inlineStr">
        <is>
          <t>various</t>
        </is>
      </c>
      <c r="K111" s="68" t="inlineStr">
        <is>
          <t>unknown</t>
        </is>
      </c>
      <c r="L111" s="68" t="inlineStr">
        <is>
          <t>varies</t>
        </is>
      </c>
      <c r="M111" s="110" t="inlineStr">
        <is>
          <t>NO</t>
        </is>
      </c>
      <c r="N111" s="68" t="inlineStr">
        <is>
          <t>varies</t>
        </is>
      </c>
      <c r="O111" s="68" t="inlineStr">
        <is>
          <t>see notes →</t>
        </is>
      </c>
      <c r="P111" s="23" t="inlineStr">
        <is>
          <t>CAUTION</t>
        </is>
      </c>
      <c r="Q111" s="68" t="inlineStr">
        <is>
          <t>High</t>
        </is>
      </c>
      <c r="R111"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112.2" customHeight="1" s="59">
      <c r="A112" s="4" t="inlineStr">
        <is>
          <t>Plants that no longer slaughter — REFUTED</t>
        </is>
      </c>
      <c r="B112" s="68" t="inlineStr">
        <is>
          <t>OR / TX / IL</t>
        </is>
      </c>
      <c r="C112" s="68" t="inlineStr">
        <is>
          <t>exited slaughter or no establishment</t>
        </is>
      </c>
      <c r="D112" s="68" t="inlineStr">
        <is>
          <t>n/a</t>
        </is>
      </c>
      <c r="E112" s="24" t="inlineStr">
        <is>
          <t>n/a</t>
        </is>
      </c>
      <c r="F112" s="68" t="inlineStr">
        <is>
          <t>n/a</t>
        </is>
      </c>
      <c r="G112" s="68" t="inlineStr">
        <is>
          <t>n/a</t>
        </is>
      </c>
      <c r="H112" s="68" t="inlineStr">
        <is>
          <t>See the Welfare &amp; culture column — enforcement detail is carried there for these rows</t>
        </is>
      </c>
      <c r="I112" s="68" t="inlineStr">
        <is>
          <t>Not verified — APHIS publishes no searchable list; confirm with APHIS VS</t>
        </is>
      </c>
      <c r="J112" s="68" t="inlineStr">
        <is>
          <t>n/a</t>
        </is>
      </c>
      <c r="K112" s="68" t="inlineStr">
        <is>
          <t>n/a</t>
        </is>
      </c>
      <c r="L112" s="68" t="inlineStr">
        <is>
          <t>No</t>
        </is>
      </c>
      <c r="M112" s="110" t="inlineStr">
        <is>
          <t>NO</t>
        </is>
      </c>
      <c r="N112" s="68" t="inlineStr">
        <is>
          <t>No</t>
        </is>
      </c>
      <c r="O112" s="68" t="inlineStr">
        <is>
          <t>—</t>
        </is>
      </c>
      <c r="P112" s="28" t="inlineStr">
        <is>
          <t>OUT / FLAG</t>
        </is>
      </c>
      <c r="Q112" s="68" t="inlineStr">
        <is>
          <t>High</t>
        </is>
      </c>
      <c r="R112"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112.2" customHeight="1" s="59">
      <c r="A113" s="4" t="inlineStr">
        <is>
          <t>Fauquier's Finest — DATA ANOMALY</t>
        </is>
      </c>
      <c r="B113" s="68" t="inlineStr">
        <is>
          <t>Bealeton, VA</t>
        </is>
      </c>
      <c r="C113" s="68" t="inlineStr">
        <is>
          <t>USDA federal, multi-species</t>
        </is>
      </c>
      <c r="D113" s="68" t="inlineStr">
        <is>
          <t>CONTRADICTORY: FSIS size 'Very Small' (&lt;10 employees / &lt;$2.5M) YET slaughter_volume_category = 4 (≥100,000 head/yr)</t>
        </is>
      </c>
      <c r="E113" s="24" t="inlineStr">
        <is>
          <t>unknown
(confirm)</t>
        </is>
      </c>
      <c r="F113" s="68" t="inlineStr">
        <is>
          <t>Yes — MKT+SOW+boar+beef</t>
        </is>
      </c>
      <c r="G113" s="68" t="inlineStr">
        <is>
          <t>USDA ✓ M33940</t>
        </is>
      </c>
      <c r="H113" s="68" t="inlineStr">
        <is>
          <t>See the Welfare &amp; culture column — enforcement detail is carried there for these rows</t>
        </is>
      </c>
      <c r="I113" s="68" t="inlineStr">
        <is>
          <t>Not verified — APHIS publishes no searchable list; confirm with APHIS VS</t>
        </is>
      </c>
      <c r="J113" s="68" t="inlineStr">
        <is>
          <t>🚨 INH suspension 04 Dec 2024 → reinstated 06 Mar 2025</t>
        </is>
      </c>
      <c r="K113" s="68" t="inlineStr">
        <is>
          <t>unknown</t>
        </is>
      </c>
      <c r="L113" s="68" t="inlineStr">
        <is>
          <t>Structurally suits Model A (custom processor)</t>
        </is>
      </c>
      <c r="M113" s="110" t="inlineStr">
        <is>
          <t>NO</t>
        </is>
      </c>
      <c r="N113" s="68" t="inlineStr">
        <is>
          <t>unknown</t>
        </is>
      </c>
      <c r="O113" s="68" t="inlineStr">
        <is>
          <t>(540) 439-7227
11746 AG Industrial Dr, Bealeton VA 22712</t>
        </is>
      </c>
      <c r="P113" s="23" t="inlineStr">
        <is>
          <t>CAUTION</t>
        </is>
      </c>
      <c r="Q113" s="68" t="inlineStr">
        <is>
          <t>Low</t>
        </is>
      </c>
      <c r="R113"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4" ht="15" customHeight="1" s="59"/>
    <row r="115" ht="19.7" customHeight="1" s="59">
      <c r="A115" s="119" t="inlineStr">
        <is>
          <t>★★ PRIORITY OUTREACH — TISSUE COLLECTORS OPERATING INSIDE THIRD-PARTY PLANTS (they already run Model A at industrial scale)</t>
        </is>
      </c>
    </row>
    <row r="116" ht="85.40000000000001" customHeight="1" s="59">
      <c r="A116" s="51" t="inlineStr">
        <is>
          <t>Scientific Protein Laboratories (SPL)</t>
        </is>
      </c>
      <c r="B116" s="53" t="inlineStr">
        <is>
          <t>Waunakee, WI</t>
        </is>
      </c>
      <c r="C116" s="53" t="inlineStr">
        <is>
          <t>HEPARIN / mucosa collector — operates INSIDE third-party USDA plants</t>
        </is>
      </c>
      <c r="D116" s="53" t="inlineStr">
        <is>
          <t>n/a — collects, does not slaughter</t>
        </is>
      </c>
      <c r="E116" s="50" t="inlineStr">
        <is>
          <t>n/a</t>
        </is>
      </c>
      <c r="F116" s="53" t="inlineStr">
        <is>
          <t>n/a (works on others' hog lines)</t>
        </is>
      </c>
      <c r="G116" s="53" t="inlineStr">
        <is>
          <t>n/a — collects at USDA-inspected plants</t>
        </is>
      </c>
      <c r="H116" s="53" t="inlineStr">
        <is>
          <t>Not researched — they are operators, not slaughter plants</t>
        </is>
      </c>
      <c r="I116" s="53" t="inlineStr">
        <is>
          <t>Not verified — ask directly; they run an established export-grade pharma supply chain</t>
        </is>
      </c>
      <c r="J116" s="53" t="inlineStr">
        <is>
          <t>Pharma-grade operation; heparin API feeds regulated medicine supply</t>
        </is>
      </c>
      <c r="K116" s="53" t="inlineStr">
        <is>
          <t>⭐ THIS IS THE POINT: they recover porcine MUCOSA under written protocol, with their OWN CREWS, on someone else's kill floor, paying for line position</t>
        </is>
      </c>
      <c r="L116" s="53" t="inlineStr">
        <is>
          <t>They ARE Model A — at industrial scale, already proven</t>
        </is>
      </c>
      <c r="M116" s="110" t="inlineStr">
        <is>
          <t>NO</t>
        </is>
      </c>
      <c r="N116" s="53" t="inlineStr">
        <is>
          <t>n/a — they are an operator, not a host</t>
        </is>
      </c>
      <c r="O116" s="53" t="inlineStr">
        <is>
          <t>Waunakee, WI (find current number via company site)</t>
        </is>
      </c>
      <c r="P116" s="54" t="inlineStr">
        <is>
          <t>★★ PRIORITY
CONTACT</t>
        </is>
      </c>
      <c r="Q116" s="49" t="inlineStr">
        <is>
          <t>Med</t>
        </is>
      </c>
      <c r="R116"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72" customHeight="1" s="59">
      <c r="A117" s="51" t="inlineStr">
        <is>
          <t>DeWied International</t>
        </is>
      </c>
      <c r="B117" s="53" t="inlineStr">
        <is>
          <t>San Antonio, TX</t>
        </is>
      </c>
      <c r="C117" s="53" t="inlineStr">
        <is>
          <t>NATURAL CASINGS collector — operates INSIDE third-party USDA plants</t>
        </is>
      </c>
      <c r="D117" s="53" t="inlineStr">
        <is>
          <t>n/a — collects, does not slaughter</t>
        </is>
      </c>
      <c r="E117" s="50" t="inlineStr">
        <is>
          <t>n/a</t>
        </is>
      </c>
      <c r="F117" s="53" t="inlineStr">
        <is>
          <t>n/a (works on others' hog lines)</t>
        </is>
      </c>
      <c r="G117" s="53" t="inlineStr">
        <is>
          <t>n/a — collects at USDA-inspected plants</t>
        </is>
      </c>
      <c r="H117" s="53" t="inlineStr">
        <is>
          <t>Not researched — they are operators, not slaughter plants</t>
        </is>
      </c>
      <c r="I117" s="53" t="inlineStr">
        <is>
          <t>Not verified — ask directly; casings are widely exported so export documentation experience is likely</t>
        </is>
      </c>
      <c r="J117" s="53" t="inlineStr">
        <is>
          <t>Long-established casings house; merged with Oversea Casing 2018</t>
        </is>
      </c>
      <c r="K117" s="53" t="inlineStr">
        <is>
          <t>⭐ Same model: own crews recovering ONE tissue (intestine/casings) under written protocol inside third-party plants</t>
        </is>
      </c>
      <c r="L117" s="53" t="inlineStr">
        <is>
          <t>They ARE Model A — at industrial scale, already proven</t>
        </is>
      </c>
      <c r="M117" s="110" t="inlineStr">
        <is>
          <t>NO</t>
        </is>
      </c>
      <c r="N117" s="53" t="inlineStr">
        <is>
          <t>n/a — they are an operator, not a host</t>
        </is>
      </c>
      <c r="O117" s="53" t="inlineStr">
        <is>
          <t>San Antonio, TX (find current number via company site)</t>
        </is>
      </c>
      <c r="P117" s="54" t="inlineStr">
        <is>
          <t>★★ PRIORITY
CONTACT</t>
        </is>
      </c>
      <c r="Q117" s="49" t="inlineStr">
        <is>
          <t>Med</t>
        </is>
      </c>
      <c r="R117"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R4"/>
  <mergeCells count="21">
    <mergeCell ref="A31:Q31"/>
    <mergeCell ref="A77:Q77"/>
    <mergeCell ref="A83:Q83"/>
    <mergeCell ref="A59:Q59"/>
    <mergeCell ref="A51:Q51"/>
    <mergeCell ref="A1:Q1"/>
    <mergeCell ref="A103:Q103"/>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7.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6" customWidth="1" style="59" min="4" max="4"/>
    <col width="30" customWidth="1" style="59" min="5" max="6"/>
    <col width="30" customWidth="1" style="59" min="6" max="6"/>
    <col width="22" customWidth="1" style="59" min="7" max="7"/>
    <col width="9" customWidth="1" style="59" min="8" max="8"/>
    <col width="40"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Since 1990; USDA federally-inspected abattoir sourcing; markets 'ethically harvested'.</t>
        </is>
      </c>
      <c r="G6" s="68" t="inlineStr">
        <is>
          <t>animalbiotech.com · 215-766-7413</t>
        </is>
      </c>
      <c r="H6" s="68" t="inlineStr">
        <is>
          <t>High</t>
        </is>
      </c>
      <c r="I6" s="29" t="inlineStr">
        <is>
          <t>APHIS REQUIRED for EU. RISKY — USDA-inspected sourcing + Class B, but no ISO/APHIS/export docs published</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85.40000000000001"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STRONG QMS: ISO 13485 + ISO 9001; ISO 22442-2, 21 CFR 820 &amp; 58; USDA Class A Breeders License; ante-/post-mortem inspection. Woman-owned, since 2007.</t>
        </is>
      </c>
      <c r="G8" s="68" t="inlineStr">
        <is>
          <t>tissue-source.com · 765-746-6679</t>
        </is>
      </c>
      <c r="H8" s="68" t="inlineStr">
        <is>
          <t>High</t>
        </is>
      </c>
      <c r="I8" s="31" t="inlineStr">
        <is>
          <t>APHIS REQUIRED for EU. OK (best) — ISO 13485 + 22442-2, USDA Class A, animal traceability; confirm establishment APHIS/TRACES listing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58.6"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Porcine-only abattoir; High Health Herd.</t>
        </is>
      </c>
      <c r="G17" s="68" t="inlineStr">
        <is>
          <t>midwestresearchswine.com</t>
        </is>
      </c>
      <c r="H17" s="68" t="inlineStr">
        <is>
          <t>High</t>
        </is>
      </c>
      <c r="I17" s="31" t="inlineStr">
        <is>
          <t>APHIS REQUIRED for EU. OK (strong) — ISO 13485 + 22442-2, USDA Class B/R, own harvest, ships internationally; confirm TRACES listing</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45.2"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31.8"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31.8"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31.8"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31.8" customHeight="1" s="59">
      <c r="A22" s="74" t="inlineStr">
        <is>
          <t>Total cost per visit</t>
        </is>
      </c>
      <c r="C22" s="125">
        <f>C21+C11+C19*C6</f>
        <v/>
      </c>
      <c r="D22" s="73">
        <f>fixed+transport + harvester labor + inventory * blocks.</f>
        <v/>
      </c>
    </row>
    <row r="23" ht="31.8" customHeight="1" s="59">
      <c r="A23" s="78" t="inlineStr">
        <is>
          <t>★ TOTAL COST PER BLOCK</t>
        </is>
      </c>
      <c r="C23" s="126">
        <f>IF(C6&gt;0,C22/C6,0)</f>
        <v/>
      </c>
      <c r="D23" s="73">
        <f>total cost per visit / blocks. Your self-harvest unit cost.</f>
        <v/>
      </c>
    </row>
    <row r="24" ht="31.8" customHeight="1" s="59">
      <c r="A24" s="74" t="inlineStr">
        <is>
          <t>Memo: harvester labor per block</t>
        </is>
      </c>
      <c r="C24" s="125">
        <f>IF(C6&gt;0,C11/C6,0)</f>
        <v/>
      </c>
      <c r="D24" s="73">
        <f>(min/block / 60) * crew * rate.</f>
        <v/>
      </c>
    </row>
    <row r="25" ht="31.8"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25.6"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72"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72"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72"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72"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72"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72"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72"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7"/>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sheetData>
  <mergeCells count="55">
    <mergeCell ref="A25:C25"/>
    <mergeCell ref="B62:C62"/>
    <mergeCell ref="A37:C37"/>
    <mergeCell ref="B46:C46"/>
    <mergeCell ref="A56:C56"/>
    <mergeCell ref="B22:C22"/>
    <mergeCell ref="A27:C27"/>
    <mergeCell ref="B66:C66"/>
    <mergeCell ref="A55:C55"/>
    <mergeCell ref="A50:C50"/>
    <mergeCell ref="A57:C57"/>
    <mergeCell ref="A26:C26"/>
    <mergeCell ref="A2:C2"/>
    <mergeCell ref="B43:C43"/>
    <mergeCell ref="B12:C12"/>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B41:C41"/>
    <mergeCell ref="A7:C7"/>
    <mergeCell ref="A54:C5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showGridLines="0" workbookViewId="0">
      <selection activeCell="A1" sqref="A1:C1"/>
    </sheetView>
  </sheetViews>
  <sheetFormatPr baseColWidth="8" defaultRowHeight="14.4"/>
  <cols>
    <col width="6" customWidth="1" style="59" min="1" max="1"/>
    <col width="78" customWidth="1" style="59" min="2" max="2"/>
    <col width="40" customWidth="1" style="59" min="3" max="3"/>
  </cols>
  <sheetData>
    <row r="1" ht="25.1" customHeight="1" s="59">
      <c r="A1" s="117" t="inlineStr">
        <is>
          <t>Slaughterhouse Outreach — Call Agenda &amp; Question Sheet</t>
        </is>
      </c>
    </row>
    <row r="2" ht="18.4" customHeight="1" s="59">
      <c r="A2" s="61" t="inlineStr">
        <is>
          <t>One sheet per plant. Fill the YELLOW answer cells on the call, then transfer key data to the roster. Mirror of the CJB agenda style.</t>
        </is>
      </c>
    </row>
    <row r="3" ht="15" customHeight="1" s="59"/>
    <row r="4" ht="18.4" customHeight="1" s="59">
      <c r="A4" s="43" t="n"/>
      <c r="B4" s="1" t="inlineStr">
        <is>
          <t>Plant / contact</t>
        </is>
      </c>
      <c r="C4" s="5" t="n"/>
    </row>
    <row r="5" ht="18.4" customHeight="1" s="59">
      <c r="A5" s="43" t="n"/>
      <c r="B5" s="1" t="inlineStr">
        <is>
          <t>Phone / email</t>
        </is>
      </c>
      <c r="C5" s="5" t="n"/>
    </row>
    <row r="6" ht="18.4" customHeight="1" s="59">
      <c r="A6" s="43" t="n"/>
      <c r="B6" s="1" t="inlineStr">
        <is>
          <t>Date of call / caller</t>
        </is>
      </c>
      <c r="C6" s="5" t="n"/>
    </row>
    <row r="7" ht="15" customHeight="1" s="59"/>
    <row r="8" ht="19.7" customHeight="1" s="59">
      <c r="A8" s="120" t="inlineStr">
        <is>
          <t>A. HARD GATE — volume &amp; species</t>
        </is>
      </c>
    </row>
    <row r="9" ht="18.4" customHeight="1" s="59">
      <c r="A9" s="40" t="inlineStr">
        <is>
          <t>#</t>
        </is>
      </c>
      <c r="B9" s="40" t="inlineStr">
        <is>
          <t>Question</t>
        </is>
      </c>
      <c r="C9" s="40" t="inlineStr">
        <is>
          <t>Answer / Notes</t>
        </is>
      </c>
    </row>
    <row r="10" ht="18.4" customHeight="1" s="59">
      <c r="A10" s="45" t="n">
        <v>1</v>
      </c>
      <c r="B10" s="68" t="inlineStr">
        <is>
          <t>Do you slaughter HOGS (swine)?  Beef/other only?</t>
        </is>
      </c>
      <c r="C10" s="5" t="n"/>
    </row>
    <row r="11" ht="18.4" customHeight="1" s="59">
      <c r="A11" s="45" t="n">
        <v>2</v>
      </c>
      <c r="B11" s="68" t="inlineStr">
        <is>
          <t>How many hogs per WEEK do you kill (range across the year)?  Head/day x days?</t>
        </is>
      </c>
      <c r="C11" s="5" t="n"/>
    </row>
    <row r="12" ht="18.4" customHeight="1" s="59">
      <c r="A12" s="45" t="n">
        <v>3</v>
      </c>
      <c r="B12" s="68" t="inlineStr">
        <is>
          <t>Is that steady year-round, or seasonal? Any capacity to add head for us?</t>
        </is>
      </c>
      <c r="C12" s="5" t="n"/>
    </row>
    <row r="13" ht="15" customHeight="1" s="59"/>
    <row r="14" ht="19.7" customHeight="1" s="59">
      <c r="A14" s="120" t="inlineStr">
        <is>
          <t>B. Inspection &amp; certification</t>
        </is>
      </c>
    </row>
    <row r="15" ht="18.4" customHeight="1" s="59">
      <c r="A15" s="40" t="inlineStr">
        <is>
          <t>#</t>
        </is>
      </c>
      <c r="B15" s="40" t="inlineStr">
        <is>
          <t>Question</t>
        </is>
      </c>
      <c r="C15" s="40" t="inlineStr">
        <is>
          <t>Answer / Notes</t>
        </is>
      </c>
    </row>
    <row r="16" ht="18.4" customHeight="1" s="59">
      <c r="A16" s="45" t="n">
        <v>1</v>
      </c>
      <c r="B16" s="68" t="inlineStr">
        <is>
          <t>USDA-inspected (FSIS grant of inspection)?  Establishment number?</t>
        </is>
      </c>
      <c r="C16" s="5" t="n"/>
    </row>
    <row r="17" ht="18.4" customHeight="1" s="59">
      <c r="A17" s="45" t="n">
        <v>2</v>
      </c>
      <c r="B17" s="68" t="inlineStr">
        <is>
          <t>Or state-inspected?  Or custom-exempt?  (We need to know which.)</t>
        </is>
      </c>
      <c r="C17" s="5" t="n"/>
    </row>
    <row r="18" ht="18.4" customHeight="1" s="59">
      <c r="A18" s="45" t="n">
        <v>3</v>
      </c>
      <c r="B18" s="68" t="inlineStr">
        <is>
          <t>APHIS certification / any export or animal-health program status?</t>
        </is>
      </c>
      <c r="C18" s="5" t="n"/>
    </row>
    <row r="19" ht="18.4" customHeight="1" s="59">
      <c r="A19" s="45" t="n">
        <v>4</v>
      </c>
      <c r="B19" s="68" t="inlineStr">
        <is>
          <t>Any recent NRs / recalls / humane-handling actions we should know about?</t>
        </is>
      </c>
      <c r="C19" s="5" t="n"/>
    </row>
    <row r="20" ht="15" customHeight="1" s="59"/>
    <row r="21" ht="19.7" customHeight="1" s="59">
      <c r="A21" s="120" t="inlineStr">
        <is>
          <t>C. Tissue &amp; organ harvesting</t>
        </is>
      </c>
    </row>
    <row r="22" ht="18.4" customHeight="1" s="59">
      <c r="A22" s="40" t="inlineStr">
        <is>
          <t>#</t>
        </is>
      </c>
      <c r="B22" s="40" t="inlineStr">
        <is>
          <t>Question</t>
        </is>
      </c>
      <c r="C22" s="40" t="inlineStr">
        <is>
          <t>Answer / Notes</t>
        </is>
      </c>
    </row>
    <row r="23" ht="18.4" customHeight="1" s="59">
      <c r="A23" s="45" t="n">
        <v>1</v>
      </c>
      <c r="B23" s="68" t="inlineStr">
        <is>
          <t>Can we obtain pelvic / abdominal(bariatric) / thoracic tissue blocks — with the organs?</t>
        </is>
      </c>
      <c r="C23" s="5" t="n"/>
    </row>
    <row r="24" ht="18.4" customHeight="1" s="59">
      <c r="A24" s="45" t="n">
        <v>2</v>
      </c>
      <c r="B24" s="68" t="inlineStr">
        <is>
          <t>Which specific organs are currently saved vs. sent to rendering?</t>
        </is>
      </c>
      <c r="C24" s="5" t="n"/>
    </row>
    <row r="25" ht="18.4" customHeight="1" s="59">
      <c r="A25" s="45" t="n">
        <v>3</v>
      </c>
      <c r="B25" s="68" t="inlineStr">
        <is>
          <t>Any existing organ/tissue/biologics harvesting program? For whom?</t>
        </is>
      </c>
      <c r="C25" s="5" t="n"/>
    </row>
    <row r="26" ht="18.4" customHeight="1" s="59">
      <c r="A26" s="45" t="n">
        <v>4</v>
      </c>
      <c r="B26" s="68" t="inlineStr">
        <is>
          <t>Cooler/hanging space and time-to-chill after kill? (freshness/ischemia window)</t>
        </is>
      </c>
      <c r="C26" s="5" t="n"/>
    </row>
    <row r="27" ht="15" customHeight="1" s="59"/>
    <row r="28" ht="19.7" customHeight="1" s="59">
      <c r="A28" s="120" t="inlineStr">
        <is>
          <t>D. Operating model fit</t>
        </is>
      </c>
    </row>
    <row r="29" ht="18.4" customHeight="1" s="59">
      <c r="A29" s="40" t="inlineStr">
        <is>
          <t>#</t>
        </is>
      </c>
      <c r="B29" s="40" t="inlineStr">
        <is>
          <t>Question</t>
        </is>
      </c>
      <c r="C29" s="40" t="inlineStr">
        <is>
          <t>Answer / Notes</t>
        </is>
      </c>
    </row>
    <row r="30" ht="31.8" customHeight="1" s="59">
      <c r="A30" s="45" t="n">
        <v>1</v>
      </c>
      <c r="B30" s="68" t="inlineStr">
        <is>
          <t>MODEL A: Would you rent us line/floor access + cooler space so OUR harvesters collect on-site? Scheduling around the kill?</t>
        </is>
      </c>
      <c r="C30" s="5" t="n"/>
    </row>
    <row r="31" ht="31.8" customHeight="1" s="59">
      <c r="A31" s="45" t="n">
        <v>2</v>
      </c>
      <c r="B31" s="68" t="inlineStr">
        <is>
          <t>MODEL B: Would YOUR crew harvest to our protocol if we send trainers/inspectors? Willing to be audited?</t>
        </is>
      </c>
      <c r="C31" s="5" t="n"/>
    </row>
    <row r="32" ht="18.4" customHeight="1" s="59">
      <c r="A32" s="45" t="n">
        <v>3</v>
      </c>
      <c r="B32" s="68" t="inlineStr">
        <is>
          <t>Space, PPE, biosecurity, and scheduling constraints for either model?</t>
        </is>
      </c>
      <c r="C32" s="5" t="n"/>
    </row>
    <row r="33" ht="15" customHeight="1" s="59"/>
    <row r="34" ht="19.7" customHeight="1" s="59">
      <c r="A34" s="120" t="inlineStr">
        <is>
          <t>E. Culture &amp; workforce (the Nahunta test)</t>
        </is>
      </c>
    </row>
    <row r="35" ht="18.4" customHeight="1" s="59">
      <c r="A35" s="40" t="inlineStr">
        <is>
          <t>#</t>
        </is>
      </c>
      <c r="B35" s="40" t="inlineStr">
        <is>
          <t>Question</t>
        </is>
      </c>
      <c r="C35" s="40" t="inlineStr">
        <is>
          <t>Answer / Notes</t>
        </is>
      </c>
    </row>
    <row r="36" ht="18.4" customHeight="1" s="59">
      <c r="A36" s="45" t="n">
        <v>1</v>
      </c>
      <c r="B36" s="68" t="inlineStr">
        <is>
          <t>How long have your line/kill-floor staff been with you (tenure)?</t>
        </is>
      </c>
      <c r="C36" s="5" t="n"/>
    </row>
    <row r="37" ht="18.4" customHeight="1" s="59">
      <c r="A37" s="45" t="n">
        <v>2</v>
      </c>
      <c r="B37" s="68" t="inlineStr">
        <is>
          <t>Family-owned? How do you handle animal welfare &amp; humane handling?</t>
        </is>
      </c>
      <c r="C37" s="5" t="n"/>
    </row>
    <row r="38" ht="31.8" customHeight="1" s="59">
      <c r="A38" s="45" t="n">
        <v>3</v>
      </c>
      <c r="B38" s="68" t="inlineStr">
        <is>
          <t>When we've had quality issues elsewhere it was hard to resolve — how do you handle a quality complaint?</t>
        </is>
      </c>
      <c r="C38" s="5" t="n"/>
    </row>
    <row r="39" ht="15" customHeight="1" s="59"/>
    <row r="40" ht="19.7" customHeight="1" s="59">
      <c r="A40" s="120" t="inlineStr">
        <is>
          <t>F. Commercial</t>
        </is>
      </c>
    </row>
    <row r="41" ht="18.4" customHeight="1" s="59">
      <c r="A41" s="40" t="inlineStr">
        <is>
          <t>#</t>
        </is>
      </c>
      <c r="B41" s="40" t="inlineStr">
        <is>
          <t>Question</t>
        </is>
      </c>
      <c r="C41" s="40" t="inlineStr">
        <is>
          <t>Answer / Notes</t>
        </is>
      </c>
    </row>
    <row r="42" ht="18.4" customHeight="1" s="59">
      <c r="A42" s="45" t="n">
        <v>1</v>
      </c>
      <c r="B42" s="68" t="inlineStr">
        <is>
          <t>Pricing: per-visit access/rental (Model A) or per-piece harvest fee (Model B)?</t>
        </is>
      </c>
      <c r="C42" s="5" t="n"/>
    </row>
    <row r="43" ht="18.4" customHeight="1" s="59">
      <c r="A43" s="45" t="n">
        <v>2</v>
      </c>
      <c r="B43" s="68" t="inlineStr">
        <is>
          <t>Minimums, lead time, and how far ahead we must schedule?</t>
        </is>
      </c>
      <c r="C43" s="5" t="n"/>
    </row>
    <row r="44" ht="18.4" customHeight="1" s="59">
      <c r="A44" s="45" t="n">
        <v>3</v>
      </c>
      <c r="B44" s="68" t="inlineStr">
        <is>
          <t>NDA needed before we share our harvesting protocol?</t>
        </is>
      </c>
      <c r="C44" s="5" t="n"/>
    </row>
    <row r="45" ht="15" customHeight="1" s="59"/>
    <row r="46" ht="19.7" customHeight="1" s="59">
      <c r="A46" s="120" t="inlineStr">
        <is>
          <t>G. EU-EXPORT ELIGIBILITY — APHIS / animal by-products (ask if models go to Europe)</t>
        </is>
      </c>
    </row>
    <row r="47" ht="18.4" customHeight="1" s="59">
      <c r="A47" s="40" t="inlineStr">
        <is>
          <t>#</t>
        </is>
      </c>
      <c r="B47" s="40" t="inlineStr">
        <is>
          <t>Question</t>
        </is>
      </c>
      <c r="C47" s="40" t="inlineStr">
        <is>
          <t>Answer / Notes</t>
        </is>
      </c>
    </row>
    <row r="48" ht="31.8" customHeight="1" s="59">
      <c r="A48" s="45" t="n">
        <v>1</v>
      </c>
      <c r="B48" s="68" t="inlineStr">
        <is>
          <t>Are you already APHIS-approved and on the EU TRACES establishment list for animal-byproduct export? If not, willing to apply via APHIS VS?</t>
        </is>
      </c>
      <c r="C48" s="5" t="n"/>
    </row>
    <row r="49" ht="18.4" customHeight="1" s="59">
      <c r="A49" s="45" t="n">
        <v>2</v>
      </c>
      <c r="B49" s="68" t="inlineStr">
        <is>
          <t>Can you document ante-mortem AND post-mortem veterinary inspection of the animals?</t>
        </is>
      </c>
      <c r="C49" s="5" t="n"/>
    </row>
    <row r="50" ht="31.8" customHeight="1" s="59">
      <c r="A50" s="45" t="n">
        <v>3</v>
      </c>
      <c r="B50" s="68" t="inlineStr">
        <is>
          <t>Can you provide the source declarations/affidavits APHIS needs to endorse an EU health certificate, with per-lot documentation?</t>
        </is>
      </c>
      <c r="C50" s="5" t="n"/>
    </row>
    <row r="51" ht="31.8" customHeight="1" s="59">
      <c r="A51" s="45" t="n">
        <v>4</v>
      </c>
      <c r="B51" s="68" t="inlineStr">
        <is>
          <t>Lot-level traceability (live animal -&gt; tissue -&gt; shipment) and geographical-origin records retained?</t>
        </is>
      </c>
      <c r="C51" s="5" t="n"/>
    </row>
    <row r="52" ht="31.8" customHeight="1" s="59">
      <c r="A52" s="45" t="n">
        <v>5</v>
      </c>
      <c r="B52" s="68" t="inlineStr">
        <is>
          <t>Willing to support APHIS facility audits and (if a device) notified-body / ISO 22442 documentation?</t>
        </is>
      </c>
      <c r="C52" s="5" t="n"/>
    </row>
    <row r="53" ht="15" customHeight="1" s="59"/>
    <row r="54" ht="19.7" customHeight="1" s="59">
      <c r="A54" s="100" t="inlineStr">
        <is>
          <t>H. PROXIMITY / LOGISTICS (Model A)</t>
        </is>
      </c>
    </row>
    <row r="55" ht="31.8" customHeight="1" s="59">
      <c r="A55" s="129" t="n">
        <v>1</v>
      </c>
      <c r="B55" s="115" t="inlineStr">
        <is>
          <t>Exact plant address — we measure drive distance from our base (120-mile radius preferred for Model A).</t>
        </is>
      </c>
      <c r="C55" s="116" t="inlineStr"/>
    </row>
    <row r="56" ht="18.4" customHeight="1" s="59">
      <c r="A56" s="129" t="n">
        <v>2</v>
      </c>
      <c r="B56" s="115" t="inlineStr">
        <is>
          <t>Could our crew work a same-day round trip, or would this need overnight stays?</t>
        </is>
      </c>
      <c r="C56" s="116" t="inlineStr"/>
    </row>
    <row r="57" ht="18.4" customHeight="1" s="59">
      <c r="A57" s="129" t="n">
        <v>3</v>
      </c>
      <c r="B57" s="115" t="inlineStr">
        <is>
          <t>Are there other hog plants nearby that our crew could serve on the same trip?</t>
        </is>
      </c>
      <c r="C57" s="116" t="inlineStr"/>
    </row>
  </sheetData>
  <mergeCells count="10">
    <mergeCell ref="A28:C28"/>
    <mergeCell ref="A1:C1"/>
    <mergeCell ref="A46:C46"/>
    <mergeCell ref="A8:C8"/>
    <mergeCell ref="A14:C14"/>
    <mergeCell ref="A40:C40"/>
    <mergeCell ref="A21:C21"/>
    <mergeCell ref="A34:C34"/>
    <mergeCell ref="A54:C54"/>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6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31.8" customHeight="1" s="59">
      <c r="A5" s="4" t="inlineStr">
        <is>
          <t>National vendor prices</t>
        </is>
      </c>
      <c r="B5" s="68" t="inlineStr">
        <is>
          <t>innov-research.com porcine product pages (heart/lung/kidney/bladder/liver/stomach/pelvic-block)</t>
        </is>
      </c>
      <c r="C5" s="46" t="inlineStr">
        <is>
          <t>High</t>
        </is>
      </c>
      <c r="D5" s="68" t="inlineStr">
        <is>
          <t>Only vendor with published per-organ list prices: from $141/organ, pelvic block from $582 (base configs).</t>
        </is>
      </c>
    </row>
    <row r="6" ht="31.8" customHeight="1" s="59">
      <c r="A6" s="4" t="inlineStr">
        <is>
          <t>Pel-Freez thyroid price</t>
        </is>
      </c>
      <c r="B6" s="68" t="inlineStr">
        <is>
          <t>pel-freez.com/pig-thyroid-59452</t>
        </is>
      </c>
      <c r="C6" s="46" t="inlineStr">
        <is>
          <t>High</t>
        </is>
      </c>
      <c r="D6" s="68" t="inlineStr">
        <is>
          <t>Porcine thyroid #59452 from $361; other porcine organ prices not individually verified.</t>
        </is>
      </c>
    </row>
    <row r="7" ht="18.4" customHeight="1" s="59">
      <c r="A7" s="4" t="inlineStr">
        <is>
          <t>Animal Technologies</t>
        </is>
      </c>
      <c r="B7" s="68" t="inlineStr">
        <is>
          <t>animaltechnologies.com/porcine</t>
        </is>
      </c>
      <c r="C7" s="46" t="inlineStr">
        <is>
          <t>High</t>
        </is>
      </c>
      <c r="D7" s="68" t="inlineStr">
        <is>
          <t>Broad catalog, plucks for training; prices quote-only.</t>
        </is>
      </c>
    </row>
    <row r="8" ht="18.4" customHeight="1" s="59">
      <c r="A8" s="4" t="inlineStr">
        <is>
          <t>Animal Biotech Industries</t>
        </is>
      </c>
      <c r="B8" s="68" t="inlineStr">
        <is>
          <t>animalbiotech.com/porcine-tissues</t>
        </is>
      </c>
      <c r="C8" s="46" t="inlineStr">
        <is>
          <t>High</t>
        </is>
      </c>
      <c r="D8" s="68" t="inlineStr">
        <is>
          <t>USDA-inspected sourcing; custom blocks; quote-only.</t>
        </is>
      </c>
    </row>
    <row r="9" ht="31.8" customHeight="1" s="59">
      <c r="A9" s="4" t="inlineStr">
        <is>
          <t>Tissue Source</t>
        </is>
      </c>
      <c r="B9" s="68" t="inlineStr">
        <is>
          <t>tissue-source.com</t>
        </is>
      </c>
      <c r="C9" s="46" t="inlineStr">
        <is>
          <t>High</t>
        </is>
      </c>
      <c r="D9" s="68" t="inlineStr">
        <is>
          <t>ISO 13485 + USDA Class A license — strongest QMS among vendors; quote-only.</t>
        </is>
      </c>
    </row>
    <row r="10" ht="18.4" customHeight="1" s="59">
      <c r="A10" s="4" t="inlineStr">
        <is>
          <t>Smithfield BioScience</t>
        </is>
      </c>
      <c r="B10" s="68" t="inlineStr">
        <is>
          <t>smithfieldbioscience.com/products/porcine</t>
        </is>
      </c>
      <c r="C10" s="46" t="inlineStr">
        <is>
          <t>High</t>
        </is>
      </c>
      <c r="D10" s="68" t="inlineStr">
        <is>
          <t>Packer-integrated; quote-only.</t>
        </is>
      </c>
    </row>
    <row r="11" ht="18.4" customHeight="1" s="59">
      <c r="A11" s="4" t="inlineStr">
        <is>
          <t>WG Biomedical</t>
        </is>
      </c>
      <c r="B11" s="68" t="inlineStr">
        <is>
          <t>wgbiomedical.com</t>
        </is>
      </c>
      <c r="C11" s="46" t="inlineStr">
        <is>
          <t>High</t>
        </is>
      </c>
      <c r="D11" s="68" t="inlineStr">
        <is>
          <t>Iowa; pig pluck &amp; surgical-training organs; quote-only.</t>
        </is>
      </c>
    </row>
    <row r="12" ht="31.8" customHeight="1" s="59">
      <c r="A12" s="4" t="inlineStr">
        <is>
          <t>LAMPIRE / BioChemed / BioIVT / Sierra / SSR / MRS</t>
        </is>
      </c>
      <c r="B12" s="68" t="inlineStr">
        <is>
          <t>respective vendor sites (see National tab)</t>
        </is>
      </c>
      <c r="C12" s="46" t="inlineStr">
        <is>
          <t>High</t>
        </is>
      </c>
      <c r="D12" s="68" t="inlineStr">
        <is>
          <t>All genuinely quote-only; no invented prices.</t>
        </is>
      </c>
    </row>
    <row r="13" ht="31.8" customHeight="1" s="59">
      <c r="A13" s="4" t="inlineStr">
        <is>
          <t>Cross-off leads</t>
        </is>
      </c>
      <c r="B13" s="68" t="inlineStr">
        <is>
          <t>premierbiosource.com; sciencecare.com; zivic listing</t>
        </is>
      </c>
      <c r="C13" s="46" t="inlineStr">
        <is>
          <t>High</t>
        </is>
      </c>
      <c r="D13" s="68" t="inlineStr">
        <is>
          <t>Premier=live swine; Science Care=human; Zivic=rodent — all out of scope as porcine tissue vendors.</t>
        </is>
      </c>
    </row>
    <row r="14" ht="45.2" customHeight="1" s="59">
      <c r="A14" s="4" t="inlineStr">
        <is>
          <t>NC plant directory</t>
        </is>
      </c>
      <c r="B14" s="68" t="inlineStr">
        <is>
          <t>NCDA&amp;CS Meat &amp; Poultry Inspection 'plants that slaughter for farmers' (via cefs.ncsu.edu PDF, dated Oct 2018); div. 919-707-3180</t>
        </is>
      </c>
      <c r="C14" s="47" t="inlineStr">
        <is>
          <t>Med</t>
        </is>
      </c>
      <c r="D14" s="68" t="inlineStr">
        <is>
          <t>Backbone of the NC list. Dated 2018 — confirm current operating status/volumes by phone. USDA-vs-state status verified only where noted.</t>
        </is>
      </c>
    </row>
    <row r="15" ht="58.6" customHeight="1" s="59">
      <c r="A15" s="4" t="inlineStr">
        <is>
          <t>Martin's Pork Products (incumbent)</t>
        </is>
      </c>
      <c r="B15" s="68" t="inlineStr">
        <is>
          <t>NCDA&amp;CS Talmadge-Aiken plant directory (Est. TA-6720); ncmpa.com; D&amp;B/Manta; martinspork.com</t>
        </is>
      </c>
      <c r="C15" s="46" t="inlineStr">
        <is>
          <t>High</t>
        </is>
      </c>
      <c r="D15" s="68" t="inlineStr">
        <is>
          <t>CORRECTED to Martin's Pork Products, Falcon NC — active USDA T-A slaughter+processing, ~75 staff, (910) 980-1501, beth@martinspork.com. Distinct from the closed Martin's Abattoir (Godwin, cattle, closed 2013).</t>
        </is>
      </c>
    </row>
    <row r="16" ht="31.8" customHeight="1" s="59">
      <c r="A16" s="4" t="inlineStr">
        <is>
          <t>Nahunta</t>
        </is>
      </c>
      <c r="B16" s="68" t="inlineStr">
        <is>
          <t>southernfoodways.org; nahuntapork.com; bitandgrain.com</t>
        </is>
      </c>
      <c r="C16" s="46" t="inlineStr">
        <is>
          <t>High</t>
        </is>
      </c>
      <c r="D16" s="68" t="inlineStr">
        <is>
          <t>Nahunta = NC STATE-inspected (not USDA-FSIS), ~150 hogs/day, 3rd-gen Pierce family.</t>
        </is>
      </c>
    </row>
    <row r="17" ht="45.2" customHeight="1" s="59">
      <c r="A17" s="4" t="inlineStr">
        <is>
          <t>SC facilities</t>
        </is>
      </c>
      <c r="B17" s="68" t="inlineStr">
        <is>
          <t>caughmans.com; knockoutbutchery.com; FSIS notice (Palmetto Fresh suspension); Clemson SCMPID lists (803-788-8747)</t>
        </is>
      </c>
      <c r="C17" s="47" t="inlineStr">
        <is>
          <t>Med</t>
        </is>
      </c>
      <c r="D17" s="68" t="inlineStr">
        <is>
          <t>Caughman's USDA + family verified; several SC 'deer &amp; hog' shops likely custom-exempt — flag. Palmetto Fresh slaughter suspended Feb 2022.</t>
        </is>
      </c>
    </row>
    <row r="18" ht="31.8" customHeight="1" s="59">
      <c r="A18" s="4" t="inlineStr">
        <is>
          <t>TN facilities</t>
        </is>
      </c>
      <c r="B18" s="68" t="inlineStr">
        <is>
          <t>UT Center for Profitable Agriculture USDA-processor list (cpa.tennessee.edu); company sites</t>
        </is>
      </c>
      <c r="C18" s="47" t="inlineStr">
        <is>
          <t>Med</t>
        </is>
      </c>
      <c r="D18" s="68" t="inlineStr">
        <is>
          <t>13 USDA hog-slaughter shops listed. Cherry Meat ~80 hogs/month verified. Most well under a few hundred/wk — confirm.</t>
        </is>
      </c>
    </row>
    <row r="19" ht="45.2" customHeight="1" s="59">
      <c r="A19" s="4" t="inlineStr">
        <is>
          <t>VA facilities</t>
        </is>
      </c>
      <c r="B19" s="68" t="inlineStr">
        <is>
          <t>ecofriendly.com; temeats.com; blueridgemeats.com; FSIS listing (Fauquier's); VDACS (omps@vdacs.virginia.gov, 804-786-4569); vabeef.org</t>
        </is>
      </c>
      <c r="C19" s="46" t="inlineStr">
        <is>
          <t>High</t>
        </is>
      </c>
      <c r="D19" s="68" t="inlineStr">
        <is>
          <t>EcoFriendly Certified Humane; T&amp;E + Blue Ridge AWA — all verified USDA + hog slaughter. Strongest welfare bench.</t>
        </is>
      </c>
    </row>
    <row r="20" ht="45.2" customHeight="1" s="59">
      <c r="A20" s="4" t="inlineStr">
        <is>
          <t>Iowa / Midwest</t>
        </is>
      </c>
      <c r="B20" s="68" t="inlineStr">
        <is>
          <t>postbulletin.com (MRS); smithfieldbioscience.com; proteinintel.com (FSIS est. data); lorentzmeats.com; sigiowa.com; eickmans.com</t>
        </is>
      </c>
      <c r="C20" s="46" t="inlineStr">
        <is>
          <t>Med-High</t>
        </is>
      </c>
      <c r="D20" s="68" t="inlineStr">
        <is>
          <t>MRS ~20k/yr verified; Smithfield BioScience organ program verified. Large-packer biologics programs (Seaboard/Prestage/Wholestone) NOT confirmed — do not assume.</t>
        </is>
      </c>
    </row>
    <row r="21" ht="45.2" customHeight="1" s="59">
      <c r="A21" s="4" t="inlineStr">
        <is>
          <t>Authoritative confirmation source</t>
        </is>
      </c>
      <c r="B21" s="68" t="inlineStr">
        <is>
          <t>USDA FSIS MPI Directory + Establishment Demographic Data — fsis.usda.gov/inspection/establishments</t>
        </is>
      </c>
      <c r="C21" s="46" t="inlineStr">
        <is>
          <t>High</t>
        </is>
      </c>
      <c r="D21" s="68" t="inlineStr">
        <is>
          <t>Lists species slaughtered + size class per establishment, updated weekly. FSIS blocked automated fetches (Akamai 403) — pull via browser or the 'USDA MPI Directory' mobile app.</t>
        </is>
      </c>
    </row>
    <row r="22" ht="45.2" customHeight="1" s="59">
      <c r="A22" s="4" t="inlineStr">
        <is>
          <t>APHIS vs FSIS vs state inspection</t>
        </is>
      </c>
      <c r="B22" s="68" t="inlineStr">
        <is>
          <t>aphis.usda.gov/animal-product-export (IREGS); fsis.usda.gov/inspection/import-export</t>
        </is>
      </c>
      <c r="C22" s="46" t="inlineStr">
        <is>
          <t>High</t>
        </is>
      </c>
      <c r="D22" s="68" t="inlineStr">
        <is>
          <t>Three distinct regimes. APHIS Veterinary Services (not FSIS) is the export pathway for non-food tissue; a state-inspected plant is NOT disqualified from it.</t>
        </is>
      </c>
    </row>
    <row r="23" ht="58.6" customHeight="1" s="59">
      <c r="A23" s="4" t="inlineStr">
        <is>
          <t>EU animal by-products law</t>
        </is>
      </c>
      <c r="B23" s="68" t="inlineStr">
        <is>
          <t>EUR-Lex Reg (EC) 1069/2009; Reg (EU) 142/2011 (legislation.gov.uk consolidated); Annex XIV via Reg (EU) 2022/384</t>
        </is>
      </c>
      <c r="C23" s="46" t="inlineStr">
        <is>
          <t>High</t>
        </is>
      </c>
      <c r="D23" s="68" t="inlineStr">
        <is>
          <t>Governs import of porcine tissue not for human consumption. Typically Category 3; US is a listed third country; origin establishment must be APHIS-listed on TRACES; APHIS-VS-endorsed model health certificate required.</t>
        </is>
      </c>
    </row>
    <row r="24" ht="58.6" customHeight="1" s="59">
      <c r="A24" s="4" t="inlineStr">
        <is>
          <t>EU medical-device angle</t>
        </is>
      </c>
      <c r="B24" s="68" t="inlineStr">
        <is>
          <t>MDR (EU) 2017/745 Annex I 13.1; Reg (EU) 722/2012 (legislation.gov.uk); ISO 22442 (practice)</t>
        </is>
      </c>
      <c r="C24" s="46" t="inlineStr">
        <is>
          <t>High</t>
        </is>
      </c>
      <c r="D24" s="68" t="inlineStr">
        <is>
          <t>722/2012 (TSE) does NOT cover porcine (bovine/ovine/caprine/deer/elk/mink/cats only). Porcine devices fall under MDR general animal-origin requirements. A training 'model' may not be a device at all — classification call for a specialist/notified body.</t>
        </is>
      </c>
    </row>
    <row r="25" ht="45.2" customHeight="1" s="59">
      <c r="A25" s="4" t="inlineStr">
        <is>
          <t>APHIS / EU — caveat</t>
        </is>
      </c>
      <c r="B25" s="68" t="inlineStr">
        <is>
          <t>APHIS VS Field Operations / Veterinary Export Trade Services; EU importer; notified body</t>
        </is>
      </c>
      <c r="C25" s="47" t="inlineStr">
        <is>
          <t>Med</t>
        </is>
      </c>
      <c r="D25" s="68" t="inlineStr">
        <is>
          <t>NOT legal advice. Exact ABP category, CN code, and 142/2011 model certificate must be confirmed per product line with APHIS VS and a customs/regulatory specialist.</t>
        </is>
      </c>
    </row>
    <row r="26" ht="58.6" customHeight="1" s="59">
      <c r="A26" s="4" t="inlineStr">
        <is>
          <t>USDA/FSIS enforcement (per facility)</t>
        </is>
      </c>
      <c r="B26" s="68" t="inlineStr">
        <is>
          <t>FSIS Quarterly Enforcement Reports &amp; NOS/NOIE PDFs; AWI Humane Slaughter suspension list; PETA/ASPCA releases; local news</t>
        </is>
      </c>
      <c r="C26" s="46" t="inlineStr">
        <is>
          <t>Med-High</t>
        </is>
      </c>
      <c r="D26"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58.6" customHeight="1" s="59">
      <c r="A27" s="4" t="inlineStr">
        <is>
          <t>Export / APHIS lookup sites</t>
        </is>
      </c>
      <c r="B27" s="68" t="inlineStr">
        <is>
          <t>FSIS 'Eligible Establishments by Country' + EU page; FSIS MPI directory; APHIS Export-to-EU (VS); EU TRACES-NT; usda-eu.org</t>
        </is>
      </c>
      <c r="C27" s="46" t="inlineStr">
        <is>
          <t>High</t>
        </is>
      </c>
      <c r="D27" s="68" t="inlineStr">
        <is>
          <t>The authoritative places to check export/APHIS listing yourself (see 'APHIS &amp; EU Export' tab). No facility confirmed EU/APHIS-listed for research tissue; 6 large plants FSIS export-certified for edible meat only.</t>
        </is>
      </c>
    </row>
    <row r="28" ht="45.2" customHeight="1" s="59">
      <c r="A28" s="4" t="inlineStr">
        <is>
          <t>National vendors × EU export</t>
        </is>
      </c>
      <c r="B28" s="68" t="inlineStr">
        <is>
          <t>Vendor sites (ISO/USDA claims); Reg (EC) 1069/2009 &amp; (EU) 142/2011; MDR Annex I 13.1 / ISO 22442</t>
        </is>
      </c>
      <c r="C28" s="46" t="inlineStr">
        <is>
          <t>Med-High</t>
        </is>
      </c>
      <c r="D28"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91"/>
  <sheetViews>
    <sheetView showGridLines="0" workbookViewId="0">
      <selection activeCell="B30" sqref="B30"/>
    </sheetView>
  </sheetViews>
  <sheetFormatPr baseColWidth="8" defaultRowHeight="14.4"/>
  <cols>
    <col width="30" customWidth="1" style="59" min="1" max="1"/>
    <col width="22" customWidth="1" style="59" min="2" max="2"/>
    <col width="30" customWidth="1" style="59" min="3" max="3"/>
    <col width="24" customWidth="1" style="59" min="4" max="4"/>
    <col width="17" customWidth="1" style="59" min="5" max="5"/>
    <col width="13" customWidth="1" style="59" min="6" max="6"/>
    <col width="5" customWidth="1" style="59" min="7" max="7"/>
    <col width="78" customWidth="1" style="59" min="8" max="8"/>
  </cols>
  <sheetData>
    <row r="1" ht="25.1" customHeight="1" s="59">
      <c r="A1" s="117" t="inlineStr">
        <is>
          <t>Deep Study — Multi-Agent Re-Research with Adversarial Verification</t>
        </is>
      </c>
    </row>
    <row r="2" ht="18.4" customHeight="1" s="59">
      <c r="A2" s="61" t="inlineStr">
        <is>
          <t>21 agents · 121 facility records · 10 candidates adversarially verified (agents told to REFUTE, not confirm) · ~2.0M tokens, 1,091 tool calls, 0 errors.  Verdicts here OVERRIDE the earlier tabs where they conflict.</t>
        </is>
      </c>
    </row>
    <row r="3" ht="31.8" customHeight="1" s="59">
      <c r="A3" s="91" t="inlineStr">
        <is>
          <t>⚠ POINT-IN-TIME RECORD. This tab captures the deep study as it stood before two later policy changes: (1) capacity was OPENED and replaced by four volume tiers, so references below to a 200–3,000/wk band are historical; (2) APHIS was confirmed to be required of DIRECT TISSUE SUPPLIERS only, and NC state inspection accepted as equivalent, so Nahunta IS exportable. Where this tab conflicts with the Overview, Legend or APHIS tab, those tabs win.</t>
        </is>
      </c>
    </row>
    <row r="4" ht="15" customHeight="1" s="59"/>
    <row r="5" ht="19.7" customHeight="1" s="59">
      <c r="A5" s="118" t="inlineStr">
        <is>
          <t>KEY FINDINGS  (ranked by decision impact)</t>
        </is>
      </c>
    </row>
    <row r="6" ht="31.8" customHeight="1" s="59">
      <c r="A6"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7" ht="31.8" customHeight="1" s="59">
      <c r="A7" s="58"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8" ht="31.8" customHeight="1" s="59">
      <c r="A8"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9" ht="31.8" customHeight="1" s="59">
      <c r="A9"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10" ht="31.8" customHeight="1" s="59">
      <c r="A10"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1" ht="31.8" customHeight="1" s="59">
      <c r="A11"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2" ht="31.8" customHeight="1" s="59">
      <c r="A12"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3" ht="31.8" customHeight="1" s="59">
      <c r="A13"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4" ht="31.8" customHeight="1" s="59">
      <c r="A14"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5" ht="31.8" customHeight="1" s="59">
      <c r="A15"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6" ht="31.8" customHeight="1" s="59">
      <c r="A16"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5" customHeight="1" s="59"/>
    <row r="18" ht="19.7" customHeight="1" s="59">
      <c r="A18" s="118" t="inlineStr">
        <is>
          <t>WHAT THE VERIFICATION CHANGED  (vs. the first pass)</t>
        </is>
      </c>
    </row>
    <row r="19" ht="45.2" customHeight="1" s="59">
      <c r="A19" s="1" t="inlineStr">
        <is>
          <t>PROMOTED — Nahunta (P-80A)</t>
        </is>
      </c>
      <c r="B19"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9" s="64" t="n"/>
      <c r="D19" s="64" t="n"/>
      <c r="E19" s="64" t="n"/>
      <c r="F19" s="64" t="n"/>
      <c r="G19" s="64" t="n"/>
      <c r="H19" s="65" t="n"/>
    </row>
    <row r="20" ht="45.2" customHeight="1" s="59">
      <c r="A20" s="1" t="inlineStr">
        <is>
          <t>PROMOTED — Martin's Pork Products (TA-6720)</t>
        </is>
      </c>
      <c r="B20"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20" s="64" t="n"/>
      <c r="D20" s="64" t="n"/>
      <c r="E20" s="64" t="n"/>
      <c r="F20" s="64" t="n"/>
      <c r="G20" s="64" t="n"/>
      <c r="H20" s="65" t="n"/>
    </row>
    <row r="21" ht="45.2" customHeight="1" s="59">
      <c r="A21" s="1" t="inlineStr">
        <is>
          <t>DOWNGRADED — Acre Station</t>
        </is>
      </c>
      <c r="B21"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1" s="64" t="n"/>
      <c r="D21" s="64" t="n"/>
      <c r="E21" s="64" t="n"/>
      <c r="F21" s="64" t="n"/>
      <c r="G21" s="64" t="n"/>
      <c r="H21" s="65" t="n"/>
    </row>
    <row r="22" ht="45.2" customHeight="1" s="59">
      <c r="A22" s="1" t="inlineStr">
        <is>
          <t>DOWNGRADED — Piedmont Custom Meats</t>
        </is>
      </c>
      <c r="B22"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2" s="64" t="n"/>
      <c r="D22" s="64" t="n"/>
      <c r="E22" s="64" t="n"/>
      <c r="F22" s="64" t="n"/>
      <c r="G22" s="64" t="n"/>
      <c r="H22" s="65" t="n"/>
    </row>
    <row r="23" ht="31.8" customHeight="1" s="59">
      <c r="A23" s="1" t="inlineStr">
        <is>
          <t>DOWNGRADED — Williamsburg Packing (SC)</t>
        </is>
      </c>
      <c r="B23"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3" s="64" t="n"/>
      <c r="D23" s="64" t="n"/>
      <c r="E23" s="64" t="n"/>
      <c r="F23" s="64" t="n"/>
      <c r="G23" s="64" t="n"/>
      <c r="H23" s="65" t="n"/>
    </row>
    <row r="24" ht="45.2" customHeight="1" s="59">
      <c r="A24" s="1" t="inlineStr">
        <is>
          <t>DOWNGRADED — Swaggerty Sausage (TN)</t>
        </is>
      </c>
      <c r="B24"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4" s="64" t="n"/>
      <c r="D24" s="64" t="n"/>
      <c r="E24" s="64" t="n"/>
      <c r="F24" s="64" t="n"/>
      <c r="G24" s="64" t="n"/>
      <c r="H24" s="65" t="n"/>
    </row>
    <row r="25" ht="45.2" customHeight="1" s="59">
      <c r="A25" s="1" t="inlineStr">
        <is>
          <t>DOWNGRADED — EcoFriendly Foods (VA)</t>
        </is>
      </c>
      <c r="B25"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5" s="64" t="n"/>
      <c r="D25" s="64" t="n"/>
      <c r="E25" s="64" t="n"/>
      <c r="F25" s="64" t="n"/>
      <c r="G25" s="64" t="n"/>
      <c r="H25" s="65" t="n"/>
    </row>
    <row r="26" ht="58.6" customHeight="1" s="59">
      <c r="A26" s="1" t="inlineStr">
        <is>
          <t>KILLED — T&amp;E Meats / Honest Meats LLC (VA)</t>
        </is>
      </c>
      <c r="B26"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6" s="64" t="n"/>
      <c r="D26" s="64" t="n"/>
      <c r="E26" s="64" t="n"/>
      <c r="F26" s="64" t="n"/>
      <c r="G26" s="64" t="n"/>
      <c r="H26" s="65" t="n"/>
    </row>
    <row r="27" ht="31.8" customHeight="1" s="59">
      <c r="A27" s="1" t="inlineStr">
        <is>
          <t>KILLED — the 'family plant' thesis at Williams Sausage (TN)</t>
        </is>
      </c>
      <c r="B27"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7" s="64" t="n"/>
      <c r="D27" s="64" t="n"/>
      <c r="E27" s="64" t="n"/>
      <c r="F27" s="64" t="n"/>
      <c r="G27" s="64" t="n"/>
      <c r="H27" s="65" t="n"/>
    </row>
    <row r="28" ht="58.6" customHeight="1" s="59">
      <c r="A28" s="1" t="inlineStr">
        <is>
          <t>IDENTITY CORRECTIONS</t>
        </is>
      </c>
      <c r="B28"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8" s="64" t="n"/>
      <c r="D28" s="64" t="n"/>
      <c r="E28" s="64" t="n"/>
      <c r="F28" s="64" t="n"/>
      <c r="G28" s="64" t="n"/>
      <c r="H28" s="65" t="n"/>
    </row>
    <row r="29" ht="15" customHeight="1" s="59"/>
    <row r="30" ht="19.7" customHeight="1" s="59">
      <c r="A30" s="118" t="inlineStr">
        <is>
          <t>RECOMMENDED CONTACT ORDER  (post-verification)</t>
        </is>
      </c>
    </row>
    <row r="31" ht="18.4" customHeight="1" s="59">
      <c r="A31" s="3" t="inlineStr">
        <is>
          <t>#</t>
        </is>
      </c>
      <c r="B31" s="3" t="inlineStr">
        <is>
          <t>Facility</t>
        </is>
      </c>
      <c r="C31" s="3" t="inlineStr">
        <is>
          <t>Why</t>
        </is>
      </c>
    </row>
    <row r="32" ht="45.2" customHeight="1" s="59">
      <c r="A32" s="44" t="n">
        <v>1</v>
      </c>
      <c r="B32" s="4" t="inlineStr">
        <is>
          <t>Nahunta Slaughter House, Inc.  (Est. P-80A, Pikeville NC · 919-242-4735)</t>
        </is>
      </c>
      <c r="C32" s="68" t="inlineStr">
        <is>
          <t>Only candidate with a PUBLISHED research-specimen pathway and fresh spleens/hearts/livers as standing retail SKUs — direct evidence viscera leave the kill floor intact. Culture benchmark; swine-only; verified open on a regulator PDF dated 2026-07-24.</t>
        </is>
      </c>
      <c r="D32" s="64" t="n"/>
      <c r="E32" s="64" t="n"/>
      <c r="F32" s="64" t="n"/>
      <c r="G32" s="65" t="n"/>
      <c r="H32" s="5" t="inlineStr">
        <is>
          <t>How many hogs do you KILL per week under P-80A — and how many carcasses do you buy in for P-80?</t>
        </is>
      </c>
    </row>
    <row r="33" ht="45.2" customHeight="1" s="59">
      <c r="A33" s="44" t="n">
        <v>2</v>
      </c>
      <c r="B33" s="4" t="inlineStr">
        <is>
          <t>Martin's Pork Products, Inc.  (Est. TA-6720, Falcon NC · 910-980-1501)</t>
        </is>
      </c>
      <c r="C33" s="68" t="inlineStr">
        <is>
          <t>The only verified hog-only, federally-inspected, export-structurally-eligible plant plausibly in your band — and an incumbent, so the call is cheap. The volume objection has evaporated.</t>
        </is>
      </c>
      <c r="D33" s="64" t="n"/>
      <c r="E33" s="64" t="n"/>
      <c r="F33" s="64" t="n"/>
      <c r="G33" s="65" t="n"/>
      <c r="H33" s="5" t="inlineStr">
        <is>
          <t>Actual current head/week, and WHO OWNS THE PLANT TODAY (deeds suggest your culture read may be stale). Confirm the street address.</t>
        </is>
      </c>
    </row>
    <row r="34" ht="45.2" customHeight="1" s="59">
      <c r="A34" s="44" t="n">
        <v>3</v>
      </c>
      <c r="B34" s="4" t="inlineStr">
        <is>
          <t>Larry's Sausage Company, Inc.  (Est. TA-8305, Fayetteville NC)</t>
        </is>
      </c>
      <c r="C34" s="68" t="inlineStr">
        <is>
          <t>Closest structural analogue to Nahunta but with federal/exportable TA inspection: swine-only, family-owned since 1952, three generations. FLAG: never adversarially verified — treat at the same confidence as the pre-verification file that failed elsewhere.</t>
        </is>
      </c>
      <c r="D34" s="64" t="n"/>
      <c r="E34" s="64" t="n"/>
      <c r="F34" s="64" t="n"/>
      <c r="G34" s="65" t="n"/>
      <c r="H34" s="5" t="inlineStr">
        <is>
          <t>Actual weekly kill. The 200-800/wk figure is a labelled estimate from distribution footprint — that number decides everything.</t>
        </is>
      </c>
    </row>
    <row r="35" ht="31.8" customHeight="1" s="59">
      <c r="A35" s="44" t="n">
        <v>4</v>
      </c>
      <c r="B35" s="4" t="inlineStr">
        <is>
          <t>Bass Farms, Inc.  (Est. TA-3521, Spring Hope NC)</t>
        </is>
      </c>
      <c r="C35" s="68" t="inlineStr">
        <is>
          <t>NCDA&amp;CS lists it 'Slaughter only, species C (swine)' — a hog kill floor with NO processing attached is the purest Model A structure in the state. Also never adversarially verified.</t>
        </is>
      </c>
      <c r="D35" s="64" t="n"/>
      <c r="E35" s="64" t="n"/>
      <c r="F35" s="64" t="n"/>
      <c r="G35" s="65" t="n"/>
      <c r="H35" s="5" t="inlineStr">
        <is>
          <t>Current federal grant status — no matching M3521 record surfaced; confirm the TA grant is live before anything else.</t>
        </is>
      </c>
    </row>
    <row r="36" ht="45.2" customHeight="1" s="59">
      <c r="A36" s="44" t="n">
        <v>5</v>
      </c>
      <c r="B36" s="4" t="inlineStr">
        <is>
          <t>Gunnoe Sausage Company  (Goode VA · 540-586-1091)</t>
        </is>
      </c>
      <c r="C36" s="68" t="inlineStr">
        <is>
          <t>Newly surfaced and NEVER researched: dedicated sow slaughterhouse since 1965 at ~450-590 hogs/week — genuinely in band, and Virginia's only such plant.</t>
        </is>
      </c>
      <c r="D36" s="64" t="n"/>
      <c r="E36" s="64" t="n"/>
      <c r="F36" s="64" t="n"/>
      <c r="G36" s="65" t="n"/>
      <c r="H36" s="5" t="inlineStr">
        <is>
          <t>Establishment number and inspection status (not captured), then sow-vs-market-hog and third-party crew access.</t>
        </is>
      </c>
    </row>
    <row r="37" ht="45.2" customHeight="1" s="59">
      <c r="A37" s="44" t="n">
        <v>6</v>
      </c>
      <c r="B37" s="4" t="inlineStr">
        <is>
          <t>Smithfield BioScience  (harvest base Tar Heel NC, Est. M18079/V18079)</t>
        </is>
      </c>
      <c r="C37" s="68" t="inlineStr">
        <is>
          <t>The ONLY verified organ programme anywhere in the study — aortas, heart valves, pericardium, peritoneum, mucosa, pancreas, pituitary, tendons — plus stated farm-to-processing traceability and existing EU pharmaceutical (heparin API) trade.</t>
        </is>
      </c>
      <c r="D37" s="64" t="n"/>
      <c r="E37" s="64" t="n"/>
      <c r="F37" s="64" t="n"/>
      <c r="G37" s="65" t="n"/>
      <c r="H37" s="5" t="inlineStr">
        <is>
          <t>Will you harvest multi-organ regional BLOCKS to our written spec, and which APHIS/EU listings do you hold for research-use material? (Handle as competitive intelligence — they may see you as a rival, not a customer.)</t>
        </is>
      </c>
    </row>
    <row r="38" ht="58.6" customHeight="1" s="59">
      <c r="A38" s="44" t="n">
        <v>7</v>
      </c>
      <c r="B38" s="4" t="inlineStr">
        <is>
          <t>Kansas City Sausage Co., LLC dba Coastal Protein  (1600 Martin Road, Godwin NC)</t>
        </is>
      </c>
      <c r="C38" s="68" t="inlineStr">
        <is>
          <t>Confirmed operating via live EPA CAA and NPDES permits. ~3,500-5,000 sows/wk — marginally over ceiling, but SOW anatomy is closer to adult human scale than a 250 lb market hog.</t>
        </is>
      </c>
      <c r="D38" s="64" t="n"/>
      <c r="E38" s="64" t="n"/>
      <c r="F38" s="64" t="n"/>
      <c r="G38" s="65" t="n"/>
      <c r="H38" s="5" t="inlineStr">
        <is>
          <t>The establishment number (no public source in this study could produce it) — and whether a dedicated harvest bench is negotiable.</t>
        </is>
      </c>
    </row>
    <row r="39" ht="45.2" customHeight="1" s="59">
      <c r="A39" s="44" t="n">
        <v>8</v>
      </c>
      <c r="B39" s="4" t="inlineStr">
        <is>
          <t>Wampler's Farm Sausage Co.  (Est. M9065, Lenoir City TN · 865-986-2056)</t>
        </is>
      </c>
      <c r="C39" s="68" t="inlineStr">
        <is>
          <t>Real federal grant, real kill floor, ~1,500-1,620/wk at 2017 rated capacity, family-owned since 1937. NOTE: production hiring routes through three third-party staffing agencies at $12-14/hr — the opposite of the tenure you value.</t>
        </is>
      </c>
      <c r="D39" s="64" t="n"/>
      <c r="E39" s="64" t="n"/>
      <c r="F39" s="64" t="n"/>
      <c r="G39" s="65" t="n"/>
      <c r="H39" s="5" t="inlineStr">
        <is>
          <t>Sows only, or any market hogs — and actual current weekly head. If 'sows only', drop to REFERENCE; don't spend a site visit.</t>
        </is>
      </c>
    </row>
    <row r="40" ht="45.2" customHeight="1" s="59">
      <c r="A40" s="44" t="n">
        <v>9</v>
      </c>
      <c r="B40" s="4" t="inlineStr">
        <is>
          <t>Custom Quality Packers, LLC  (Est. TA-20129, Sims NC)</t>
        </is>
      </c>
      <c r="C40" s="68" t="inlineStr">
        <is>
          <t>One of only ~7 swine-only establishments in NC and federally inspected; anchors a Wilson County CLUSTER play with Bass Farms and George Flowers. Individual-animal handling is a genuine welfare positive.</t>
        </is>
      </c>
      <c r="D40" s="64" t="n"/>
      <c r="E40" s="64" t="n"/>
      <c r="F40" s="64" t="n"/>
      <c r="G40" s="65" t="n"/>
      <c r="H40" s="5" t="inlineStr">
        <is>
          <t>Actual weekly head — 'each animal individually rather than large industrial batches' implies well below 200/wk alone.</t>
        </is>
      </c>
    </row>
    <row r="41" ht="45.2" customHeight="1" s="59">
      <c r="A41" s="44" t="n">
        <v>10</v>
      </c>
      <c r="B41" s="4" t="inlineStr">
        <is>
          <t>Williamsburg Packing Company  (Est. M4005, Kingstree SC · 843-355-6447)</t>
        </is>
      </c>
      <c r="C41" s="68" t="inlineStr">
        <is>
          <t>ONE speculative call only. Sole SC federally-inspected swine plant with any elevated volume signal, and its voluntary grant V4005 is the mechanism used for non-amenable species — directly relevant to research tissue.</t>
        </is>
      </c>
      <c r="D41" s="64" t="n"/>
      <c r="E41" s="64" t="n"/>
      <c r="F41" s="64" t="n"/>
      <c r="G41" s="65" t="n"/>
      <c r="H41" s="5" t="inlineStr">
        <is>
          <t>Hog-only weekly head count, FIRST question. If under 200, close it out.</t>
        </is>
      </c>
    </row>
    <row r="42" ht="15" customHeight="1" s="59"/>
    <row r="43" ht="19.7" customHeight="1" s="59">
      <c r="A43" s="118" t="inlineStr">
        <is>
          <t>VERIFIED FACILITY ROSTER</t>
        </is>
      </c>
    </row>
    <row r="44" ht="18.4" customHeight="1" s="59">
      <c r="A44" s="3" t="inlineStr">
        <is>
          <t>Facility</t>
        </is>
      </c>
    </row>
    <row r="45" ht="19.7" customHeight="1" s="59">
      <c r="A45" s="118" t="inlineStr">
        <is>
          <t>ADVERSARIALLY VERIFIED — these verdicts override the earlier tabs</t>
        </is>
      </c>
    </row>
    <row r="46" ht="58.6" customHeight="1" s="59">
      <c r="A46" s="4" t="inlineStr">
        <is>
          <t>Nahunta Slaughter House, Inc.</t>
        </is>
      </c>
      <c r="B46" s="68" t="inlineStr">
        <is>
          <t>Pikeville, NC</t>
        </is>
      </c>
      <c r="C46" s="68" t="inlineStr">
        <is>
          <t>500+/wk cited but that verb is PROCESSES — ask actual P-80A kill</t>
        </is>
      </c>
      <c r="D46" s="68" t="inlineStr">
        <is>
          <t>NC STATE only (P-80A slaughter, swine-only; P-80 processing)</t>
        </is>
      </c>
      <c r="E46" s="31" t="inlineStr">
        <is>
          <t>CONFIRMED OPEN</t>
        </is>
      </c>
      <c r="F46" s="68" t="inlineStr">
        <is>
          <t>STRONG FIT</t>
        </is>
      </c>
      <c r="G46" s="68" t="n">
        <v>1</v>
      </c>
      <c r="H46"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7" ht="72" customHeight="1" s="59">
      <c r="A47" s="4" t="inlineStr">
        <is>
          <t>Martin's Pork Products, Inc.</t>
        </is>
      </c>
      <c r="B47" s="68" t="inlineStr">
        <is>
          <t>Falcon, NC</t>
        </is>
      </c>
      <c r="C47" s="68" t="inlineStr">
        <is>
          <t>200-1,500/wk (revised) — LIKELY IN BAND. The 6,500/wk figure was REFUTED</t>
        </is>
      </c>
      <c r="D47" s="68" t="inlineStr">
        <is>
          <t>USDA Talmadge-Aiken TA-6720 (federal, exportable structure)</t>
        </is>
      </c>
      <c r="E47" s="31" t="inlineStr">
        <is>
          <t>CONFIRMED OPEN</t>
        </is>
      </c>
      <c r="F47" s="68" t="inlineStr">
        <is>
          <t>POSSIBLE</t>
        </is>
      </c>
      <c r="G47" s="68" t="n">
        <v>2</v>
      </c>
      <c r="H47"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8" ht="72" customHeight="1" s="59">
      <c r="A48" s="4" t="inlineStr">
        <is>
          <t>Acre Station Meat Farm</t>
        </is>
      </c>
      <c r="B48" s="68" t="inlineStr">
        <is>
          <t>Pinetown, NC</t>
        </is>
      </c>
      <c r="C48" s="68" t="inlineStr">
        <is>
          <t>~150/wk actual (NOT the ~400/wk headline) — LIKELY BELOW FLOOR</t>
        </is>
      </c>
      <c r="D48" s="68" t="inlineStr">
        <is>
          <t>Talmadge-Aiken TA-19904 / M19904 — but 2 directories say CUSTOM EXEMPT</t>
        </is>
      </c>
      <c r="E48" s="31" t="inlineStr">
        <is>
          <t>CONFIRMED OPEN</t>
        </is>
      </c>
      <c r="F48" s="68" t="inlineStr">
        <is>
          <t>CAUTION</t>
        </is>
      </c>
      <c r="G48" s="68" t="n">
        <v>3</v>
      </c>
      <c r="H48"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9" ht="72" customHeight="1" s="59">
      <c r="A49" s="4" t="inlineStr">
        <is>
          <t>Piedmont Custom Meats, Inc.</t>
        </is>
      </c>
      <c r="B49" s="68" t="inlineStr">
        <is>
          <t>Gibsonville + Asheboro, NC</t>
        </is>
      </c>
      <c r="C49" s="68" t="inlineStr">
        <is>
          <t>LOW TENS per week — far below floor</t>
        </is>
      </c>
      <c r="D49" s="68" t="inlineStr">
        <is>
          <t>USDA-FSIS M7975 / M7975A (V7975 = Voluntary, not poultry)</t>
        </is>
      </c>
      <c r="E49" s="31" t="inlineStr">
        <is>
          <t>CONFIRMED OPEN</t>
        </is>
      </c>
      <c r="F49" s="68" t="inlineStr">
        <is>
          <t>REFERENCE</t>
        </is>
      </c>
      <c r="G49" s="68" t="n">
        <v>9</v>
      </c>
      <c r="H49"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50" ht="72" customHeight="1" s="59">
      <c r="A50" s="4" t="inlineStr">
        <is>
          <t>Honest Meats, LLC (dba T&amp;E Meats)</t>
        </is>
      </c>
      <c r="B50" s="68" t="inlineStr">
        <is>
          <t>Harrisonburg, VA</t>
        </is>
      </c>
      <c r="C50" s="68" t="inlineStr">
        <is>
          <t>~19-192 head/wk ALL species — disqualifying</t>
        </is>
      </c>
      <c r="D50" s="68" t="inlineStr">
        <is>
          <t>USDA-FSIS M7420 + V7420</t>
        </is>
      </c>
      <c r="E50" s="29" t="inlineStr">
        <is>
          <t>UNCERTAIN</t>
        </is>
      </c>
      <c r="F50" s="68" t="inlineStr">
        <is>
          <t>OUT / FLAG</t>
        </is>
      </c>
      <c r="G50" s="68" t="n">
        <v>9</v>
      </c>
      <c r="H50"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1" ht="72" customHeight="1" s="59">
      <c r="A51" s="4" t="inlineStr">
        <is>
          <t>Williamsburg Packing Company</t>
        </is>
      </c>
      <c r="B51" s="68" t="inlineStr">
        <is>
          <t>Kingstree, SC</t>
        </is>
      </c>
      <c r="C51" s="68" t="inlineStr">
        <is>
          <t>190-1,900/wk but that is a 21-SPECIES aggregate incl. poultry</t>
        </is>
      </c>
      <c r="D51" s="68" t="inlineStr">
        <is>
          <t>USDA-FSIS M4005 + P4005 + V4005</t>
        </is>
      </c>
      <c r="E51" s="31" t="inlineStr">
        <is>
          <t>CONFIRMED OPEN</t>
        </is>
      </c>
      <c r="F51" s="68" t="inlineStr">
        <is>
          <t>POSSIBLE</t>
        </is>
      </c>
      <c r="G51" s="68" t="n">
        <v>6</v>
      </c>
      <c r="H51"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2" ht="72" customHeight="1" s="59">
      <c r="A52" s="4" t="inlineStr">
        <is>
          <t>Wampler's Farm Sausage Co.</t>
        </is>
      </c>
      <c r="B52" s="68" t="inlineStr">
        <is>
          <t>Lenoir City, TN</t>
        </is>
      </c>
      <c r="C52" s="68" t="inlineStr">
        <is>
          <t>~1,500-1,620/wk (2017 rated capacity) — in band if market hogs</t>
        </is>
      </c>
      <c r="D52" s="68" t="inlineStr">
        <is>
          <t>USDA-FSIS M9065 + P9065 + V9065</t>
        </is>
      </c>
      <c r="E52" s="31" t="inlineStr">
        <is>
          <t>CONFIRMED OPEN</t>
        </is>
      </c>
      <c r="F52" s="68" t="inlineStr">
        <is>
          <t>POSSIBLE</t>
        </is>
      </c>
      <c r="G52" s="68" t="n">
        <v>3</v>
      </c>
      <c r="H52"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3" ht="58.6" customHeight="1" s="59">
      <c r="A53" s="4" t="inlineStr">
        <is>
          <t>Williams Sausage Co. (TYSON)</t>
        </is>
      </c>
      <c r="B53" s="68" t="inlineStr">
        <is>
          <t>Union City, TN</t>
        </is>
      </c>
      <c r="C53" s="68" t="inlineStr">
        <is>
          <t>~2,000-2,160/wk (2017 estimate)</t>
        </is>
      </c>
      <c r="D53" s="68" t="inlineStr">
        <is>
          <t>USDA-FSIS M7455</t>
        </is>
      </c>
      <c r="E53" s="31" t="inlineStr">
        <is>
          <t>CONFIRMED OPEN</t>
        </is>
      </c>
      <c r="F53" s="68" t="inlineStr">
        <is>
          <t>CAUTION</t>
        </is>
      </c>
      <c r="G53" s="68" t="n">
        <v>6</v>
      </c>
      <c r="H53"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4" ht="72" customHeight="1" s="59">
      <c r="A54" s="4" t="inlineStr">
        <is>
          <t>Swaggerty Sausage Co.</t>
        </is>
      </c>
      <c r="B54" s="68" t="inlineStr">
        <is>
          <t>Kodak, TN</t>
        </is>
      </c>
      <c r="C54" s="68" t="inlineStr">
        <is>
          <t>~4,250-4,590/wk — OVER CEILING</t>
        </is>
      </c>
      <c r="D54" s="68" t="inlineStr">
        <is>
          <t>USDA-FSIS M8314 + V8314</t>
        </is>
      </c>
      <c r="E54" s="31" t="inlineStr">
        <is>
          <t>CONFIRMED OPEN</t>
        </is>
      </c>
      <c r="F54" s="68" t="inlineStr">
        <is>
          <t>CAUTION</t>
        </is>
      </c>
      <c r="G54" s="68" t="n">
        <v>7</v>
      </c>
      <c r="H54"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5" ht="18.4" customHeight="1" s="59">
      <c r="A55" s="4" t="inlineStr">
        <is>
          <t>EcoFriendly Foods</t>
        </is>
      </c>
    </row>
    <row r="56" ht="19.7" customHeight="1" s="59">
      <c r="A56" s="118" t="inlineStr">
        <is>
          <t>NEWLY SURFACED — never in the earlier study (NOT yet adversarially verified)</t>
        </is>
      </c>
    </row>
    <row r="57" ht="45.2" customHeight="1" s="59">
      <c r="A57" s="4" t="inlineStr">
        <is>
          <t>Larry's Sausage Company, Inc.</t>
        </is>
      </c>
      <c r="B57" s="68" t="inlineStr">
        <is>
          <t>Fayetteville, NC</t>
        </is>
      </c>
      <c r="C57" s="68" t="inlineStr">
        <is>
          <t>200-800/wk (labelled estimate from distribution footprint)</t>
        </is>
      </c>
      <c r="D57" s="68" t="inlineStr">
        <is>
          <t>Talmadge-Aiken TA-8305 — federal, exportable</t>
        </is>
      </c>
      <c r="E57" s="4" t="inlineStr">
        <is>
          <t>not verified</t>
        </is>
      </c>
      <c r="F57" s="68" t="inlineStr">
        <is>
          <t>POSSIBLE</t>
        </is>
      </c>
      <c r="G57" s="68" t="n">
        <v>2</v>
      </c>
      <c r="H57" s="68" t="inlineStr">
        <is>
          <t>Closest structural analogue to Nahunta but WITH export-eligible federal inspection: swine-only, family-owned since 1952, three generations. Treat at pre-verification confidence — the same confidence level that failed elsewhere in this study.</t>
        </is>
      </c>
    </row>
    <row r="58" ht="45.2" customHeight="1" s="59">
      <c r="A58" s="4" t="inlineStr">
        <is>
          <t>Bass Farms, Inc.</t>
        </is>
      </c>
      <c r="B58" s="68" t="inlineStr">
        <is>
          <t>Spring Hope, NC</t>
        </is>
      </c>
      <c r="C58" s="68" t="inlineStr">
        <is>
          <t>unknown — labelled estimate only</t>
        </is>
      </c>
      <c r="D58" s="68" t="inlineStr">
        <is>
          <t>Talmadge-Aiken TA-3521 (no matching M3521 found)</t>
        </is>
      </c>
      <c r="E58" s="4" t="inlineStr">
        <is>
          <t>not verified</t>
        </is>
      </c>
      <c r="F58" s="68" t="inlineStr">
        <is>
          <t>POSSIBLE</t>
        </is>
      </c>
      <c r="G58" s="68" t="n">
        <v>2</v>
      </c>
      <c r="H58" s="68" t="inlineStr">
        <is>
          <t>NCDA&amp;CS lists 'Slaughter only, species C (swine)' — a hog kill floor with NO processing attached is the PUREST Model A structure in the state. Confirm the TA grant is live first.</t>
        </is>
      </c>
    </row>
    <row r="59" ht="45.2" customHeight="1" s="59">
      <c r="A59" s="4" t="inlineStr">
        <is>
          <t>Gunnoe Sausage Company</t>
        </is>
      </c>
      <c r="B59" s="68" t="inlineStr">
        <is>
          <t>Goode, VA</t>
        </is>
      </c>
      <c r="C59" s="68" t="inlineStr">
        <is>
          <t>~450-590/wk (90-110 head/day) — GENUINELY IN BAND</t>
        </is>
      </c>
      <c r="D59" s="68" t="inlineStr">
        <is>
          <t>unknown — establishment number not captured</t>
        </is>
      </c>
      <c r="E59" s="4" t="inlineStr">
        <is>
          <t>not verified</t>
        </is>
      </c>
      <c r="F59" s="68" t="inlineStr">
        <is>
          <t>POSSIBLE</t>
        </is>
      </c>
      <c r="G59" s="68" t="n">
        <v>2</v>
      </c>
      <c r="H59" s="68" t="inlineStr">
        <is>
          <t>Virginia's ONLY genuinely in-band plant, and it was never researched in the earlier pass. Dedicated SOW slaughterhouse since 1965, Bedford County — the same county as EcoFriendly Foods, which the earlier pass recommended at ~1/10th the volume.</t>
        </is>
      </c>
    </row>
    <row r="60" ht="45.2" customHeight="1" s="59">
      <c r="A60" s="4" t="inlineStr">
        <is>
          <t>Kansas City Sausage / Coastal Protein</t>
        </is>
      </c>
      <c r="B60" s="68" t="inlineStr">
        <is>
          <t>Godwin, NC</t>
        </is>
      </c>
      <c r="C60" s="68" t="inlineStr">
        <is>
          <t>~3,500-5,000 sows/wk — marginally over ceiling</t>
        </is>
      </c>
      <c r="D60" s="68" t="inlineStr">
        <is>
          <t>unknown — establishment number not found by any public source</t>
        </is>
      </c>
      <c r="E60" s="31" t="inlineStr">
        <is>
          <t>CONFIRMED OPEN (EPA permits)</t>
        </is>
      </c>
      <c r="F60" s="68" t="inlineStr">
        <is>
          <t>CAUTION</t>
        </is>
      </c>
      <c r="G60" s="68" t="n">
        <v>7</v>
      </c>
      <c r="H60" s="68" t="inlineStr">
        <is>
          <t>Occupies 1600 Martin Road — the site whose identity was confused with Martin's in the earlier pass. Live EPA CAA ('Operating') and NPDES NCG060100 ('Effective' to 2031) permits. SOW anatomy is closer to adult human scale than a 250 lb market hog.</t>
        </is>
      </c>
    </row>
    <row r="61" ht="72" customHeight="1" s="59">
      <c r="A61" s="4" t="inlineStr">
        <is>
          <t>Scientific Protein Laboratories · DeWied International</t>
        </is>
      </c>
      <c r="B61" s="68" t="inlineStr">
        <is>
          <t>Waunakee WI · San Antonio TX</t>
        </is>
      </c>
      <c r="C61" s="68" t="inlineStr">
        <is>
          <t>n/a — collectors, not slaughterers</t>
        </is>
      </c>
      <c r="D61" s="68" t="inlineStr">
        <is>
          <t>operate INSIDE third-party USDA plants</t>
        </is>
      </c>
      <c r="E61" s="4" t="inlineStr">
        <is>
          <t>not verified</t>
        </is>
      </c>
      <c r="F61" s="68" t="inlineStr">
        <is>
          <t>STRONG FIT</t>
        </is>
      </c>
      <c r="G61" s="68" t="n">
        <v>1</v>
      </c>
      <c r="H61"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2" ht="31.8" customHeight="1" s="59">
      <c r="A62" s="4" t="inlineStr">
        <is>
          <t>DeKalb County Packing · Morris Meat Packing</t>
        </is>
      </c>
      <c r="B62" s="68" t="inlineStr">
        <is>
          <t>De Kalb IL · Morris IL</t>
        </is>
      </c>
      <c r="C62" s="68" t="inlineStr">
        <is>
          <t>~2,500-2,700/wk · ~1,500-1,620/wk — BOTH IN BAND</t>
        </is>
      </c>
      <c r="D62" s="68" t="inlineStr">
        <is>
          <t>USDA-FSIS</t>
        </is>
      </c>
      <c r="E62" s="4" t="inlineStr">
        <is>
          <t>not verified</t>
        </is>
      </c>
      <c r="F62" s="68" t="inlineStr">
        <is>
          <t>POSSIBLE</t>
        </is>
      </c>
      <c r="G62" s="68" t="n">
        <v>2</v>
      </c>
      <c r="H62" s="68" t="inlineStr">
        <is>
          <t>Two of the very few US plants genuinely inside 200-3,000 hogs/week. Outside your named regions but worth a call given how few in-band plants exist nationally.</t>
        </is>
      </c>
    </row>
    <row r="63" ht="15" customHeight="1" s="59"/>
    <row r="64" ht="19.7" customHeight="1" s="59">
      <c r="A64" s="118" t="inlineStr">
        <is>
          <t>COMPLETENESS CRITIC — what we still don't know / didn't cover</t>
        </is>
      </c>
    </row>
    <row r="65" ht="45.2" customHeight="1" s="59">
      <c r="A65" s="58"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6" ht="45.2" customHeight="1" s="59">
      <c r="A66"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7" ht="31.8" customHeight="1" s="59">
      <c r="A67"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8" ht="31.8" customHeight="1" s="59">
      <c r="A68"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9" ht="31.8" customHeight="1" s="59">
      <c r="A69"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70" ht="45.2" customHeight="1" s="59">
      <c r="A70"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1" ht="45.2" customHeight="1" s="59">
      <c r="A71"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2" ht="45.2" customHeight="1" s="59">
      <c r="A72"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3" ht="31.8" customHeight="1" s="59">
      <c r="A73"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4" ht="45.2" customHeight="1" s="59">
      <c r="A74"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5" customHeight="1" s="59"/>
    <row r="76" ht="19.7" customHeight="1" s="59">
      <c r="A76" s="118" t="inlineStr">
        <is>
          <t>STRATEGIC READ  (given the 200-3,000/wk floor + EU export)</t>
        </is>
      </c>
    </row>
    <row r="77" ht="45.2" customHeight="1" s="59">
      <c r="A77"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8" ht="18.4" customHeight="1" s="59">
      <c r="A78" s="58" t="inlineStr">
        <is>
          <t>•  RECOMMENDATION — A THREE-LANE PORTFOLIO, NOT A SINGLE PLANT.</t>
        </is>
      </c>
    </row>
    <row r="79" ht="58.6" customHeight="1" s="59">
      <c r="A79"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80" ht="45.2" customHeight="1" s="59">
      <c r="A80"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1" ht="45.2" customHeight="1" s="59">
      <c r="A81"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2" ht="45.2" customHeight="1" s="59">
      <c r="A82"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3" ht="31.8" customHeight="1" s="59">
      <c r="A83"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4" ht="58.6" customHeight="1" s="59">
      <c r="A84"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5" customHeight="1" s="59"/>
    <row r="86" ht="19.7" customHeight="1" s="59">
      <c r="A86" s="118" t="inlineStr">
        <is>
          <t>METHOD &amp; CONFIDENCE</t>
        </is>
      </c>
    </row>
    <row r="87" ht="17.1" customHeight="1" s="59">
      <c r="A87"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8" ht="17.1" customHeight="1" s="59">
      <c r="A88" s="80" t="inlineStr">
        <is>
          <t>•  21 agents · 121 raw facility records (see caveat on double-counting) · 10 candidates adversarially verified · ~2.0M tokens · 1,091 tool calls · 0 agent errors.</t>
        </is>
      </c>
    </row>
    <row r="89" ht="29.1" customHeight="1" s="59">
      <c r="A89"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90" ht="17.1" customHeight="1" s="59">
      <c r="A90" s="80" t="inlineStr">
        <is>
          <t>•  Result: of 10 verified candidates, 2 were PROMOTED, 6 DOWNGRADED, and 2 KILLED — including both of the earlier pass's top picks in NC and VA. This tab's verdicts take precedence over the earlier tabs wherever they disagree.</t>
        </is>
      </c>
    </row>
    <row r="91" ht="17.1" customHeight="1" s="59">
      <c r="A91"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6">
    <mergeCell ref="A9:H9"/>
    <mergeCell ref="A67:H67"/>
    <mergeCell ref="A30:H30"/>
    <mergeCell ref="A77:H77"/>
    <mergeCell ref="A83:H83"/>
    <mergeCell ref="C34:G34"/>
    <mergeCell ref="A15:H15"/>
    <mergeCell ref="A73:H73"/>
    <mergeCell ref="A64:H64"/>
    <mergeCell ref="C33:G33"/>
    <mergeCell ref="A82:H82"/>
    <mergeCell ref="B24:H24"/>
    <mergeCell ref="A11:H11"/>
    <mergeCell ref="A45:H45"/>
    <mergeCell ref="A1:H1"/>
    <mergeCell ref="A79:H79"/>
    <mergeCell ref="B20:H20"/>
    <mergeCell ref="A6:H6"/>
    <mergeCell ref="A88:H88"/>
    <mergeCell ref="A70:H70"/>
    <mergeCell ref="C35:G35"/>
    <mergeCell ref="A78:H78"/>
    <mergeCell ref="B26:H26"/>
    <mergeCell ref="A69:H69"/>
    <mergeCell ref="A87:H87"/>
    <mergeCell ref="A7:H7"/>
    <mergeCell ref="A65:H65"/>
    <mergeCell ref="A16:H16"/>
    <mergeCell ref="C41:G41"/>
    <mergeCell ref="A90:H90"/>
    <mergeCell ref="A66:H66"/>
    <mergeCell ref="B25:H25"/>
    <mergeCell ref="A80:H80"/>
    <mergeCell ref="A84:H84"/>
    <mergeCell ref="C40:G40"/>
    <mergeCell ref="A89:H89"/>
    <mergeCell ref="A74:H74"/>
    <mergeCell ref="A56:H56"/>
    <mergeCell ref="A12:H12"/>
    <mergeCell ref="B22:H22"/>
    <mergeCell ref="A3:H3"/>
    <mergeCell ref="A18:H18"/>
    <mergeCell ref="A86:H86"/>
    <mergeCell ref="B27:H27"/>
    <mergeCell ref="B21:H21"/>
    <mergeCell ref="A71:H71"/>
    <mergeCell ref="A2:H2"/>
    <mergeCell ref="A76:H76"/>
    <mergeCell ref="A14:H14"/>
    <mergeCell ref="C36:G36"/>
    <mergeCell ref="A5:H5"/>
    <mergeCell ref="C39:G39"/>
    <mergeCell ref="A8:H8"/>
    <mergeCell ref="B23:H23"/>
    <mergeCell ref="A91:H91"/>
    <mergeCell ref="C32:G32"/>
    <mergeCell ref="A81:H81"/>
    <mergeCell ref="A43:H43"/>
    <mergeCell ref="C38:G38"/>
    <mergeCell ref="A72:H72"/>
    <mergeCell ref="A10:H10"/>
    <mergeCell ref="C37:G37"/>
    <mergeCell ref="A13:H13"/>
    <mergeCell ref="A68:H68"/>
    <mergeCell ref="B19:H19"/>
    <mergeCell ref="B28:H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2026-08-06T17:25:44Z</dcterms:modified>
  <cp:lastModifiedBy>Oscar Penny</cp:lastModifiedBy>
</cp:coreProperties>
</file>