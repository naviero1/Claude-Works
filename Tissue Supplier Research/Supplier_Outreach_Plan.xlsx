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&amp; Criteria" sheetId="1" state="visible" r:id="rId1"/>
    <sheet name="Current Base (benchmarks)" sheetId="2" state="visible" r:id="rId2"/>
    <sheet name="Rated Candidates" sheetId="3" state="visible" r:id="rId3"/>
    <sheet name="Plan of Action" sheetId="4" state="visible" r:id="rId4"/>
    <sheet name="Call Questionnaire" sheetId="5" state="visible" r:id="rId5"/>
    <sheet name="Master Ledger (reconciled)" sheetId="6" state="visible" r:id="rId6"/>
    <sheet name="Sources &amp; Method" sheetId="7" state="visible" r:id="rId7"/>
  </sheets>
  <definedNames>
    <definedName name="_xlnm._FilterDatabase" localSheetId="2" hidden="1">'Rated Candidates'!$A$5:$V$20</definedName>
    <definedName name="_xlnm._FilterDatabase" localSheetId="5" hidden="1">'Master Ledger (reconciled)'!$A$2:$I$105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B657A"/>
      <sz val="10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5B657A"/>
      <sz val="10"/>
    </font>
    <font>
      <name val="Arial"/>
      <b val="1"/>
      <color rgb="009C0006"/>
      <sz val="10"/>
    </font>
    <font>
      <name val="Arial"/>
      <i val="1"/>
      <color rgb="005B657A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6" fillId="2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4" fillId="0" borderId="0" applyAlignment="1" pivotButton="0" quotePrefix="0" xfId="0">
      <alignment horizontal="right" vertical="top" wrapText="1"/>
    </xf>
    <xf numFmtId="9" fontId="5" fillId="6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6.4" customHeight="1">
      <c r="A1" s="1" t="inlineStr">
        <is>
          <t>Supplier Outreach Plan — Porcine Tissue Harvest Partners</t>
        </is>
      </c>
    </row>
    <row r="2" ht="58.6" customHeight="1">
      <c r="A2" s="2" t="inlineStr">
        <is>
          <t>Built 2026-09-03 for the purchasing-manager working session. Reconciles every supplier assessed across the study artifacts (three research passes: the 21-agent study, the 2026-08-06 FSIS primary-data verification, the 2026-08-17 focus-region pass) plus a fresh 2026-09-03 scan (NC delta, SC corridor, southern-VA corridor, A/B fitness evidence — census claims verified directly against the re-pulled FSIS/NCDA&amp;CS primary datasets). Companion to Tissue_Supplier_Study.xlsx (the full research file).</t>
        </is>
      </c>
    </row>
    <row r="3" ht="15" customHeight="1"/>
    <row r="4" ht="19.7" customHeight="1">
      <c r="A4" s="3" t="inlineStr">
        <is>
          <t>WHAT WE ARE LOOKING FOR</t>
        </is>
      </c>
      <c r="B4" s="4" t="n"/>
    </row>
    <row r="5" ht="72" customHeight="1">
      <c r="A5" s="5" t="inlineStr">
        <is>
          <t>The profile</t>
        </is>
      </c>
      <c r="B5" s="6" t="inlineStr">
        <is>
          <t>Suppliers ALIKE our current base — plants that could plausibly run one of the two models that already work for us: MODEL A — our harvesting techs go to their floor and collect what's needed (how Nahunta, Martin's and Custom Quality Packers work today); or MODEL B-T — their people harvest to our spec, with our training and supervision (how Parks works today). Villari is the cautionary profile: volume without access — its tissue gate is HARD; we take leaf fat only and plan no organ volume through it.</t>
        </is>
      </c>
    </row>
    <row r="6" ht="45.2" customHeight="1">
      <c r="A6" s="5" t="inlineStr">
        <is>
          <t>The plan</t>
        </is>
      </c>
      <c r="B6" s="6" t="inlineStr">
        <is>
          <t>For each good candidate: (1) a CALL using the Call Questionnaire tab — the 2-3 decisive questions per candidate are pre-marked on the Plan of Action tab; (2) if the call passes the gate, a VISIT to verify floor, welfare culture and access; (3) then pilot terms. Owners and dates get filled in during the working session.</t>
        </is>
      </c>
    </row>
    <row r="7" ht="19.7" customHeight="1">
      <c r="A7" s="3" t="inlineStr">
        <is>
          <t>HARD GATES (pass/fail — applied before any scoring)</t>
        </is>
      </c>
      <c r="B7" s="4" t="n"/>
    </row>
    <row r="8" ht="45.2" customHeight="1">
      <c r="A8" s="5" t="inlineStr">
        <is>
          <t>G1 · Inspection</t>
        </is>
      </c>
      <c r="B8" s="6" t="inlineStr">
        <is>
          <t>USDA federal grant (M / Talmadge-Aiken) or NORTH CAROLINA state grant (P-number) = fully eligible — NC state is APHIS-accepted as equivalent for material WE harvest and assemble at ATM. SC / VA / TN state programmes are NOT accepted → DOMESTIC LANE ONLY (still scoreable, capped). Custom-exempt = INELIGIBLE, full stop.</t>
        </is>
      </c>
    </row>
    <row r="9" ht="18.4" customHeight="1">
      <c r="A9" s="5" t="inlineStr">
        <is>
          <t>G2 · Operating</t>
        </is>
      </c>
      <c r="B9" s="6" t="inlineStr">
        <is>
          <t>Verified operating on primary data (FSIS / NCDA&amp;CS directories) as of the date in the Status column.</t>
        </is>
      </c>
    </row>
    <row r="10" ht="18.4" customHeight="1">
      <c r="A10" s="5" t="inlineStr">
        <is>
          <t>G3 · Swine</t>
        </is>
      </c>
      <c r="B10" s="6" t="inlineStr">
        <is>
          <t>Actually kills hogs — per USDA species flags or the state directory species code, not per a business name.</t>
        </is>
      </c>
    </row>
    <row r="11" ht="19.7" customHeight="1">
      <c r="A11" s="3" t="inlineStr">
        <is>
          <t>SCORING (0-5 sub-scores, two weighted fits)</t>
        </is>
      </c>
      <c r="B11" s="4" t="n"/>
    </row>
    <row r="12" ht="85.40000000000001" customHeight="1">
      <c r="A12" s="5" t="inlineStr">
        <is>
          <t>The 8 sub-scores</t>
        </is>
      </c>
      <c r="B12" s="6" t="inlineStr">
        <is>
          <t>PROX proximity (5 = ≤60 road mi · 4 = ≤120 · 2 = ≤160 · 1 = beyond) · ACCESS how hostable is the floor for OUR techs (custom culture, size, scheduling, precedent) · CREW their crew's ability to harvest to spec under our training (cut-to-spec services, offal-return practice, staffing) · ANAT anatomy match (5 market hogs · 3 sow — pending the anatomical-spec decision · 2 roaster) · VOL volume band (5 = cat 3+ · 3 = cat 2 · 1 = cat 1 / unknown-small) · WELF welfare &amp; enforcement (5 clean · 3 historic-resolved · 1 repeat or recent) · EXPORT path (5 = federal or NC state · 2 = domestic-only) · RELN approachability (single named decision-maker, family culture, warm path in).</t>
        </is>
      </c>
    </row>
    <row r="13" ht="31.8" customHeight="1">
      <c r="A13" s="5" t="inlineStr">
        <is>
          <t>A-FIT weight set</t>
        </is>
      </c>
      <c r="B13" s="6" t="inlineStr">
        <is>
          <t>PROX 25% · ACCESS 30% · ANAT 15% · VOL 10% · WELF 10% · EXPORT 5% · RELN 5% — our techs travel there weekly, so distance and floor access dominate.</t>
        </is>
      </c>
    </row>
    <row r="14" ht="31.8" customHeight="1">
      <c r="A14" s="5" t="inlineStr">
        <is>
          <t>B-FIT weight set</t>
        </is>
      </c>
      <c r="B14" s="6" t="inlineStr">
        <is>
          <t>CREW 30% · ANAT 15% · VOL 15% · WELF 15% · PROX 10% · RELN 10% · EXPORT 5% — their crew does the work, so capability and trust dominate; distance matters less (periodic supervision).</t>
        </is>
      </c>
    </row>
    <row r="15" ht="31.8" customHeight="1">
      <c r="A15" s="5" t="inlineStr">
        <is>
          <t>Tiers</t>
        </is>
      </c>
      <c r="B15" s="6" t="inlineStr">
        <is>
          <t>1 = CALL FIRST (this round) · 2 = CALL (after tier-1 or with a specific gate) · 3 = PARK (viable but not now — distance, micro-volume, or duplicative) · X = OUT (fails a gate or adds nothing).</t>
        </is>
      </c>
    </row>
    <row r="16" ht="19.7" customHeight="1">
      <c r="A16" s="3" t="inlineStr">
        <is>
          <t>HOW TO USE THIS FILE</t>
        </is>
      </c>
      <c r="B16" s="4" t="n"/>
    </row>
    <row r="17" ht="31.8" customHeight="1">
      <c r="A17" s="5" t="inlineStr">
        <is>
          <t>Yellow cells</t>
        </is>
      </c>
      <c r="B17" s="6" t="inlineStr">
        <is>
          <t>Are yours to fill in (owners, dates, call outcomes, decisions). Everything else is research — edit it only to correct a fact.</t>
        </is>
      </c>
    </row>
    <row r="18" ht="31.8" customHeight="1">
      <c r="A18" s="5" t="inlineStr">
        <is>
          <t>The two score columns</t>
        </is>
      </c>
      <c r="B18" s="6" t="inlineStr">
        <is>
          <t>A-FIT and B-FIT are live formulas (SUMPRODUCT of the weight row × the sub-score cells). Change a weight or a sub-score and the scores recompute when the file opens in Excel.</t>
        </is>
      </c>
    </row>
    <row r="19" ht="31.8" customHeight="1">
      <c r="A19" s="5" t="inlineStr">
        <is>
          <t>Provenance</t>
        </is>
      </c>
      <c r="B19" s="6" t="inlineStr">
        <is>
          <t>Every candidate row names its verification date and basis. 'No record found' never means 'confirmed clean' — the enforcement column says which it is.</t>
        </is>
      </c>
    </row>
  </sheetData>
  <mergeCells count="6">
    <mergeCell ref="A4:B4"/>
    <mergeCell ref="A2:B2"/>
    <mergeCell ref="A16:B16"/>
    <mergeCell ref="A7:B7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44" customWidth="1" min="4" max="4"/>
    <col width="44" customWidth="1" min="5" max="5"/>
    <col width="40" customWidth="1" min="6" max="6"/>
  </cols>
  <sheetData>
    <row r="1" ht="19.7" customHeight="1">
      <c r="A1" s="7" t="inlineStr">
        <is>
          <t>THE CURRENT BASE — the working profiles every candidate is measured against (client ground truth 2026-09-03 + verified research)</t>
        </is>
      </c>
      <c r="B1" s="8" t="n"/>
      <c r="C1" s="8" t="n"/>
      <c r="D1" s="8" t="n"/>
      <c r="E1" s="8" t="n"/>
      <c r="F1" s="8" t="n"/>
    </row>
    <row r="2" ht="18.4" customHeight="1">
      <c r="A2" s="9" t="inlineStr">
        <is>
          <t>Supplier</t>
        </is>
      </c>
      <c r="B2" s="9" t="inlineStr">
        <is>
          <t>Operating model TODAY</t>
        </is>
      </c>
      <c r="C2" s="9" t="inlineStr">
        <is>
          <t>Scale &amp; class</t>
        </is>
      </c>
      <c r="D2" s="9" t="inlineStr">
        <is>
          <t>What works (the pattern to replicate)</t>
        </is>
      </c>
      <c r="E2" s="9" t="inlineStr">
        <is>
          <t>What limits it (the gap candidates must fill)</t>
        </is>
      </c>
      <c r="F2" s="9" t="inlineStr">
        <is>
          <t>Keep-warm actions (from the research file)</t>
        </is>
      </c>
    </row>
    <row r="3" ht="58.6" customHeight="1">
      <c r="A3" s="10" t="inlineStr">
        <is>
          <t>NAHUNTA
Pikeville · NC state P-80A · ~0 mi</t>
        </is>
      </c>
      <c r="B3" s="6" t="inlineStr">
        <is>
          <t>MODEL A — our techs harvest on-site</t>
        </is>
      </c>
      <c r="C3" s="6" t="inlineStr">
        <is>
          <t>~150/day claimed peak; state-inspected swine-only kill floor</t>
        </is>
      </c>
      <c r="D3" s="6" t="inlineStr">
        <is>
          <t>The template: relationship-first family plant, whole-animal culture, published specimen pathway, most target organs have no competing retail SKU. Quality benchmark.</t>
        </is>
      </c>
      <c r="E3" s="6" t="inlineStr">
        <is>
          <t>Volume ceiling (~a tenth of Villari); Q4 retail squeeze; key-person concentration (GM Brandon Pierce).</t>
        </is>
      </c>
      <c r="F3" s="6" t="inlineStr">
        <is>
          <t>Standing annual specimen permit; fixed weekly harvest days; check in after the Nov 2026 sheriff election.</t>
        </is>
      </c>
    </row>
    <row r="4" ht="58.6" customHeight="1">
      <c r="A4" s="10" t="inlineStr">
        <is>
          <t>MARTIN'S PORK PRODUCTS
Falcon · M6720 (T-A) · ~45 mi</t>
        </is>
      </c>
      <c r="B4" s="6" t="inlineStr">
        <is>
          <t>MODEL A — our techs harvest on-site</t>
        </is>
      </c>
      <c r="C4" s="6" t="inlineStr">
        <is>
          <t>Cat 3 (192-1,917/wk band); market hogs + boar/stag</t>
        </is>
      </c>
      <c r="D4" s="6" t="inlineStr">
        <is>
          <t>The volume anchor: highest-capacity floor we can access; clean on every checkable record (QERs, OSHA); invested in its site (2021 land purchases).</t>
        </is>
      </c>
      <c r="E4" s="6" t="inlineStr">
        <is>
          <t>DIFFICULT to work with — relational, not regulatory; cat-3 ceiling ~1,917/wk; irreplaceable (all three NC/SC/VA cat-3 market-hog floors are already ours).</t>
        </is>
      </c>
      <c r="F4" s="6" t="inlineStr">
        <is>
          <t>Economics-first reset with President Beth Holmes; consider funding a harvest bay for a multi-year floor-access agreement.</t>
        </is>
      </c>
    </row>
    <row r="5" ht="58.6" customHeight="1">
      <c r="A5" s="10" t="inlineStr">
        <is>
          <t>CUSTOM QUALITY PACKERS
Sims · M20129 (T-A) · ~45 mi</t>
        </is>
      </c>
      <c r="B5" s="6" t="inlineStr">
        <is>
          <t>MODEL A — our techs harvest on-site</t>
        </is>
      </c>
      <c r="C5" s="6" t="inlineStr">
        <is>
          <t>Cat 3 band, ~500/wk stated; market + roaster; hog-only</t>
        </is>
      </c>
      <c r="D5" s="6" t="inlineStr">
        <is>
          <t>Proof Model A works at a small custom plant; owner Barrett Twitty can contract-raise hogs to our spec (Nash Pigg Farms) — birth-to-harvest traceability.</t>
        </is>
      </c>
      <c r="E5" s="6" t="inlineStr">
        <is>
          <t>Space-constrained building (owner's own words); captive competing demand for kill slots; 2018-2020 humane-handling history (clean FY24-26) — audit before scaling.</t>
        </is>
      </c>
      <c r="F5" s="6" t="inlineStr">
        <is>
          <t>Buy a dedicated client kill day (+100-300/wk est.); complete the NR FOIA + welfare audit.</t>
        </is>
      </c>
    </row>
    <row r="6" ht="58.6" customHeight="1">
      <c r="A6" s="10" t="inlineStr">
        <is>
          <t>PARKS FAMILY MEATS
Warsaw · M18296A (T-A) · ~45 mi</t>
        </is>
      </c>
      <c r="B6" s="6" t="inlineStr">
        <is>
          <t>MODEL B-T — THEIR people harvest, trained by US</t>
        </is>
      </c>
      <c r="C6" s="6" t="inlineStr">
        <is>
          <t>Cat 3 band; slaughter-only floor; market + roaster; stated 400/day capacity</t>
        </is>
      </c>
      <c r="D6" s="6" t="inlineStr">
        <is>
          <t>The B-template: their crew harvests under our training — proves the supervised-harvest model works. Parent (The Parks Companies, 29 facilities/11 states) can source hogs to spec and truck them in.</t>
        </is>
      </c>
      <c r="E6" s="6" t="inlineStr">
        <is>
          <t>Small lots at spot pricing ('a bit expensive'); roaster-focused week; plant priorities sit under a big livestock-marketing parent.</t>
        </is>
      </c>
      <c r="F6" s="6" t="inlineStr">
        <is>
          <t>Ask COO Kevin Krum for program pricing on a committed market-hog window; use the parent as a procurement arm.</t>
        </is>
      </c>
    </row>
    <row r="7" ht="98.8" customHeight="1">
      <c r="A7" s="10" t="inlineStr">
        <is>
          <t>VILLARI / THE PORK CO.
Warsaw · M20608 · ~45 mi</t>
        </is>
      </c>
      <c r="B7" s="6" t="inlineStr">
        <is>
          <t>LEAF FAT ONLY — HARD GATE on tissue harvest</t>
        </is>
      </c>
      <c r="C7" s="6" t="inlineStr">
        <is>
          <t>~1,500 hd/day (cat 4); market hogs</t>
        </is>
      </c>
      <c r="D7" s="6" t="inlineStr">
        <is>
          <t>Reliable leaf-fat supply at industrial scale; proves they will segregate a per-head by-product for us.</t>
        </is>
      </c>
      <c r="E7" s="6" t="inlineStr">
        <is>
          <t>TISSUE GATE IS HARD (client-confirmed 2026-09-03 — supersedes the earlier 'negotiable wedge' reading). Plan NO organ volume through Villari. Repeat humane-handling failure mode (2022, 2025) — though the newly published Q3 FY2026 QER has no entries: clean through 30 Jun 2026. Wastewater project through ~2027.</t>
        </is>
      </c>
      <c r="F7" s="6" t="inlineStr">
        <is>
          <t>Keep leaf fat flowing; revisit only if THEY reopen the topic after the wastewater project lands.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V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22" customWidth="1" min="5" max="5"/>
    <col width="20" customWidth="1" min="6" max="6"/>
    <col width="16" customWidth="1" min="7" max="7"/>
    <col width="34" customWidth="1" min="8" max="8"/>
    <col width="34" customWidth="1" min="9" max="9"/>
    <col width="2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8" customWidth="1" min="19" max="19"/>
    <col width="8" customWidth="1" min="20" max="20"/>
    <col width="7" customWidth="1" min="21" max="21"/>
    <col width="40" customWidth="1" min="22" max="22"/>
  </cols>
  <sheetData>
    <row r="1" ht="19.7" customHeight="1">
      <c r="A1" s="7" t="inlineStr">
        <is>
          <t>RATED CANDIDATES — every plant that passes the hard gates, scored for Model A (our techs go there) and Model B-T (their crew, our training)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</row>
    <row r="2" ht="18.4" customHeight="1">
      <c r="A2" s="11" t="inlineStr">
        <is>
          <t>Sub-scores are 0-5 (rationale in the evidence columns). A-FIT and B-FIT are live SUMPRODUCT formulas over the weight rows below — change a weight or sub-score and they recompute on open. Tier: 1 CALL FIRST · 2 CALL · 3 PARK · X OUT.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</row>
    <row r="3" ht="18.4" customHeight="1">
      <c r="J3" s="13" t="inlineStr">
        <is>
          <t>A-FIT weights →</t>
        </is>
      </c>
      <c r="K3" s="14" t="n">
        <v>0.25</v>
      </c>
      <c r="L3" s="14" t="n">
        <v>0.3</v>
      </c>
      <c r="M3" s="14" t="n">
        <v>0</v>
      </c>
      <c r="N3" s="14" t="n">
        <v>0.15</v>
      </c>
      <c r="O3" s="14" t="n">
        <v>0.1</v>
      </c>
      <c r="P3" s="14" t="n">
        <v>0.1</v>
      </c>
      <c r="Q3" s="14" t="n">
        <v>0.05</v>
      </c>
      <c r="R3" s="14" t="n">
        <v>0.05</v>
      </c>
    </row>
    <row r="4" ht="18.4" customHeight="1">
      <c r="J4" s="13" t="inlineStr">
        <is>
          <t>B-FIT weights →</t>
        </is>
      </c>
      <c r="K4" s="14" t="n">
        <v>0.1</v>
      </c>
      <c r="L4" s="14" t="n">
        <v>0</v>
      </c>
      <c r="M4" s="14" t="n">
        <v>0.3</v>
      </c>
      <c r="N4" s="14" t="n">
        <v>0.15</v>
      </c>
      <c r="O4" s="14" t="n">
        <v>0.15</v>
      </c>
      <c r="P4" s="14" t="n">
        <v>0.15</v>
      </c>
      <c r="Q4" s="14" t="n">
        <v>0.05</v>
      </c>
      <c r="R4" s="14" t="n">
        <v>0.1</v>
      </c>
    </row>
    <row r="5" ht="31.8" customHeight="1">
      <c r="A5" s="9" t="inlineStr">
        <is>
          <t>Candidate</t>
        </is>
      </c>
      <c r="B5" s="9" t="inlineStr">
        <is>
          <t>Inspection &amp; est. no.</t>
        </is>
      </c>
      <c r="C5" s="9" t="inlineStr">
        <is>
          <t>Region</t>
        </is>
      </c>
      <c r="D5" s="9" t="inlineStr">
        <is>
          <t>Road mi</t>
        </is>
      </c>
      <c r="E5" s="9" t="inlineStr">
        <is>
          <t>Class / anatomy</t>
        </is>
      </c>
      <c r="F5" s="9" t="inlineStr">
        <is>
          <t>Volume (basis)</t>
        </is>
      </c>
      <c r="G5" s="9" t="inlineStr">
        <is>
          <t>Export path</t>
        </is>
      </c>
      <c r="H5" s="9" t="inlineStr">
        <is>
          <t>A-fit evidence (host OUR techs)</t>
        </is>
      </c>
      <c r="I5" s="9" t="inlineStr">
        <is>
          <t>B-fit evidence (THEIR crew, our training)</t>
        </is>
      </c>
      <c r="J5" s="9" t="inlineStr">
        <is>
          <t>Welfare &amp; enforcement</t>
        </is>
      </c>
      <c r="K5" s="15" t="inlineStr">
        <is>
          <t>PROX</t>
        </is>
      </c>
      <c r="L5" s="15" t="inlineStr">
        <is>
          <t>ACCESS</t>
        </is>
      </c>
      <c r="M5" s="15" t="inlineStr">
        <is>
          <t>CREW</t>
        </is>
      </c>
      <c r="N5" s="15" t="inlineStr">
        <is>
          <t>ANAT</t>
        </is>
      </c>
      <c r="O5" s="15" t="inlineStr">
        <is>
          <t>VOL</t>
        </is>
      </c>
      <c r="P5" s="15" t="inlineStr">
        <is>
          <t>WELF</t>
        </is>
      </c>
      <c r="Q5" s="15" t="inlineStr">
        <is>
          <t>EXPORT</t>
        </is>
      </c>
      <c r="R5" s="15" t="inlineStr">
        <is>
          <t>RELN</t>
        </is>
      </c>
      <c r="S5" s="15" t="inlineStr">
        <is>
          <t>A-FIT</t>
        </is>
      </c>
      <c r="T5" s="15" t="inlineStr">
        <is>
          <t>B-FIT</t>
        </is>
      </c>
      <c r="U5" s="15" t="inlineStr">
        <is>
          <t>Tier</t>
        </is>
      </c>
      <c r="V5" s="9" t="inlineStr">
        <is>
          <t>Why / gates / approach intel</t>
        </is>
      </c>
    </row>
    <row r="6" ht="125.6" customHeight="1">
      <c r="A6" s="10" t="inlineStr">
        <is>
          <t>Larry's Sausage Co.
Fayetteville, NC</t>
        </is>
      </c>
      <c r="B6" s="6" t="inlineStr">
        <is>
          <t>USDA ✓ M8305 (T-A)</t>
        </is>
      </c>
      <c r="C6" s="16" t="inlineStr">
        <is>
          <t>NC-East</t>
        </is>
      </c>
      <c r="D6" s="16" t="inlineStr">
        <is>
          <t>65</t>
        </is>
      </c>
      <c r="E6" s="6" t="inlineStr">
        <is>
          <t>SOW only — mature anatomy;
gated by the anatomical-spec decision</t>
        </is>
      </c>
      <c r="F6" s="6" t="inlineStr">
        <is>
          <t>19-192/wk (FSIS cat 2);
processing cat 4</t>
        </is>
      </c>
      <c r="G6" s="6" t="inlineStr">
        <is>
          <t>FULL (federal)</t>
        </is>
      </c>
      <c r="H6" s="6" t="inlineStr">
        <is>
          <t>Small family TA plant, single-species line — the same class our crews already work at Parks/CQP; scheduling simple; hosting never tested (never contacted).</t>
        </is>
      </c>
      <c r="I6" s="6" t="inlineStr">
        <is>
          <t>★ STRONG: their own site (fetched 2026-09-03): '90% of our team employed here for over a decade' — deep crew tenure — and 'nimble enough to work with smaller orders and custom requests'. Full-time on-site USDA inspector. Sows killed for MEAT — viscera not their product.</t>
        </is>
      </c>
      <c r="J6" s="6" t="inlineStr">
        <is>
          <t>None found (FY23Q4-FY26Q3 checked). Not a confirmed negative.</t>
        </is>
      </c>
      <c r="K6" s="16" t="n">
        <v>4</v>
      </c>
      <c r="L6" s="16" t="n">
        <v>3</v>
      </c>
      <c r="M6" s="16" t="n">
        <v>4</v>
      </c>
      <c r="N6" s="16" t="n">
        <v>3</v>
      </c>
      <c r="O6" s="16" t="n">
        <v>3</v>
      </c>
      <c r="P6" s="16" t="n">
        <v>5</v>
      </c>
      <c r="Q6" s="16" t="n">
        <v>5</v>
      </c>
      <c r="R6" s="16" t="n">
        <v>5</v>
      </c>
      <c r="S6" s="17">
        <f>ROUND(SUMPRODUCT($K$3:$R$3,K6:R6),1)</f>
        <v/>
      </c>
      <c r="T6" s="17">
        <f>ROUND(SUMPRODUCT($K$4:$R$4,K6:R6),1)</f>
        <v/>
      </c>
      <c r="U6" s="18" t="inlineStr">
        <is>
          <t>1</t>
        </is>
      </c>
      <c r="V6" s="6" t="inlineStr">
        <is>
          <t>THE best structural organ add in the east: sow-class organs at real volume, 20 min from Martin's, federal. Gate: sow anatomy must pass the spec decision — ask the pelvic/bariatric question INTERNALLY before the call. Office hours Tue 9-3; (910) 483-5148. SITE EVIDENCE 2026-09-03: decade-tenured crew, flexible minimums, distributor-partner posture — the best B-T profile on the list.</t>
        </is>
      </c>
    </row>
    <row r="7" ht="58.6" customHeight="1">
      <c r="A7" s="10" t="inlineStr">
        <is>
          <t>McLamb's Abattoir &amp; Meats
Benson, NC</t>
        </is>
      </c>
      <c r="B7" s="6" t="inlineStr">
        <is>
          <t>STATE ✓ P-247 (NC)</t>
        </is>
      </c>
      <c r="C7" s="16" t="inlineStr">
        <is>
          <t>NC-East</t>
        </is>
      </c>
      <c r="D7" s="16" t="inlineStr">
        <is>
          <t>37</t>
        </is>
      </c>
      <c r="E7" s="6" t="inlineStr">
        <is>
          <t>Multi-species incl. hogs
(state species A,B,C,D,E)</t>
        </is>
      </c>
      <c r="F7" s="6" t="inlineStr">
        <is>
          <t>unknown — state plants
publish no volumes</t>
        </is>
      </c>
      <c r="G7" s="6" t="inlineStr">
        <is>
          <t>FULL (NC state = APHIS-equivalent)</t>
        </is>
      </c>
      <c r="H7" s="6" t="inlineStr">
        <is>
          <t>Custom-oriented family floor right off I-95, closer than any current supplier except Nahunta; hosting untested but the format matches CQP/Parks.</t>
        </is>
      </c>
      <c r="I7" s="6" t="inlineStr">
        <is>
          <t>Multi-species custom crew (calves, cattle, goats, hogs, lambs) — custom trade implies cut-to-spec basics; offal-return practice unverified.</t>
        </is>
      </c>
      <c r="J7" s="6" t="inlineStr">
        <is>
          <t>None found — state plants sit outside FSIS reporting; site-visit finding.</t>
        </is>
      </c>
      <c r="K7" s="16" t="n">
        <v>5</v>
      </c>
      <c r="L7" s="16" t="n">
        <v>3</v>
      </c>
      <c r="M7" s="16" t="n">
        <v>3</v>
      </c>
      <c r="N7" s="16" t="n">
        <v>3</v>
      </c>
      <c r="O7" s="16" t="n">
        <v>2</v>
      </c>
      <c r="P7" s="16" t="n">
        <v>4</v>
      </c>
      <c r="Q7" s="16" t="n">
        <v>5</v>
      </c>
      <c r="R7" s="16" t="n">
        <v>4</v>
      </c>
      <c r="S7" s="17">
        <f>ROUND(SUMPRODUCT($K$3:$R$3,K7:R7),1)</f>
        <v/>
      </c>
      <c r="T7" s="17">
        <f>ROUND(SUMPRODUCT($K$4:$R$4,K7:R7),1)</f>
        <v/>
      </c>
      <c r="U7" s="18" t="inlineStr">
        <is>
          <t>1</t>
        </is>
      </c>
      <c r="V7" s="6" t="inlineStr">
        <is>
          <t>Top unworked NC state plant: the Nahunta playbook 37 miles out. Operator Shane Lee. One call closes the volume unknown. (919) 894-2587.</t>
        </is>
      </c>
    </row>
    <row r="8" ht="45.2" customHeight="1">
      <c r="A8" s="10" t="inlineStr">
        <is>
          <t>Gale McLamb Meats
Dunn, NC</t>
        </is>
      </c>
      <c r="B8" s="6" t="inlineStr">
        <is>
          <t>STATE ✓ P-221 (NC)</t>
        </is>
      </c>
      <c r="C8" s="16" t="inlineStr">
        <is>
          <t>NC-East</t>
        </is>
      </c>
      <c r="D8" s="16" t="inlineStr">
        <is>
          <t>44</t>
        </is>
      </c>
      <c r="E8" s="6" t="inlineStr">
        <is>
          <t>Cattle + hogs
(state species A,B,C)</t>
        </is>
      </c>
      <c r="F8" s="6" t="inlineStr">
        <is>
          <t>unknown — likely small
retail-butcher scale</t>
        </is>
      </c>
      <c r="G8" s="6" t="inlineStr">
        <is>
          <t>FULL (NC state = APHIS-equivalent)</t>
        </is>
      </c>
      <c r="H8" s="6" t="inlineStr">
        <is>
          <t>Family plant since 1980 on the same I-95 corridor; same untested-but-right format.</t>
        </is>
      </c>
      <c r="I8" s="6" t="inlineStr">
        <is>
          <t>Long-running custom processing incl. hunter deer — a crew used to cutting to customer instruction.</t>
        </is>
      </c>
      <c r="J8" s="6" t="inlineStr">
        <is>
          <t>None found — outside FSIS reporting; site-visit finding.</t>
        </is>
      </c>
      <c r="K8" s="16" t="n">
        <v>5</v>
      </c>
      <c r="L8" s="16" t="n">
        <v>3</v>
      </c>
      <c r="M8" s="16" t="n">
        <v>3</v>
      </c>
      <c r="N8" s="16" t="n">
        <v>3</v>
      </c>
      <c r="O8" s="16" t="n">
        <v>2</v>
      </c>
      <c r="P8" s="16" t="n">
        <v>4</v>
      </c>
      <c r="Q8" s="16" t="n">
        <v>5</v>
      </c>
      <c r="R8" s="16" t="n">
        <v>4</v>
      </c>
      <c r="S8" s="17">
        <f>ROUND(SUMPRODUCT($K$3:$R$3,K8:R8),1)</f>
        <v/>
      </c>
      <c r="T8" s="17">
        <f>ROUND(SUMPRODUCT($K$4:$R$4,K8:R8),1)</f>
        <v/>
      </c>
      <c r="U8" s="18" t="inlineStr">
        <is>
          <t>1</t>
        </is>
      </c>
      <c r="V8" s="6" t="inlineStr">
        <is>
          <t>Pair with McLamb's Benson as one I-95 trip. (910) 892-7279.</t>
        </is>
      </c>
    </row>
    <row r="9" ht="139" customHeight="1">
      <c r="A9" s="10" t="inlineStr">
        <is>
          <t>Piedmont Custom Meats
Gibsonville, NC</t>
        </is>
      </c>
      <c r="B9" s="6" t="inlineStr">
        <is>
          <t>USDA ✓ M7975 (T-A)</t>
        </is>
      </c>
      <c r="C9" s="16" t="inlineStr">
        <is>
          <t>NC-West</t>
        </is>
      </c>
      <c r="D9" s="16" t="inlineStr">
        <is>
          <t>116</t>
        </is>
      </c>
      <c r="E9" s="6" t="inlineStr">
        <is>
          <t>ALL FOUR hog classes —
only NC plant so flagged</t>
        </is>
      </c>
      <c r="F9" s="6" t="inlineStr">
        <is>
          <t>19-192/wk ALL species
(FSIS cat 2)</t>
        </is>
      </c>
      <c r="G9" s="6" t="inlineStr">
        <is>
          <t>FULL (federal)</t>
        </is>
      </c>
      <c r="H9" s="6" t="inlineStr">
        <is>
          <t>★ Best host structure of any candidate: purpose-built harvest facility, Mon-Fri kill days by appointment (cut schedules organized 5-10 days ahead — plannable), slaughter-only floor, 600+ farm clients — and 116 road mi, INSIDE the radius (borderline). Hog kill $85 + $5.06/head disposal fee (their price sheet, 2026-09-03).</t>
        </is>
      </c>
      <c r="I9" s="6" t="inlineStr">
        <is>
          <t>Large skilled custom operation cutting to spec for 600+ farms; their own $5.06/head disposal fee shows viscera DISCARDED today — organ recovery is pure found revenue.</t>
        </is>
      </c>
      <c r="J9" s="6" t="inlineStr">
        <is>
          <t>POSITIVE: Animal Welfare Approved; Temple Grandin-designed handling; written humane policy. Best EU-facing story of any candidate.</t>
        </is>
      </c>
      <c r="K9" s="16" t="n">
        <v>4</v>
      </c>
      <c r="L9" s="16" t="n">
        <v>5</v>
      </c>
      <c r="M9" s="16" t="n">
        <v>4</v>
      </c>
      <c r="N9" s="16" t="n">
        <v>5</v>
      </c>
      <c r="O9" s="16" t="n">
        <v>3</v>
      </c>
      <c r="P9" s="16" t="n">
        <v>5</v>
      </c>
      <c r="Q9" s="16" t="n">
        <v>5</v>
      </c>
      <c r="R9" s="16" t="n">
        <v>3</v>
      </c>
      <c r="S9" s="17">
        <f>ROUND(SUMPRODUCT($K$3:$R$3,K9:R9),1)</f>
        <v/>
      </c>
      <c r="T9" s="17">
        <f>ROUND(SUMPRODUCT($K$4:$R$4,K9:R9),1)</f>
        <v/>
      </c>
      <c r="U9" s="18" t="inlineStr">
        <is>
          <t>1</t>
        </is>
      </c>
      <c r="V9" s="6" t="inlineStr">
        <is>
          <t>The strongest all-round candidate outside the current base. Limit: cat-2 ceiling (~192/wk all species). ⚠ PROTOCOL QUESTION FOR THE CALL: their FAQ (2026-09-03) says hogs get an electric stun 'and a second time to stop their hearts' (occasionally a rifle for heavy hogs) — ask whether OUR designated hogs can skip the second/cardiac stun to protect thoracic organs and aortas. Scheduling line (336) 628-4949.</t>
        </is>
      </c>
    </row>
    <row r="10" ht="58.6" customHeight="1">
      <c r="A10" s="10" t="inlineStr">
        <is>
          <t>Flowers Slaughter House
Sims, NC</t>
        </is>
      </c>
      <c r="B10" s="6" t="inlineStr">
        <is>
          <t>USDA ✓ M21747</t>
        </is>
      </c>
      <c r="C10" s="16" t="inlineStr">
        <is>
          <t>NC-East</t>
        </is>
      </c>
      <c r="D10" s="16" t="inlineStr">
        <is>
          <t>45</t>
        </is>
      </c>
      <c r="E10" s="6" t="inlineStr">
        <is>
          <t>Market + BOAR/STAG
(largest male anatomy in region)</t>
        </is>
      </c>
      <c r="F10" s="6" t="inlineStr">
        <is>
          <t>19-192/wk (FSIS cat 2)</t>
        </is>
      </c>
      <c r="G10" s="6" t="inlineStr">
        <is>
          <t>FULL (federal)</t>
        </is>
      </c>
      <c r="H10" s="6" t="inlineStr">
        <is>
          <t>Same rural micro-abattoir format our crew already works 3 miles away at CQP; hours M-F 7-5, Sat 7-10.</t>
        </is>
      </c>
      <c r="I10" s="6" t="inlineStr">
        <is>
          <t>Custom-oriented family floor slaughtering whole hogs for farmers — offal return on request is the norm in this class.</t>
        </is>
      </c>
      <c r="J10" s="6" t="inlineStr">
        <is>
          <t>None found.</t>
        </is>
      </c>
      <c r="K10" s="16" t="n">
        <v>5</v>
      </c>
      <c r="L10" s="16" t="n">
        <v>4</v>
      </c>
      <c r="M10" s="16" t="n">
        <v>3</v>
      </c>
      <c r="N10" s="16" t="n">
        <v>4</v>
      </c>
      <c r="O10" s="16" t="n">
        <v>3</v>
      </c>
      <c r="P10" s="16" t="n">
        <v>4</v>
      </c>
      <c r="Q10" s="16" t="n">
        <v>5</v>
      </c>
      <c r="R10" s="16" t="n">
        <v>4</v>
      </c>
      <c r="S10" s="17">
        <f>ROUND(SUMPRODUCT($K$3:$R$3,K10:R10),1)</f>
        <v/>
      </c>
      <c r="T10" s="17">
        <f>ROUND(SUMPRODUCT($K$4:$R$4,K10:R10),1)</f>
        <v/>
      </c>
      <c r="U10" s="19" t="inlineStr">
        <is>
          <t>2</t>
        </is>
      </c>
      <c r="V10" s="6" t="inlineStr">
        <is>
          <t>Cluster play, not a standalone lane: redundancy for Sims + the region's only boar/stag access. Contacts Alan Sharp / Tim Boswell, (252) 237-2982.</t>
        </is>
      </c>
    </row>
    <row r="11" ht="58.6" customHeight="1">
      <c r="A11" s="10" t="inlineStr">
        <is>
          <t>Acre Station Meat Farm
Pinetown, NC</t>
        </is>
      </c>
      <c r="B11" s="6" t="inlineStr">
        <is>
          <t>USDA ✓ M19904 (T-A)</t>
        </is>
      </c>
      <c r="C11" s="16" t="inlineStr">
        <is>
          <t>NC-East</t>
        </is>
      </c>
      <c r="D11" s="16" t="inlineStr">
        <is>
          <t>88</t>
        </is>
      </c>
      <c r="E11" s="6" t="inlineStr">
        <is>
          <t>Market + SOW</t>
        </is>
      </c>
      <c r="F11" s="6" t="inlineStr">
        <is>
          <t>~150 hogs/wk + cattle
(dated profiles; cat 2 ceiling)</t>
        </is>
      </c>
      <c r="G11" s="6" t="inlineStr">
        <is>
          <t>FULL (federal)</t>
        </is>
      </c>
      <c r="H11" s="6" t="inlineStr">
        <is>
          <t>Own kill floor, slow line, TA structure our crews know; 7,000 sq ft processing — a 1-2 person bench is conceivable but tight.</t>
        </is>
      </c>
      <c r="I11" s="6" t="inlineStr">
        <is>
          <t>Full-service custom plant with PUBLISHED kill fees ($0.19/lb dressed + $0.84/lb) — an established cut-to-spec culture.</t>
        </is>
      </c>
      <c r="J11" s="6" t="inlineStr">
        <is>
          <t>None found (FY23Q4-FY26Q3).</t>
        </is>
      </c>
      <c r="K11" s="16" t="n">
        <v>4</v>
      </c>
      <c r="L11" s="16" t="n">
        <v>3</v>
      </c>
      <c r="M11" s="16" t="n">
        <v>4</v>
      </c>
      <c r="N11" s="16" t="n">
        <v>4</v>
      </c>
      <c r="O11" s="16" t="n">
        <v>2</v>
      </c>
      <c r="P11" s="16" t="n">
        <v>5</v>
      </c>
      <c r="Q11" s="16" t="n">
        <v>5</v>
      </c>
      <c r="R11" s="16" t="n">
        <v>4</v>
      </c>
      <c r="S11" s="17">
        <f>ROUND(SUMPRODUCT($K$3:$R$3,K11:R11),1)</f>
        <v/>
      </c>
      <c r="T11" s="17">
        <f>ROUND(SUMPRODUCT($K$4:$R$4,K11:R11),1)</f>
        <v/>
      </c>
      <c r="U11" s="19" t="inlineStr">
        <is>
          <t>2</t>
        </is>
      </c>
      <c r="V11" s="6" t="inlineStr">
        <is>
          <t>Quality/relationship add at Nahunta-like culture; hogs share the week with cattle/sheep/goats, and it is the farthest eastern option (~2 hr). (252) 927-3700.</t>
        </is>
      </c>
    </row>
    <row r="12" ht="112.2" customHeight="1">
      <c r="A12" s="10" t="inlineStr">
        <is>
          <t>Bass Farms (Bass Farm Sausage)
Spring Hope, NC</t>
        </is>
      </c>
      <c r="B12" s="6" t="inlineStr">
        <is>
          <t>USDA ✓ M3521 (T-A)
grant 2/17/2026 — newest in NC</t>
        </is>
      </c>
      <c r="C12" s="16" t="inlineStr">
        <is>
          <t>NC-North</t>
        </is>
      </c>
      <c r="D12" s="16" t="inlineStr">
        <is>
          <t>40</t>
        </is>
      </c>
      <c r="E12" s="6" t="inlineStr">
        <is>
          <t>SOW only — mature anatomy</t>
        </is>
      </c>
      <c r="F12" s="6" t="inlineStr">
        <is>
          <t>19-192/wk (FSIS cat 2 —
UP from cat 1 on 8/17;
the expansion is showing)</t>
        </is>
      </c>
      <c r="G12" s="6" t="inlineStr">
        <is>
          <t>FULL (federal)</t>
        </is>
      </c>
      <c r="H12" s="6" t="inlineStr">
        <is>
          <t>Brand-new floor after a $2.2M/40-job expansion; never hosted outsiders; micro-scale.</t>
        </is>
      </c>
      <c r="I12" s="6" t="inlineStr">
        <is>
          <t>Their crew kills sows for their own sausage — organs/aortas currently WASTE; a growth-mode company likely open to a revenue stream from it.</t>
        </is>
      </c>
      <c r="J12" s="6" t="inlineStr">
        <is>
          <t>None found (new grant).</t>
        </is>
      </c>
      <c r="K12" s="16" t="n">
        <v>5</v>
      </c>
      <c r="L12" s="16" t="n">
        <v>2</v>
      </c>
      <c r="M12" s="16" t="n">
        <v>3</v>
      </c>
      <c r="N12" s="16" t="n">
        <v>3</v>
      </c>
      <c r="O12" s="16" t="n">
        <v>2</v>
      </c>
      <c r="P12" s="16" t="n">
        <v>4</v>
      </c>
      <c r="Q12" s="16" t="n">
        <v>5</v>
      </c>
      <c r="R12" s="16" t="n">
        <v>4</v>
      </c>
      <c r="S12" s="17">
        <f>ROUND(SUMPRODUCT($K$3:$R$3,K12:R12),1)</f>
        <v/>
      </c>
      <c r="T12" s="17">
        <f>ROUND(SUMPRODUCT($K$4:$R$4,K12:R12),1)</f>
        <v/>
      </c>
      <c r="U12" s="19" t="inlineStr">
        <is>
          <t>2</t>
        </is>
      </c>
      <c r="V12" s="6" t="inlineStr">
        <is>
          <t>★ UPGRADED AGAIN 2026-09-03: FSIS now shows slaughter volume category 2 (19-192 sows/wk) — up from category 1 three weeks ago; the $2.2M expansion is showing up in USDA's own data. Still a mature-anatomy add-on rather than a lane, but a GROWING one, 20-40 min from Sims. President Kenneth Edwards. (252) 478-4147.</t>
        </is>
      </c>
    </row>
    <row r="13" ht="85.40000000000001" customHeight="1">
      <c r="A13" s="10" t="inlineStr">
        <is>
          <t>Williamsburg Packing Co.
Kingstree, SC</t>
        </is>
      </c>
      <c r="B13" s="6" t="inlineStr">
        <is>
          <t>USDA ✓ M4005 + P4005 + V4005</t>
        </is>
      </c>
      <c r="C13" s="16" t="inlineStr">
        <is>
          <t>SC</t>
        </is>
      </c>
      <c r="D13" s="16" t="inlineStr">
        <is>
          <t>190</t>
        </is>
      </c>
      <c r="E13" s="6" t="inlineStr">
        <is>
          <t>ALL FOUR hog classes
(market + sow + roaster + boar/stag —
fresh FSIS flags 2026-09-03)</t>
        </is>
      </c>
      <c r="F13" s="6" t="inlineStr">
        <is>
          <t>192-1,917/wk (FSIS cat 3) —
ALL-SPECIES aggregate; hog share
is the open question</t>
        </is>
      </c>
      <c r="G13" s="6" t="inlineStr">
        <is>
          <t>FULL (federal; V4005 voluntary grant
— the non-amenable/research mechanism)</t>
        </is>
      </c>
      <c r="H13" s="6" t="inlineStr">
        <is>
          <t>Too far for weekly Model A (190 road mi); nothing known about hosting posture.</t>
        </is>
      </c>
      <c r="I13" s="6" t="inlineStr">
        <is>
          <t>The only NON-INCUMBENT cat-3 floor within ~200 miles, now showing all four swine classes. Voluntary grant V4005 is the research-tissue mechanism. Crew capability unverified.</t>
        </is>
      </c>
      <c r="J13" s="6" t="inlineStr">
        <is>
          <t>No enforcement found; earlier welfare-CERTIFICATION marketing claims were refuted (claims, not violations) — do not lead with welfare in the pitch.</t>
        </is>
      </c>
      <c r="K13" s="16" t="n">
        <v>1</v>
      </c>
      <c r="L13" s="16" t="n">
        <v>2</v>
      </c>
      <c r="M13" s="16" t="n">
        <v>3</v>
      </c>
      <c r="N13" s="16" t="n">
        <v>4</v>
      </c>
      <c r="O13" s="16" t="n">
        <v>4</v>
      </c>
      <c r="P13" s="16" t="n">
        <v>4</v>
      </c>
      <c r="Q13" s="16" t="n">
        <v>5</v>
      </c>
      <c r="R13" s="16" t="n">
        <v>2</v>
      </c>
      <c r="S13" s="17">
        <f>ROUND(SUMPRODUCT($K$3:$R$3,K13:R13),1)</f>
        <v/>
      </c>
      <c r="T13" s="17">
        <f>ROUND(SUMPRODUCT($K$4:$R$4,K13:R13),1)</f>
        <v/>
      </c>
      <c r="U13" s="19" t="inlineStr">
        <is>
          <t>2</t>
        </is>
      </c>
      <c r="V13" s="6" t="inlineStr">
        <is>
          <t>ONE call decides it: actual hogs/week (the cat-3 band is a multi-species aggregate, so the hog number could disappoint). If the hog share is real, this is the only outside-the-base volume play in reach — as Model B-T. (843) 355-6447.</t>
        </is>
      </c>
    </row>
    <row r="14" ht="45.2" customHeight="1">
      <c r="A14" s="10" t="inlineStr">
        <is>
          <t>Contentnea Farms
Walstonburg, NC</t>
        </is>
      </c>
      <c r="B14" s="6" t="inlineStr">
        <is>
          <t>USDA ✓ M2583 (T-A)
grant 10/29/2025</t>
        </is>
      </c>
      <c r="C14" s="16" t="inlineStr">
        <is>
          <t>NC-East</t>
        </is>
      </c>
      <c r="D14" s="16" t="inlineStr">
        <is>
          <t>35</t>
        </is>
      </c>
      <c r="E14" s="6" t="inlineStr">
        <is>
          <t>Market + sow + boar/stag</t>
        </is>
      </c>
      <c r="F14" s="6" t="inlineStr">
        <is>
          <t>&lt;19/wk (FSIS cat 1)</t>
        </is>
      </c>
      <c r="G14" s="6" t="inlineStr">
        <is>
          <t>FULL (federal)</t>
        </is>
      </c>
      <c r="H14" s="6" t="inlineStr">
        <is>
          <t>Too small to host a crew productively.</t>
        </is>
      </c>
      <c r="I14" s="6" t="inlineStr">
        <is>
          <t>Custom shop with published small-pig pricing — cut-to-spec culture at homestead scale.</t>
        </is>
      </c>
      <c r="J14" s="6" t="inlineStr">
        <is>
          <t>None found.</t>
        </is>
      </c>
      <c r="K14" s="16" t="n">
        <v>5</v>
      </c>
      <c r="L14" s="16" t="n">
        <v>2</v>
      </c>
      <c r="M14" s="16" t="n">
        <v>3</v>
      </c>
      <c r="N14" s="16" t="n">
        <v>4</v>
      </c>
      <c r="O14" s="16" t="n">
        <v>1</v>
      </c>
      <c r="P14" s="16" t="n">
        <v>4</v>
      </c>
      <c r="Q14" s="16" t="n">
        <v>5</v>
      </c>
      <c r="R14" s="16" t="n">
        <v>3</v>
      </c>
      <c r="S14" s="17">
        <f>ROUND(SUMPRODUCT($K$3:$R$3,K14:R14),1)</f>
        <v/>
      </c>
      <c r="T14" s="17">
        <f>ROUND(SUMPRODUCT($K$4:$R$4,K14:R14),1)</f>
        <v/>
      </c>
      <c r="U14" s="20" t="inlineStr">
        <is>
          <t>3</t>
        </is>
      </c>
      <c r="V14" s="6" t="inlineStr">
        <is>
          <t>Closest plant on the list (35 mi) but &lt;19/wk: overflow/pilot for odd-lot sow or boar needs only. (252) 717-9229.</t>
        </is>
      </c>
    </row>
    <row r="15" ht="58.6" customHeight="1">
      <c r="A15" s="10" t="inlineStr">
        <is>
          <t>Select Meats
Kannapolis, NC</t>
        </is>
      </c>
      <c r="B15" s="6" t="inlineStr">
        <is>
          <t>USDA ✓ M10757 (T-A)</t>
        </is>
      </c>
      <c r="C15" s="16" t="inlineStr">
        <is>
          <t>NC-West</t>
        </is>
      </c>
      <c r="D15" s="16" t="inlineStr">
        <is>
          <t>190</t>
        </is>
      </c>
      <c r="E15" s="6" t="inlineStr">
        <is>
          <t>MARKET only</t>
        </is>
      </c>
      <c r="F15" s="6" t="inlineStr">
        <is>
          <t>19-192/wk all species
(FSIS cat 2)</t>
        </is>
      </c>
      <c r="G15" s="6" t="inlineStr">
        <is>
          <t>FULL (federal)</t>
        </is>
      </c>
      <c r="H15" s="6" t="inlineStr">
        <is>
          <t>Slaughter-only structure (favorable); facility size and hosting posture unknown — near-zero public footprint.</t>
        </is>
      </c>
      <c r="I15" s="6" t="inlineStr">
        <is>
          <t>Cattle+hogs custom plant since 1987 (mgr Gerald Wood); crew capability unverified.</t>
        </is>
      </c>
      <c r="J15" s="6" t="inlineStr">
        <is>
          <t>None found.</t>
        </is>
      </c>
      <c r="K15" s="16" t="n">
        <v>1</v>
      </c>
      <c r="L15" s="16" t="n">
        <v>3</v>
      </c>
      <c r="M15" s="16" t="n">
        <v>2</v>
      </c>
      <c r="N15" s="16" t="n">
        <v>5</v>
      </c>
      <c r="O15" s="16" t="n">
        <v>3</v>
      </c>
      <c r="P15" s="16" t="n">
        <v>4</v>
      </c>
      <c r="Q15" s="16" t="n">
        <v>5</v>
      </c>
      <c r="R15" s="16" t="n">
        <v>2</v>
      </c>
      <c r="S15" s="17">
        <f>ROUND(SUMPRODUCT($K$3:$R$3,K15:R15),1)</f>
        <v/>
      </c>
      <c r="T15" s="17">
        <f>ROUND(SUMPRODUCT($K$4:$R$4,K15:R15),1)</f>
        <v/>
      </c>
      <c r="U15" s="20" t="inlineStr">
        <is>
          <t>3</t>
        </is>
      </c>
      <c r="V15" s="6" t="inlineStr">
        <is>
          <t>The western sleeper — one phone call resolves it, but at 190 mi it needs a western crew or Model B-T to matter. (704) 202-9340 / (704) 933-7550.</t>
        </is>
      </c>
    </row>
    <row r="16" ht="72" customHeight="1">
      <c r="A16" s="10" t="inlineStr">
        <is>
          <t>Wilkes Abattoir (Apple Brandy)
N. Wilkesboro, NC</t>
        </is>
      </c>
      <c r="B16" s="6" t="inlineStr">
        <is>
          <t>USDA ✓ M19511 (T-A)</t>
        </is>
      </c>
      <c r="C16" s="16" t="inlineStr">
        <is>
          <t>NC-West</t>
        </is>
      </c>
      <c r="D16" s="16" t="inlineStr">
        <is>
          <t>209</t>
        </is>
      </c>
      <c r="E16" s="6" t="inlineStr">
        <is>
          <t>Market + sow + boar/stag</t>
        </is>
      </c>
      <c r="F16" s="6" t="inlineStr">
        <is>
          <t>est. ~10-95 hogs/wk
(cat 2 × ~50% hog share)</t>
        </is>
      </c>
      <c r="G16" s="6" t="inlineStr">
        <is>
          <t>FULL (federal)</t>
        </is>
      </c>
      <c r="H16" s="6" t="inlineStr">
        <is>
          <t>Dedicated slaughter-only site; owner Seth Church; size adequate for a small embedded crew.</t>
        </is>
      </c>
      <c r="I16" s="6" t="inlineStr">
        <is>
          <t>Farmer-service custom abattoir vertically integrated with the Apple Brandy Beef brand — real cut-to-spec capability.</t>
        </is>
      </c>
      <c r="J16" s="6" t="inlineStr">
        <is>
          <t>Prior owner (Thomas Brothers) had repeat suspensions 2009/15/18; clean under Apple Brandy since 2019 — site history an EU auditor could surface.</t>
        </is>
      </c>
      <c r="K16" s="16" t="n">
        <v>1</v>
      </c>
      <c r="L16" s="16" t="n">
        <v>4</v>
      </c>
      <c r="M16" s="16" t="n">
        <v>4</v>
      </c>
      <c r="N16" s="16" t="n">
        <v>4</v>
      </c>
      <c r="O16" s="16" t="n">
        <v>3</v>
      </c>
      <c r="P16" s="16" t="n">
        <v>3</v>
      </c>
      <c r="Q16" s="16" t="n">
        <v>5</v>
      </c>
      <c r="R16" s="16" t="n">
        <v>3</v>
      </c>
      <c r="S16" s="17">
        <f>ROUND(SUMPRODUCT($K$3:$R$3,K16:R16),1)</f>
        <v/>
      </c>
      <c r="T16" s="17">
        <f>ROUND(SUMPRODUCT($K$4:$R$4,K16:R16),1)</f>
        <v/>
      </c>
      <c r="U16" s="20" t="inlineStr">
        <is>
          <t>3</t>
        </is>
      </c>
      <c r="V16" s="6" t="inlineStr">
        <is>
          <t>Highest confirmed hog share in the west (~half the kill) — but 209 mi. Model B-T only. (336) 667-1346.</t>
        </is>
      </c>
    </row>
    <row r="17" ht="72" customHeight="1">
      <c r="A17" s="10" t="inlineStr">
        <is>
          <t>Western state trio: Caldwell P-312 ·
Price's P-307 · McLaughlin's P-85</t>
        </is>
      </c>
      <c r="B17" s="6" t="inlineStr">
        <is>
          <t>STATE ✓ (NC)
Maiden / Hickory / Mooresville</t>
        </is>
      </c>
      <c r="C17" s="16" t="inlineStr">
        <is>
          <t>NC-West</t>
        </is>
      </c>
      <c r="D17" s="16" t="inlineStr">
        <is>
          <t>201-227</t>
        </is>
      </c>
      <c r="E17" s="6" t="inlineStr">
        <is>
          <t>Hog-ONLY (all three) —
class mix unpublished</t>
        </is>
      </c>
      <c r="F17" s="6" t="inlineStr">
        <is>
          <t>unknown — state plants
publish no volumes</t>
        </is>
      </c>
      <c r="G17" s="6" t="inlineStr">
        <is>
          <t>FULL (NC state = APHIS-equivalent)</t>
        </is>
      </c>
      <c r="H17" s="6" t="inlineStr">
        <is>
          <t>The Nahunta structural formula ×3: swine-only state floors. Price's kills Mon/Wed (plannable) and hand-scrapes to preserve skin.</t>
        </is>
      </c>
      <c r="I17" s="6" t="inlineStr">
        <is>
          <t>McLaughlin's is a production plant with its own hog supply (sausage/livermush since 1962) — a real crew; NOTE livers are their raw material, blocks/aortas don't compete.</t>
        </is>
      </c>
      <c r="J17" s="6" t="inlineStr">
        <is>
          <t>None found (state — site-visit finding).</t>
        </is>
      </c>
      <c r="K17" s="16" t="n">
        <v>1</v>
      </c>
      <c r="L17" s="16" t="n">
        <v>3</v>
      </c>
      <c r="M17" s="16" t="n">
        <v>3</v>
      </c>
      <c r="N17" s="16" t="n">
        <v>3</v>
      </c>
      <c r="O17" s="16" t="n">
        <v>2</v>
      </c>
      <c r="P17" s="16" t="n">
        <v>4</v>
      </c>
      <c r="Q17" s="16" t="n">
        <v>5</v>
      </c>
      <c r="R17" s="16" t="n">
        <v>4</v>
      </c>
      <c r="S17" s="17">
        <f>ROUND(SUMPRODUCT($K$3:$R$3,K17:R17),1)</f>
        <v/>
      </c>
      <c r="T17" s="17">
        <f>ROUND(SUMPRODUCT($K$4:$R$4,K17:R17),1)</f>
        <v/>
      </c>
      <c r="U17" s="20" t="inlineStr">
        <is>
          <t>3</t>
        </is>
      </c>
      <c r="V17" s="6" t="inlineStr">
        <is>
          <t>A future 'western mini-Nahunta' — park until a western crew or B-T supervision loop is justified; then visit Caldwell first.</t>
        </is>
      </c>
    </row>
    <row r="18" ht="45.2" customHeight="1">
      <c r="A18" s="10" t="inlineStr">
        <is>
          <t>Key Packing Co.
Robbins, NC</t>
        </is>
      </c>
      <c r="B18" s="6" t="inlineStr">
        <is>
          <t>STATE ✓ P-48 (NC)</t>
        </is>
      </c>
      <c r="C18" s="16" t="inlineStr">
        <is>
          <t>NC-Central</t>
        </is>
      </c>
      <c r="D18" s="16" t="inlineStr">
        <is>
          <t>116</t>
        </is>
      </c>
      <c r="E18" s="6" t="inlineStr">
        <is>
          <t>Multi-species incl. hogs
(A,B,C,D,E)</t>
        </is>
      </c>
      <c r="F18" s="6" t="inlineStr">
        <is>
          <t>unknown (small)</t>
        </is>
      </c>
      <c r="G18" s="6" t="inlineStr">
        <is>
          <t>FULL (NC state = APHIS-equivalent)</t>
        </is>
      </c>
      <c r="H18" s="6" t="inlineStr">
        <is>
          <t>Multi-species state plant at the Sandhills edge; format plausible, untested.</t>
        </is>
      </c>
      <c r="I18" s="6" t="inlineStr">
        <is>
          <t>Custom trade; unverified.</t>
        </is>
      </c>
      <c r="J18" s="6" t="inlineStr">
        <is>
          <t>None found (state).</t>
        </is>
      </c>
      <c r="K18" s="16" t="n">
        <v>4</v>
      </c>
      <c r="L18" s="16" t="n">
        <v>3</v>
      </c>
      <c r="M18" s="16" t="n">
        <v>3</v>
      </c>
      <c r="N18" s="16" t="n">
        <v>3</v>
      </c>
      <c r="O18" s="16" t="n">
        <v>2</v>
      </c>
      <c r="P18" s="16" t="n">
        <v>4</v>
      </c>
      <c r="Q18" s="16" t="n">
        <v>5</v>
      </c>
      <c r="R18" s="16" t="n">
        <v>3</v>
      </c>
      <c r="S18" s="17">
        <f>ROUND(SUMPRODUCT($K$3:$R$3,K18:R18),1)</f>
        <v/>
      </c>
      <c r="T18" s="17">
        <f>ROUND(SUMPRODUCT($K$4:$R$4,K18:R18),1)</f>
        <v/>
      </c>
      <c r="U18" s="20" t="inlineStr">
        <is>
          <t>3</t>
        </is>
      </c>
      <c r="V18" s="6" t="inlineStr">
        <is>
          <t>Borderline-radius backup on the same state-inspection path; behind the I-95 pair on every axis. (910) 464-3507.</t>
        </is>
      </c>
    </row>
    <row r="19" ht="112.2" customHeight="1">
      <c r="A19" s="10" t="inlineStr">
        <is>
          <t>Hemingway Locker Plant
Hemingway, SC</t>
        </is>
      </c>
      <c r="B19" s="6" t="inlineStr">
        <is>
          <t>USDA ✓ M34181</t>
        </is>
      </c>
      <c r="C19" s="16" t="inlineStr">
        <is>
          <t>SC</t>
        </is>
      </c>
      <c r="D19" s="16" t="inlineStr">
        <is>
          <t>180</t>
        </is>
      </c>
      <c r="E19" s="6" t="inlineStr">
        <is>
          <t>MARKET hogs</t>
        </is>
      </c>
      <c r="F19" s="6" t="inlineStr">
        <is>
          <t>19-192/wk (FSIS cat 2)</t>
        </is>
      </c>
      <c r="G19" s="6" t="inlineStr">
        <is>
          <t>FULL (federal)</t>
        </is>
      </c>
      <c r="H19" s="6" t="inlineStr">
        <is>
          <t>Small-town locker plant, 180 road mi — outside weekly Model A range.</t>
        </is>
      </c>
      <c r="I19" s="6" t="inlineStr">
        <is>
          <t>Market-hog cat-2 federal floor missed by every earlier pass (surfaced in the fresh 2026-09-03 FSIS pull). Locker-plant format implies custom cut-to-spec culture; unverified.</t>
        </is>
      </c>
      <c r="J19" s="6" t="inlineStr">
        <is>
          <t>One humane-handling action: NOS 7/2/2024 (first stun ineffective), held in abeyance 7/3/2024 after same-day corrective action — stunner replaced and retrained (FSIS letter, retrieved 2026-09-03). Nothing since.</t>
        </is>
      </c>
      <c r="K19" s="16" t="n">
        <v>1</v>
      </c>
      <c r="L19" s="16" t="n">
        <v>2</v>
      </c>
      <c r="M19" s="16" t="n">
        <v>3</v>
      </c>
      <c r="N19" s="16" t="n">
        <v>5</v>
      </c>
      <c r="O19" s="16" t="n">
        <v>3</v>
      </c>
      <c r="P19" s="16" t="n">
        <v>3</v>
      </c>
      <c r="Q19" s="16" t="n">
        <v>5</v>
      </c>
      <c r="R19" s="16" t="n">
        <v>3</v>
      </c>
      <c r="S19" s="17">
        <f>ROUND(SUMPRODUCT($K$3:$R$3,K19:R19),1)</f>
        <v/>
      </c>
      <c r="T19" s="17">
        <f>ROUND(SUMPRODUCT($K$4:$R$4,K19:R19),1)</f>
        <v/>
      </c>
      <c r="U19" s="20" t="inlineStr">
        <is>
          <t>3</t>
        </is>
      </c>
      <c r="V19" s="6" t="inlineStr">
        <is>
          <t>NEW FIND 2026-09-03. A market-hog cat-2 federal plant 30 min from Williamsburg Packing — pair the two on one SC exploration trip if Williamsburg's call goes well. Owner Bobby McDaniel Jr. (843) 558-2751.</t>
        </is>
      </c>
    </row>
    <row r="20" ht="45.2" customHeight="1">
      <c r="A20" s="10" t="inlineStr">
        <is>
          <t>SCR International
Fairmont, NC</t>
        </is>
      </c>
      <c r="B20" s="6" t="inlineStr">
        <is>
          <t>USDA ✓ M9199 (T-A)</t>
        </is>
      </c>
      <c r="C20" s="16" t="inlineStr">
        <is>
          <t>NC-East</t>
        </is>
      </c>
      <c r="D20" s="16" t="inlineStr">
        <is>
          <t>114</t>
        </is>
      </c>
      <c r="E20" s="6" t="inlineStr">
        <is>
          <t>Roasters 10-110 lb
(lechon/ethnic trade)</t>
        </is>
      </c>
      <c r="F20" s="6" t="inlineStr">
        <is>
          <t>19-192/wk (FSIS cat 2)</t>
        </is>
      </c>
      <c r="G20" s="6" t="inlineStr">
        <is>
          <t>FULL (federal)</t>
        </is>
      </c>
      <c r="H20" s="6" t="inlineStr">
        <is>
          <t>Very small; ~90 min SW; duplicates Parks' roaster niche.</t>
        </is>
      </c>
      <c r="I20" s="6" t="inlineStr">
        <is>
          <t>Whole-pig roaster house — dresses whole; small-pig anatomy wrong for our blocks.</t>
        </is>
      </c>
      <c r="J20" s="6" t="inlineStr">
        <is>
          <t>None found.</t>
        </is>
      </c>
      <c r="K20" s="16" t="n">
        <v>4</v>
      </c>
      <c r="L20" s="16" t="n">
        <v>2</v>
      </c>
      <c r="M20" s="16" t="n">
        <v>2</v>
      </c>
      <c r="N20" s="16" t="n">
        <v>2</v>
      </c>
      <c r="O20" s="16" t="n">
        <v>3</v>
      </c>
      <c r="P20" s="16" t="n">
        <v>4</v>
      </c>
      <c r="Q20" s="16" t="n">
        <v>5</v>
      </c>
      <c r="R20" s="16" t="n">
        <v>2</v>
      </c>
      <c r="S20" s="17">
        <f>ROUND(SUMPRODUCT($K$3:$R$3,K20:R20),1)</f>
        <v/>
      </c>
      <c r="T20" s="17">
        <f>ROUND(SUMPRODUCT($K$4:$R$4,K20:R20),1)</f>
        <v/>
      </c>
      <c r="U20" s="21" t="inlineStr">
        <is>
          <t>X</t>
        </is>
      </c>
      <c r="V20" s="6" t="inlineStr">
        <is>
          <t>Identified 2026-08-17: a second Parks with no upside and a dead website. Logged so nobody spends a trip on it.</t>
        </is>
      </c>
    </row>
  </sheetData>
  <autoFilter ref="A5:V20"/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K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7" customWidth="1" min="2" max="2"/>
    <col width="15" customWidth="1" min="3" max="3"/>
    <col width="14" customWidth="1" min="4" max="4"/>
    <col width="16" customWidth="1" min="5" max="5"/>
    <col width="44" customWidth="1" min="6" max="6"/>
    <col width="34" customWidth="1" min="7" max="7"/>
    <col width="40" customWidth="1" min="8" max="8"/>
    <col width="15" customWidth="1" min="9" max="9"/>
    <col width="15" customWidth="1" min="10" max="10"/>
    <col width="30" customWidth="1" min="11" max="11"/>
  </cols>
  <sheetData>
    <row r="1" ht="19.7" customHeight="1">
      <c r="A1" s="7" t="inlineStr">
        <is>
          <t>PLAN OF ACTION — working sheet for the purchasing-manager session (call → questionnaire → visit)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 ht="31.8" customHeight="1">
      <c r="A2" s="11" t="inlineStr">
        <is>
          <t>YELLOW cells are yours to fill in during the session (owner, dates, outcomes, decision). The grey italic line is an EXAMPLE of a filled row — replace nothing in it; it is not a real call. Sequence: work tier-1 top-down; a candidate advances to VISIT only if its decisive questions pass on the call.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</row>
    <row r="3" ht="31.8" customHeight="1">
      <c r="A3" s="9" t="inlineStr">
        <is>
          <t>Pri</t>
        </is>
      </c>
      <c r="B3" s="9" t="inlineStr">
        <is>
          <t>Candidate</t>
        </is>
      </c>
      <c r="C3" s="9" t="inlineStr">
        <is>
          <t>Model to propose</t>
        </is>
      </c>
      <c r="D3" s="9" t="inlineStr">
        <is>
          <t>Owner</t>
        </is>
      </c>
      <c r="E3" s="9" t="inlineStr">
        <is>
          <t>Call target date</t>
        </is>
      </c>
      <c r="F3" s="9" t="inlineStr">
        <is>
          <t>DECISIVE questions for the call (from the Questionnaire tab)</t>
        </is>
      </c>
      <c r="G3" s="9" t="inlineStr">
        <is>
          <t>Go / No-Go gate after the call</t>
        </is>
      </c>
      <c r="H3" s="9" t="inlineStr">
        <is>
          <t>Visit: what to verify on-site</t>
        </is>
      </c>
      <c r="I3" s="9" t="inlineStr">
        <is>
          <t>Call outcome</t>
        </is>
      </c>
      <c r="J3" s="9" t="inlineStr">
        <is>
          <t>Decision</t>
        </is>
      </c>
      <c r="K3" s="9" t="inlineStr">
        <is>
          <t>Notes</t>
        </is>
      </c>
    </row>
    <row r="4" ht="31.8" customHeight="1">
      <c r="A4" s="22" t="inlineStr">
        <is>
          <t>–</t>
        </is>
      </c>
      <c r="B4" s="22" t="inlineStr">
        <is>
          <t>EXAMPLE — Plant X (P-000)</t>
        </is>
      </c>
      <c r="C4" s="22" t="inlineStr">
        <is>
          <t>A (our techs)</t>
        </is>
      </c>
      <c r="D4" s="22" t="inlineStr">
        <is>
          <t>J. Smith</t>
        </is>
      </c>
      <c r="E4" s="22" t="inlineStr">
        <is>
          <t>2026-09-12</t>
        </is>
      </c>
      <c r="F4" s="22" t="inlineStr">
        <is>
          <t>D1 host our techs? · A2 hogs/week? · C4 time-to-chill?</t>
        </is>
      </c>
      <c r="G4" s="22" t="inlineStr">
        <is>
          <t>Hosts crews AND kills ≥2 days/wk → visit</t>
        </is>
      </c>
      <c r="H4" s="22" t="inlineStr">
        <is>
          <t>Floor space &amp; bench spot · stunning method · chill room · welfare culture</t>
        </is>
      </c>
      <c r="I4" s="22" t="inlineStr">
        <is>
          <t>PASSED 9/12</t>
        </is>
      </c>
      <c r="J4" s="22" t="inlineStr">
        <is>
          <t>VISIT 9/25</t>
        </is>
      </c>
      <c r="K4" s="22" t="inlineStr">
        <is>
          <t>friendly; owner answers directly</t>
        </is>
      </c>
    </row>
    <row r="5" ht="58.6" customHeight="1">
      <c r="A5" s="18" t="inlineStr">
        <is>
          <t>1a</t>
        </is>
      </c>
      <c r="B5" s="10" t="inlineStr">
        <is>
          <t>Larry's Sausage (M8305)</t>
        </is>
      </c>
      <c r="C5" s="6" t="inlineStr">
        <is>
          <t>Either — open with A</t>
        </is>
      </c>
      <c r="D5" s="23" t="inlineStr"/>
      <c r="E5" s="23" t="inlineStr"/>
      <c r="F5" s="6" t="inlineStr">
        <is>
          <t>A1 which classes/sow condition · A2 head/wk · C1 viscera today · D1 host our techs? · D2 their crew w/ training?</t>
        </is>
      </c>
      <c r="G5" s="6" t="inlineStr">
        <is>
          <t>INTERNAL FIRST: does sow anatomy pass the spec for pelvic/bariatric blocks? Then: kills ≥2 days/wk AND says yes to either model → visit.</t>
        </is>
      </c>
      <c r="H5" s="6" t="inlineStr">
        <is>
          <t>Sow condition/parity on the rail · evisceration station · chill time · which Godwin-family member decides</t>
        </is>
      </c>
      <c r="I5" s="23" t="inlineStr"/>
      <c r="J5" s="23" t="inlineStr"/>
      <c r="K5" s="24" t="inlineStr">
        <is>
          <t>Call Tue 9-3 (their office hours)</t>
        </is>
      </c>
    </row>
    <row r="6" ht="45.2" customHeight="1">
      <c r="A6" s="18" t="inlineStr">
        <is>
          <t>1b</t>
        </is>
      </c>
      <c r="B6" s="10" t="inlineStr">
        <is>
          <t>McLamb's Abattoir (P-247) + Gale McLamb (P-221)</t>
        </is>
      </c>
      <c r="C6" s="6" t="inlineStr">
        <is>
          <t>A (our techs)</t>
        </is>
      </c>
      <c r="D6" s="23" t="inlineStr"/>
      <c r="E6" s="23" t="inlineStr"/>
      <c r="F6" s="6" t="inlineStr">
        <is>
          <t>A2 hogs/wk + hog share · A3 kill days · C2 blocks intact? · D1 host our techs?</t>
        </is>
      </c>
      <c r="G6" s="6" t="inlineStr">
        <is>
          <t>Either plant kills hogs ≥1 fixed day/wk and will host → visit both on one I-95 trip.</t>
        </is>
      </c>
      <c r="H6" s="6" t="inlineStr">
        <is>
          <t>Floor + bench space · stunning method · chill capacity · meet Shane Lee / the McLambs</t>
        </is>
      </c>
      <c r="I6" s="23" t="inlineStr"/>
      <c r="J6" s="23" t="inlineStr"/>
      <c r="K6" s="24" t="inlineStr">
        <is>
          <t>One trip, two plants, 37-44 mi</t>
        </is>
      </c>
    </row>
    <row r="7" ht="72" customHeight="1">
      <c r="A7" s="18" t="inlineStr">
        <is>
          <t>1c</t>
        </is>
      </c>
      <c r="B7" s="10" t="inlineStr">
        <is>
          <t>Piedmont Custom Meats (M7975)</t>
        </is>
      </c>
      <c r="C7" s="6" t="inlineStr">
        <is>
          <t>Either — strongest B-T candidate</t>
        </is>
      </c>
      <c r="D7" s="23" t="inlineStr"/>
      <c r="E7" s="23" t="inlineStr"/>
      <c r="F7" s="6" t="inlineStr">
        <is>
          <t>A2 hog head/wk within the all-species cat-2 · C1 offal today (they charge disposal!) · D1 host on appointment days · D2 crew harvest to spec? · ⚠ stunning protocol: can our designated hogs skip the second (cardiac) stun?</t>
        </is>
      </c>
      <c r="G7" s="6" t="inlineStr">
        <is>
          <t>Hog share ≥1 day/wk equivalent AND either model yes → visit; also probe EU-facing welfare documentation (AWA cert scope).</t>
        </is>
      </c>
      <c r="H7" s="6" t="inlineStr">
        <is>
          <t>Gibsonville kill floor (not Asheboro) · appointment mechanics · AWA paperwork · who runs the floor</t>
        </is>
      </c>
      <c r="I7" s="23" t="inlineStr"/>
      <c r="J7" s="23" t="inlineStr"/>
      <c r="K7" s="24" t="inlineStr">
        <is>
          <t>Scheduling line (336) 628-4949; 116 mi = same-day but long</t>
        </is>
      </c>
    </row>
    <row r="8" ht="31.8" customHeight="1">
      <c r="A8" s="19" t="inlineStr">
        <is>
          <t>2a</t>
        </is>
      </c>
      <c r="B8" s="10" t="inlineStr">
        <is>
          <t>Flowers Slaughter House (M21747)</t>
        </is>
      </c>
      <c r="C8" s="6" t="inlineStr">
        <is>
          <t>A (cluster with CQP)</t>
        </is>
      </c>
      <c r="D8" s="23" t="inlineStr"/>
      <c r="E8" s="23" t="inlineStr"/>
      <c r="F8" s="6" t="inlineStr">
        <is>
          <t>A2 hogs/wk · A3 days vs CQP's days · C2 blocks intact · D1 host?</t>
        </is>
      </c>
      <c r="G8" s="6" t="inlineStr">
        <is>
          <t>Kill days complement CQP → fold into the Sims cluster crew plan.</t>
        </is>
      </c>
      <c r="H8" s="6" t="inlineStr">
        <is>
          <t>Walk it the same day as a CQP harvest day — 3 miles apart</t>
        </is>
      </c>
      <c r="I8" s="23" t="inlineStr"/>
      <c r="J8" s="23" t="inlineStr"/>
      <c r="K8" s="24" t="inlineStr">
        <is>
          <t>Boar/stag access is the unique add</t>
        </is>
      </c>
    </row>
    <row r="9" ht="31.8" customHeight="1">
      <c r="A9" s="19" t="inlineStr">
        <is>
          <t>2b</t>
        </is>
      </c>
      <c r="B9" s="10" t="inlineStr">
        <is>
          <t>Acre Station (M19904)</t>
        </is>
      </c>
      <c r="C9" s="6" t="inlineStr">
        <is>
          <t>B-T preferred (distance)</t>
        </is>
      </c>
      <c r="D9" s="23" t="inlineStr"/>
      <c r="E9" s="23" t="inlineStr"/>
      <c r="F9" s="6" t="inlineStr">
        <is>
          <t>A2 hog days/wk among the multi-species week · C1 offal on whole-hog orders · D2 crew to our spec?</t>
        </is>
      </c>
      <c r="G9" s="6" t="inlineStr">
        <is>
          <t>≥1 dedicated hog day AND crew willing → visit.</t>
        </is>
      </c>
      <c r="H9" s="6" t="inlineStr">
        <is>
          <t>Line speed · crew tenure · chill room · family decision-maker</t>
        </is>
      </c>
      <c r="I9" s="23" t="inlineStr"/>
      <c r="J9" s="23" t="inlineStr"/>
      <c r="K9" s="24" t="inlineStr">
        <is>
          <t>~2 hr out — B-T fits better than weekly Model A</t>
        </is>
      </c>
    </row>
    <row r="10" ht="45.2" customHeight="1">
      <c r="A10" s="19" t="inlineStr">
        <is>
          <t>2c</t>
        </is>
      </c>
      <c r="B10" s="10" t="inlineStr">
        <is>
          <t>Bass Farms (M3521)</t>
        </is>
      </c>
      <c r="C10" s="6" t="inlineStr">
        <is>
          <t>B-T micro-pilot</t>
        </is>
      </c>
      <c r="D10" s="23" t="inlineStr"/>
      <c r="E10" s="23" t="inlineStr"/>
      <c r="F10" s="6" t="inlineStr">
        <is>
          <t>A2 sows/wk now + growth plan · C1 what happens to organs · D2 would their crew save organ sets to our spec?</t>
        </is>
      </c>
      <c r="G10" s="6" t="inlineStr">
        <is>
          <t>Willing to pilot a few organ sets/wk → small B-T pilot, no visit needed first.</t>
        </is>
      </c>
      <c r="H10" s="6" t="inlineStr">
        <is>
          <t>(pilot first; visit when volume grows)</t>
        </is>
      </c>
      <c r="I10" s="23" t="inlineStr"/>
      <c r="J10" s="23" t="inlineStr"/>
      <c r="K10" s="24" t="inlineStr">
        <is>
          <t>Kenneth Edwards; FSIS volume category rose cat 1→2 between Aug 17 and Sep 3 — growth mode confirmed</t>
        </is>
      </c>
    </row>
    <row r="11" ht="45.2" customHeight="1">
      <c r="A11" s="19" t="inlineStr">
        <is>
          <t>2d</t>
        </is>
      </c>
      <c r="B11" s="10" t="inlineStr">
        <is>
          <t>Williamsburg Packing (M4005) — SC</t>
        </is>
      </c>
      <c r="C11" s="6" t="inlineStr">
        <is>
          <t>B-T (distance)</t>
        </is>
      </c>
      <c r="D11" s="23" t="inlineStr"/>
      <c r="E11" s="23" t="inlineStr"/>
      <c r="F11" s="6" t="inlineStr">
        <is>
          <t>A2 HOGS specifically per week (their cat-3 band is all-species — get the hog number) · A1 classes · C1 viscera today · D2 crew to our spec?</t>
        </is>
      </c>
      <c r="G11" s="6" t="inlineStr">
        <is>
          <t>Hog share ≥300/wk AND open to supervised harvest → SC trip (pair with Hemingway Locker, 30 min away).</t>
        </is>
      </c>
      <c r="H11" s="6" t="inlineStr">
        <is>
          <t>Hog line share observed · crew skill · chill chain · V4005 paperwork (research-tissue mechanism)</t>
        </is>
      </c>
      <c r="I11" s="23" t="inlineStr"/>
      <c r="J11" s="23" t="inlineStr"/>
      <c r="K11" s="24" t="inlineStr">
        <is>
          <t>Do NOT lead with welfare (their cert claims were refuted). (843) 355-6447</t>
        </is>
      </c>
    </row>
    <row r="12" ht="45.2" customHeight="1">
      <c r="A12" s="20" t="inlineStr">
        <is>
          <t>3</t>
        </is>
      </c>
      <c r="B12" s="10" t="inlineStr">
        <is>
          <t>Contentnea · Select Meats · Wilkes/Apple Brandy · western trio · Key Packing</t>
        </is>
      </c>
      <c r="C12" s="6" t="inlineStr">
        <is>
          <t>Park</t>
        </is>
      </c>
      <c r="D12" s="23" t="inlineStr"/>
      <c r="E12" s="23" t="inlineStr"/>
      <c r="F12" s="6" t="inlineStr">
        <is>
          <t>(one exploratory call each, when capacity is needed)</t>
        </is>
      </c>
      <c r="G12" s="6" t="inlineStr">
        <is>
          <t>Only if tier-1/2 outcomes leave a gap.</t>
        </is>
      </c>
      <c r="H12" s="6" t="inlineStr">
        <is>
          <t>—</t>
        </is>
      </c>
      <c r="I12" s="23" t="inlineStr"/>
      <c r="J12" s="23" t="inlineStr"/>
      <c r="K12" s="24" t="inlineStr">
        <is>
          <t>See Rated Candidates for each plant's specifics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8" customWidth="1" min="2" max="2"/>
    <col width="42" customWidth="1" min="3" max="3"/>
  </cols>
  <sheetData>
    <row r="1" ht="19.7" customHeight="1">
      <c r="A1" s="7" t="inlineStr">
        <is>
          <t>CALL QUESTIONNAIRE — stage 1 (phone). Answer cells are yellow; the visit checklist at the bottom is stage 2.</t>
        </is>
      </c>
      <c r="B1" s="8" t="n"/>
      <c r="C1" s="8" t="n"/>
    </row>
    <row r="2" ht="18.4" customHeight="1">
      <c r="A2" s="9" t="inlineStr">
        <is>
          <t>HEADER — fill before dialing</t>
        </is>
      </c>
      <c r="B2" s="4" t="n"/>
      <c r="C2" s="4" t="n"/>
    </row>
    <row r="3" ht="18.4" customHeight="1">
      <c r="A3" s="25" t="inlineStr">
        <is>
          <t>1</t>
        </is>
      </c>
      <c r="B3" s="6" t="inlineStr">
        <is>
          <t>Plant / est. no. / caller / date</t>
        </is>
      </c>
      <c r="C3" s="23" t="inlineStr"/>
    </row>
    <row r="4" ht="18.4" customHeight="1">
      <c r="A4" s="25" t="inlineStr">
        <is>
          <t>2</t>
        </is>
      </c>
      <c r="B4" s="6" t="inlineStr">
        <is>
          <t>Phone + who answered (name, role)</t>
        </is>
      </c>
      <c r="C4" s="23" t="inlineStr"/>
    </row>
    <row r="5" ht="18.4" customHeight="1">
      <c r="A5" s="9" t="inlineStr">
        <is>
          <t>A · THE BASICS (gate in 3 minutes)</t>
        </is>
      </c>
      <c r="B5" s="4" t="n"/>
      <c r="C5" s="4" t="n"/>
    </row>
    <row r="6" ht="18.4" customHeight="1">
      <c r="A6" s="25" t="inlineStr">
        <is>
          <t>1</t>
        </is>
      </c>
      <c r="B6" s="6" t="inlineStr">
        <is>
          <t>Do you slaughter HOGS? Which classes — market weight, sows, roasters, boars?</t>
        </is>
      </c>
      <c r="C6" s="23" t="inlineStr"/>
    </row>
    <row r="7" ht="18.4" customHeight="1">
      <c r="A7" s="25" t="inlineStr">
        <is>
          <t>2</t>
        </is>
      </c>
      <c r="B7" s="6" t="inlineStr">
        <is>
          <t>How many hogs per WEEK, across the year? (head/day × kill days; steady or seasonal?)</t>
        </is>
      </c>
      <c r="C7" s="23" t="inlineStr"/>
    </row>
    <row r="8" ht="18.4" customHeight="1">
      <c r="A8" s="25" t="inlineStr">
        <is>
          <t>3</t>
        </is>
      </c>
      <c r="B8" s="6" t="inlineStr">
        <is>
          <t>Which DAYS do you kill? Could a recurring day be reserved or planned around?</t>
        </is>
      </c>
      <c r="C8" s="23" t="inlineStr"/>
    </row>
    <row r="9" ht="18.4" customHeight="1">
      <c r="A9" s="9" t="inlineStr">
        <is>
          <t>B · INSPECTION (gate)</t>
        </is>
      </c>
      <c r="B9" s="4" t="n"/>
      <c r="C9" s="4" t="n"/>
    </row>
    <row r="10" ht="31.8" customHeight="1">
      <c r="A10" s="25" t="inlineStr">
        <is>
          <t>1</t>
        </is>
      </c>
      <c r="B10" s="6" t="inlineStr">
        <is>
          <t>USDA federal grant or NC STATE grant? Establishment number? (Outside NC: state programme = domestic-only for us.)</t>
        </is>
      </c>
      <c r="C10" s="23" t="inlineStr"/>
    </row>
    <row r="11" ht="18.4" customHeight="1">
      <c r="A11" s="25" t="inlineStr">
        <is>
          <t>2</t>
        </is>
      </c>
      <c r="B11" s="6" t="inlineStr">
        <is>
          <t>Any recent humane-handling actions, NRs or recalls we should hear from you first?</t>
        </is>
      </c>
      <c r="C11" s="23" t="inlineStr"/>
    </row>
    <row r="12" ht="18.4" customHeight="1">
      <c r="A12" s="9" t="inlineStr">
        <is>
          <t>C · THE TISSUE (why we're calling)</t>
        </is>
      </c>
      <c r="B12" s="4" t="n"/>
      <c r="C12" s="4" t="n"/>
    </row>
    <row r="13" ht="18.4" customHeight="1">
      <c r="A13" s="25" t="inlineStr">
        <is>
          <t>1</t>
        </is>
      </c>
      <c r="B13" s="6" t="inlineStr">
        <is>
          <t>When you kill a hog, what happens to the viscera today — rendered, returned to the customer, sold?</t>
        </is>
      </c>
      <c r="C13" s="23" t="inlineStr"/>
    </row>
    <row r="14" ht="18.4" customHeight="1">
      <c r="A14" s="25" t="inlineStr">
        <is>
          <t>2</t>
        </is>
      </c>
      <c r="B14" s="6" t="inlineStr">
        <is>
          <t>Could pelvic / abdominal / thoracic blocks and organs come off INTACT at evisceration?</t>
        </is>
      </c>
      <c r="C14" s="23" t="inlineStr"/>
    </row>
    <row r="15" ht="18.4" customHeight="1">
      <c r="A15" s="25" t="inlineStr">
        <is>
          <t>3</t>
        </is>
      </c>
      <c r="B15" s="6" t="inlineStr">
        <is>
          <t>Cooler / hanging space, and typical time-to-chill after the kill? (our freshness window)</t>
        </is>
      </c>
      <c r="C15" s="23" t="inlineStr"/>
    </row>
    <row r="16" ht="18.4" customHeight="1">
      <c r="A16" s="25" t="inlineStr">
        <is>
          <t>4</t>
        </is>
      </c>
      <c r="B16" s="6" t="inlineStr">
        <is>
          <t>Does anyone else already collect tissue or organs on your floor? Who?</t>
        </is>
      </c>
      <c r="C16" s="23" t="inlineStr"/>
    </row>
    <row r="17" ht="18.4" customHeight="1">
      <c r="A17" s="9" t="inlineStr">
        <is>
          <t>D · THE MODEL (the decisive section)</t>
        </is>
      </c>
      <c r="B17" s="4" t="n"/>
      <c r="C17" s="4" t="n"/>
    </row>
    <row r="18" ht="31.8" customHeight="1">
      <c r="A18" s="25" t="inlineStr">
        <is>
          <t>1</t>
        </is>
      </c>
      <c r="B18" s="6" t="inlineStr">
        <is>
          <t>MODEL A: would you HOST our trained harvest techs on your floor on kill days — bench space, cooler access, scheduled around your line? Rent by visit or by piece?</t>
        </is>
      </c>
      <c r="C18" s="23" t="inlineStr"/>
    </row>
    <row r="19" ht="31.8" customHeight="1">
      <c r="A19" s="25" t="inlineStr">
        <is>
          <t>2</t>
        </is>
      </c>
      <c r="B19" s="6" t="inlineStr">
        <is>
          <t>MODEL B-T: would YOUR crew harvest to our written spec if we train them and supervise periodically — the way one of our current partners works today? Per-piece fee?</t>
        </is>
      </c>
      <c r="C19" s="23" t="inlineStr"/>
    </row>
    <row r="20" ht="18.4" customHeight="1">
      <c r="A20" s="25" t="inlineStr">
        <is>
          <t>3</t>
        </is>
      </c>
      <c r="B20" s="6" t="inlineStr">
        <is>
          <t>Either way: space, PPE, biosecurity and scheduling constraints we should plan around?</t>
        </is>
      </c>
      <c r="C20" s="23" t="inlineStr"/>
    </row>
    <row r="21" ht="18.4" customHeight="1">
      <c r="A21" s="9" t="inlineStr">
        <is>
          <t>E · CULTURE &amp; PEOPLE</t>
        </is>
      </c>
      <c r="B21" s="4" t="n"/>
      <c r="C21" s="4" t="n"/>
    </row>
    <row r="22" ht="18.4" customHeight="1">
      <c r="A22" s="25" t="inlineStr">
        <is>
          <t>1</t>
        </is>
      </c>
      <c r="B22" s="6" t="inlineStr">
        <is>
          <t>Who owns and runs the plant day to day? Who would our person coordinate with?</t>
        </is>
      </c>
      <c r="C22" s="23" t="inlineStr"/>
    </row>
    <row r="23" ht="18.4" customHeight="1">
      <c r="A23" s="25" t="inlineStr">
        <is>
          <t>2</t>
        </is>
      </c>
      <c r="B23" s="6" t="inlineStr">
        <is>
          <t>How long has your kill-floor crew been with you?</t>
        </is>
      </c>
      <c r="C23" s="23" t="inlineStr"/>
    </row>
    <row r="24" ht="18.4" customHeight="1">
      <c r="A24" s="25" t="inlineStr">
        <is>
          <t>3</t>
        </is>
      </c>
      <c r="B24" s="6" t="inlineStr">
        <is>
          <t>How do you handle humane handling — and how would you want a quality issue raised and resolved?</t>
        </is>
      </c>
      <c r="C24" s="23" t="inlineStr"/>
    </row>
    <row r="25" ht="18.4" customHeight="1">
      <c r="A25" s="9" t="inlineStr">
        <is>
          <t>F · COMMERCIAL</t>
        </is>
      </c>
      <c r="B25" s="4" t="n"/>
      <c r="C25" s="4" t="n"/>
    </row>
    <row r="26" ht="18.4" customHeight="1">
      <c r="A26" s="25" t="inlineStr">
        <is>
          <t>1</t>
        </is>
      </c>
      <c r="B26" s="6" t="inlineStr">
        <is>
          <t>Ballpark pricing — per-visit access / per-piece harvest fee? Minimums, lead time?</t>
        </is>
      </c>
      <c r="C26" s="23" t="inlineStr"/>
    </row>
    <row r="27" ht="18.4" customHeight="1">
      <c r="A27" s="25" t="inlineStr">
        <is>
          <t>2</t>
        </is>
      </c>
      <c r="B27" s="6" t="inlineStr">
        <is>
          <t>NDA needed before we share the harvesting protocol?</t>
        </is>
      </c>
      <c r="C27" s="23" t="inlineStr"/>
    </row>
    <row r="28" ht="18.4" customHeight="1">
      <c r="A28" s="25" t="inlineStr">
        <is>
          <t>3</t>
        </is>
      </c>
      <c r="B28" s="6" t="inlineStr">
        <is>
          <t>Best contact for the written follow-up?</t>
        </is>
      </c>
      <c r="C28" s="23" t="inlineStr"/>
    </row>
    <row r="29" ht="18.4" customHeight="1">
      <c r="A29" s="9" t="inlineStr">
        <is>
          <t>VISIT CHECKLIST — stage 2 (only after the call passes the gate)</t>
        </is>
      </c>
      <c r="B29" s="4" t="n"/>
      <c r="C29" s="4" t="n"/>
    </row>
    <row r="30" ht="31.8" customHeight="1">
      <c r="A30" s="25" t="inlineStr">
        <is>
          <t>1</t>
        </is>
      </c>
      <c r="B30" s="6" t="inlineStr">
        <is>
          <t>Walk the kill floor at working speed: line layout, evisceration station, where our bench/totes would sit</t>
        </is>
      </c>
      <c r="C30" s="23" t="inlineStr"/>
    </row>
    <row r="31" ht="18.4" customHeight="1">
      <c r="A31" s="25" t="inlineStr">
        <is>
          <t>2</t>
        </is>
      </c>
      <c r="B31" s="6" t="inlineStr">
        <is>
          <t>Stunning method and placement observed (protects thoracic organs / aortas?)</t>
        </is>
      </c>
      <c r="C31" s="23" t="inlineStr"/>
    </row>
    <row r="32" ht="18.4" customHeight="1">
      <c r="A32" s="25" t="inlineStr">
        <is>
          <t>3</t>
        </is>
      </c>
      <c r="B32" s="6" t="inlineStr">
        <is>
          <t>Chill room capacity + actual time-to-chill measured, not quoted</t>
        </is>
      </c>
      <c r="C32" s="23" t="inlineStr"/>
    </row>
    <row r="33" ht="18.4" customHeight="1">
      <c r="A33" s="25" t="inlineStr">
        <is>
          <t>4</t>
        </is>
      </c>
      <c r="B33" s="6" t="inlineStr">
        <is>
          <t>Welfare culture observed live (this is a SITE-VISIT finding — records alone do not clear a plant)</t>
        </is>
      </c>
      <c r="C33" s="23" t="inlineStr"/>
    </row>
    <row r="34" ht="18.4" customHeight="1">
      <c r="A34" s="25" t="inlineStr">
        <is>
          <t>5</t>
        </is>
      </c>
      <c r="B34" s="6" t="inlineStr">
        <is>
          <t>Meet the crew who would harvest (Model B-T) or host (Model A); gauge tenure and receptiveness</t>
        </is>
      </c>
      <c r="C34" s="23" t="inlineStr"/>
    </row>
    <row r="35" ht="18.4" customHeight="1">
      <c r="A35" s="25" t="inlineStr">
        <is>
          <t>6</t>
        </is>
      </c>
      <c r="B35" s="6" t="inlineStr">
        <is>
          <t>Agree pilot shape: day, head count, tissue list, price, who supervises</t>
        </is>
      </c>
      <c r="C35" s="23" t="inlineStr"/>
    </row>
  </sheetData>
  <mergeCells count="9">
    <mergeCell ref="A25:C25"/>
    <mergeCell ref="A1:C1"/>
    <mergeCell ref="A5:C5"/>
    <mergeCell ref="A17:C17"/>
    <mergeCell ref="A9:C9"/>
    <mergeCell ref="A21:C21"/>
    <mergeCell ref="A12:C12"/>
    <mergeCell ref="A2:C2"/>
    <mergeCell ref="A29:C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I1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5" customWidth="1" min="4" max="4"/>
    <col width="13" customWidth="1" min="5" max="5"/>
    <col width="22" customWidth="1" min="6" max="6"/>
    <col width="14" customWidth="1" min="7" max="7"/>
    <col width="16" customWidth="1" min="8" max="8"/>
    <col width="60" customWidth="1" min="9" max="9"/>
  </cols>
  <sheetData>
    <row r="1" ht="19.7" customHeight="1">
      <c r="A1" s="7" t="inlineStr">
        <is>
          <t>MASTER LEDGER — every supplier assessed across all passes, reconciled 2026-09-03 (full detail lives in Tissue_Supplier_Study.xlsx)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8.4" customHeight="1">
      <c r="A2" s="9" t="inlineStr">
        <is>
          <t>Supplier</t>
        </is>
      </c>
      <c r="B2" s="9" t="inlineStr">
        <is>
          <t>Location</t>
        </is>
      </c>
      <c r="C2" s="9" t="inlineStr">
        <is>
          <t>Inspection</t>
        </is>
      </c>
      <c r="D2" s="9" t="inlineStr">
        <is>
          <t>Tier / volume</t>
        </is>
      </c>
      <c r="E2" s="9" t="inlineStr">
        <is>
          <t>Road mi</t>
        </is>
      </c>
      <c r="F2" s="9" t="inlineStr">
        <is>
          <t>Disposition</t>
        </is>
      </c>
      <c r="G2" s="9" t="inlineStr">
        <is>
          <t>Region</t>
        </is>
      </c>
      <c r="H2" s="9" t="inlineStr">
        <is>
          <t>Fit label (study)</t>
        </is>
      </c>
      <c r="I2" s="9" t="inlineStr">
        <is>
          <t>One-line status</t>
        </is>
      </c>
    </row>
    <row r="3" ht="58.6" customHeight="1">
      <c r="A3" s="6" t="inlineStr">
        <is>
          <t>Custom Quality Packers, LLC</t>
        </is>
      </c>
      <c r="B3" s="6" t="inlineStr">
        <is>
          <t>Sims, NC</t>
        </is>
      </c>
      <c r="C3" s="6" t="inlineStr">
        <is>
          <t>USDA ✓ M20129</t>
        </is>
      </c>
      <c r="D3" s="6" t="inlineStr">
        <is>
          <t>MEDIUM</t>
        </is>
      </c>
      <c r="E3" s="6" t="inlineStr">
        <is>
          <t>YES · ~45 mi</t>
        </is>
      </c>
      <c r="F3" s="26" t="inlineStr">
        <is>
          <t>CURRENT SUPPLIER</t>
        </is>
      </c>
      <c r="G3" s="6" t="inlineStr">
        <is>
          <t>NC</t>
        </is>
      </c>
      <c r="H3" s="6" t="inlineStr">
        <is>
          <t>★ CURRENT SUPPLIER</t>
        </is>
      </c>
      <c r="I3" s="6" t="inlineStr">
        <is>
          <t xml:space="preserve">★ CURRENT SUPPLIER — client crews already harvest here, Model A live; like Parks but hosting us (client-stated 2026-08-17). VERIFIED 2026-08-17: hog-only per NCDA&amp;CS (species C), market+roaster FSIS flags, cat 3 band vs </t>
        </is>
      </c>
    </row>
    <row r="4" ht="58.6" customHeight="1">
      <c r="A4" s="6" t="inlineStr">
        <is>
          <t>Martin's Pork Products, Inc.</t>
        </is>
      </c>
      <c r="B4" s="6" t="inlineStr">
        <is>
          <t>Falcon, NC</t>
        </is>
      </c>
      <c r="C4" s="6" t="inlineStr">
        <is>
          <t>USDA ✓</t>
        </is>
      </c>
      <c r="D4" s="6" t="inlineStr">
        <is>
          <t>MEDIUM</t>
        </is>
      </c>
      <c r="E4" s="6" t="inlineStr">
        <is>
          <t>YES · ~45 mi</t>
        </is>
      </c>
      <c r="F4" s="26" t="inlineStr">
        <is>
          <t>CURRENT SUPPLIER</t>
        </is>
      </c>
      <c r="G4" s="6" t="inlineStr">
        <is>
          <t>NC</t>
        </is>
      </c>
      <c r="H4" s="6" t="inlineStr">
        <is>
          <t>★ CURRENT SUPPLIER</t>
        </is>
      </c>
      <c r="I4" s="6" t="inlineStr">
        <is>
          <t>★ CURRENT SUPPLIER — client's highest-capacity plant but DIFFICULT to work with; client crews on site (client-stated 2026-08-17). VERIFIED 2026-08-17: active M6720/TA-6720 (NCDA&amp;CS TA directory dated 2026-08-10); the com</t>
        </is>
      </c>
    </row>
    <row r="5" ht="58.6" customHeight="1">
      <c r="A5" s="6" t="inlineStr">
        <is>
          <t>Nahunta Pork Center</t>
        </is>
      </c>
      <c r="B5" s="6" t="inlineStr">
        <is>
          <t>Pikeville, NC</t>
        </is>
      </c>
      <c r="C5" s="6" t="inlineStr">
        <is>
          <t>STATE only</t>
        </is>
      </c>
      <c r="D5" s="6" t="inlineStr">
        <is>
          <t>MEDIUM</t>
        </is>
      </c>
      <c r="E5" s="6" t="inlineStr">
        <is>
          <t>YES · ~0 mi</t>
        </is>
      </c>
      <c r="F5" s="26" t="inlineStr">
        <is>
          <t>CURRENT SUPPLIER</t>
        </is>
      </c>
      <c r="G5" s="6" t="inlineStr">
        <is>
          <t>NC</t>
        </is>
      </c>
      <c r="H5" s="6" t="inlineStr">
        <is>
          <t>★ CURRENT SUPPLIER</t>
        </is>
      </c>
      <c r="I5" s="6" t="inlineStr">
        <is>
          <t xml:space="preserve">★ CURRENT SUPPLIER — client crews on site; best quality and relationship of the base (client-stated 2026-08-17). VERIFIED 2026-08-17: both state grants active in the NCDA&amp;CS directory dated 2026-08-10 (P-80 processing + </t>
        </is>
      </c>
    </row>
    <row r="6" ht="31.8" customHeight="1">
      <c r="A6" s="6" t="inlineStr">
        <is>
          <t>Parks Family Meats, LLC</t>
        </is>
      </c>
      <c r="B6" s="6" t="inlineStr">
        <is>
          <t>Warsaw, NC (Duplin)</t>
        </is>
      </c>
      <c r="C6" s="6" t="inlineStr">
        <is>
          <t>USDA ✓ M18296A</t>
        </is>
      </c>
      <c r="D6" s="6" t="inlineStr">
        <is>
          <t>MEDIUM</t>
        </is>
      </c>
      <c r="E6" s="6" t="inlineStr">
        <is>
          <t>YES · ~45 mi</t>
        </is>
      </c>
      <c r="F6" s="26" t="inlineStr">
        <is>
          <t>CURRENT SUPPLIER</t>
        </is>
      </c>
      <c r="G6" s="6" t="inlineStr">
        <is>
          <t>NC</t>
        </is>
      </c>
      <c r="H6" s="6" t="inlineStr">
        <is>
          <t>★ CURRENT SUPPLIER</t>
        </is>
      </c>
      <c r="I6" s="6" t="inlineStr">
        <is>
          <t>CORRECTED 2026-09-03: Parks harvests with their own people under our training — the base's working Model B template.</t>
        </is>
      </c>
    </row>
    <row r="7" ht="45.2" customHeight="1">
      <c r="A7" s="6" t="inlineStr">
        <is>
          <t>The Pork Company (Villari Food Group)</t>
        </is>
      </c>
      <c r="B7" s="6" t="inlineStr">
        <is>
          <t>Warsaw, NC (Duplin)</t>
        </is>
      </c>
      <c r="C7" s="6" t="inlineStr">
        <is>
          <t>USDA ✓ M20608</t>
        </is>
      </c>
      <c r="D7" s="6" t="inlineStr">
        <is>
          <t>HIGH</t>
        </is>
      </c>
      <c r="E7" s="6" t="inlineStr">
        <is>
          <t>YES · ~45 mi</t>
        </is>
      </c>
      <c r="F7" s="26" t="inlineStr">
        <is>
          <t>CURRENT SUPPLIER</t>
        </is>
      </c>
      <c r="G7" s="6" t="inlineStr">
        <is>
          <t>NC</t>
        </is>
      </c>
      <c r="H7" s="6" t="inlineStr">
        <is>
          <t>★ CURRENT SUPPLIER</t>
        </is>
      </c>
      <c r="I7" s="6" t="inlineStr">
        <is>
          <t>CORRECTED 2026-09-03: the tissue gate is HARD (client-stated). The 2026-08-17 'negotiable wedge' reading is superseded — do not plan organ volume through Villari.</t>
        </is>
      </c>
    </row>
    <row r="8" ht="58.6" customHeight="1">
      <c r="A8" s="6" t="inlineStr">
        <is>
          <t>Acre Station Meat Farm</t>
        </is>
      </c>
      <c r="B8" s="6" t="inlineStr">
        <is>
          <t>Pinetown, NC</t>
        </is>
      </c>
      <c r="C8" s="6" t="inlineStr">
        <is>
          <t>USDA ✓ M19904 + P19904</t>
        </is>
      </c>
      <c r="D8" s="6" t="inlineStr">
        <is>
          <t>SMALL</t>
        </is>
      </c>
      <c r="E8" s="6" t="inlineStr">
        <is>
          <t>YES · ~88 mi</t>
        </is>
      </c>
      <c r="F8" s="27" t="inlineStr">
        <is>
          <t>CANDIDATE</t>
        </is>
      </c>
      <c r="G8" s="6" t="inlineStr">
        <is>
          <t>NC</t>
        </is>
      </c>
      <c r="H8" s="6" t="inlineStr">
        <is>
          <t>POSSIBLE</t>
        </is>
      </c>
      <c r="I8" s="6" t="inlineStr">
        <is>
          <t xml:space="preserve">UPDATED 2026-08-17: operating (FSIS + NCDA&amp;CS TA directories + live site). A quality/relationship add, NOT a volume answer: Nahunta-like family operation with sow class + federal TA inspection, 23 FT staff, 10,000 sq ft </t>
        </is>
      </c>
    </row>
    <row r="9" ht="58.6" customHeight="1">
      <c r="A9" s="6" t="inlineStr">
        <is>
          <t>Below-band leads — all REFUTED on volume</t>
        </is>
      </c>
      <c r="B9" s="6" t="inlineStr">
        <is>
          <t>KY / OH / MI / AL / OR / NJ / TX</t>
        </is>
      </c>
      <c r="C9" s="6" t="inlineStr">
        <is>
          <t>USDA ✓ (various)</t>
        </is>
      </c>
      <c r="D9" s="6" t="inlineStr">
        <is>
          <t>SMALL</t>
        </is>
      </c>
      <c r="E9" s="6" t="inlineStr">
        <is>
          <t>NO</t>
        </is>
      </c>
      <c r="F9" s="27" t="inlineStr">
        <is>
          <t>CANDIDATE</t>
        </is>
      </c>
      <c r="G9" s="6" t="inlineStr">
        <is>
          <t>NC</t>
        </is>
      </c>
      <c r="H9" s="6" t="inlineStr">
        <is>
          <t>CAUTION</t>
        </is>
      </c>
      <c r="I9" s="6" t="inlineStr">
        <is>
          <t>All below the Medium-High band per FSIS category: F.B. Purnell (M7464+P7464, Simpsonville KY, MKT+SOW) cat-3; Pioneer Packing (M372, OH, SOW+boar) cat-3; BEF Foods/Bob Evans Xenia OH (M6785) and Hillsdale MI (M952), both</t>
        </is>
      </c>
    </row>
    <row r="10" ht="58.6" customHeight="1">
      <c r="A10" s="6" t="inlineStr">
        <is>
          <t>Caldwell Meat Processing Co.</t>
        </is>
      </c>
      <c r="B10" s="6" t="inlineStr">
        <is>
          <t>Maiden, NC (Lincoln)</t>
        </is>
      </c>
      <c r="C10" s="6" t="inlineStr">
        <is>
          <t>STATE only P-312</t>
        </is>
      </c>
      <c r="D10" s="6" t="inlineStr">
        <is>
          <t>SMALL</t>
        </is>
      </c>
      <c r="E10" s="6" t="inlineStr">
        <is>
          <t>NO · ~227 mi</t>
        </is>
      </c>
      <c r="F10" s="27" t="inlineStr">
        <is>
          <t>CANDIDATE</t>
        </is>
      </c>
      <c r="G10" s="6" t="inlineStr">
        <is>
          <t>NC</t>
        </is>
      </c>
      <c r="H10" s="6" t="inlineStr">
        <is>
          <t>POSSIBLE</t>
        </is>
      </c>
      <c r="I10" s="6" t="inlineStr">
        <is>
          <t xml:space="preserve">★ UPGRADED 2026-08-17 — TOP STATE-PLANT LEAD IN THE WEST (adversarially confirmed on the NCDA&amp;CS State Plant Directory dated 2026-08-10): swine-ONLY state grant P-312, the same structure and APHIS-equivalent export path </t>
        </is>
      </c>
    </row>
    <row r="11" ht="58.6" customHeight="1">
      <c r="A11" s="6" t="inlineStr">
        <is>
          <t>Contentnea Farms, LLC</t>
        </is>
      </c>
      <c r="B11" s="6" t="inlineStr">
        <is>
          <t>Walstonburg, NC (Greene)</t>
        </is>
      </c>
      <c r="C11" s="6" t="inlineStr">
        <is>
          <t>USDA ✓ M2583 — grant 10/29/2025</t>
        </is>
      </c>
      <c r="D11" s="6" t="inlineStr">
        <is>
          <t>SMALL</t>
        </is>
      </c>
      <c r="E11" s="6" t="inlineStr">
        <is>
          <t>YES · ~35 mi</t>
        </is>
      </c>
      <c r="F11" s="27" t="inlineStr">
        <is>
          <t>CANDIDATE</t>
        </is>
      </c>
      <c r="G11" s="6" t="inlineStr">
        <is>
          <t>NC</t>
        </is>
      </c>
      <c r="H11" s="6" t="inlineStr">
        <is>
          <t>POSSIBLE</t>
        </is>
      </c>
      <c r="I11" s="6" t="inlineStr">
        <is>
          <t xml:space="preserve">UPDATED 2026-08-17: the grant is NEWER than the file said — 10/29/2025, the second-newest swine-slaughter grant in NC after Bass Farms. Multi-species custom shop (market swine + sows + boars on the flags); pigs ≤115 lb: </t>
        </is>
      </c>
    </row>
    <row r="12" ht="58.6" customHeight="1">
      <c r="A12" s="6" t="inlineStr">
        <is>
          <t>Crawley's Abattoir</t>
        </is>
      </c>
      <c r="B12" s="6" t="inlineStr">
        <is>
          <t>Morganton, NC (Burke)</t>
        </is>
      </c>
      <c r="C12" s="6" t="inlineStr">
        <is>
          <t>STATE ✓ P-101</t>
        </is>
      </c>
      <c r="D12" s="6" t="inlineStr">
        <is>
          <t>unknown</t>
        </is>
      </c>
      <c r="E12" s="6" t="inlineStr">
        <is>
          <t>NO · ~245 mi</t>
        </is>
      </c>
      <c r="F12" s="27" t="inlineStr">
        <is>
          <t>CANDIDATE</t>
        </is>
      </c>
      <c r="G12" s="6" t="inlineStr">
        <is>
          <t>NC</t>
        </is>
      </c>
      <c r="H12" s="6" t="inlineStr">
        <is>
          <t>POSSIBLE</t>
        </is>
      </c>
      <c r="I12" s="6" t="inlineStr">
        <is>
          <t>★ NEW FIND 2026-08-17: a swine-capable STATE-inspected abattoir (P-101) missed by every earlier pass — same APHIS-equivalent path as Nahunta, in the Morganton foothills. Volume and willingness unknown. 245 road mi: pairs</t>
        </is>
      </c>
    </row>
    <row r="13" ht="58.6" customHeight="1">
      <c r="A13" s="6" t="inlineStr">
        <is>
          <t>Cruse Meat Processing</t>
        </is>
      </c>
      <c r="B13" s="6" t="inlineStr">
        <is>
          <t>Concord, NC</t>
        </is>
      </c>
      <c r="C13" s="6" t="inlineStr">
        <is>
          <t>USDA ✓ M46354</t>
        </is>
      </c>
      <c r="D13" s="6" t="inlineStr">
        <is>
          <t>SMALL</t>
        </is>
      </c>
      <c r="E13" s="6" t="inlineStr">
        <is>
          <t>NO · ~168 mi</t>
        </is>
      </c>
      <c r="F13" s="27" t="inlineStr">
        <is>
          <t>CANDIDATE</t>
        </is>
      </c>
      <c r="G13" s="6" t="inlineStr">
        <is>
          <t>NC</t>
        </is>
      </c>
      <c r="H13" s="6" t="inlineStr">
        <is>
          <t>POSSIBLE</t>
        </is>
      </c>
      <c r="I13" s="6" t="inlineStr">
        <is>
          <t>RESOLVED: active federal grant M46354, Concord NC. Market hogs only. FSIS slaughter_volume_category = 1 = under ~19/wk, and it is 168 road miles out — fails both the volume and the 120-mile Model A test.  [Verified 2026-</t>
        </is>
      </c>
    </row>
    <row r="14" ht="58.6" customHeight="1">
      <c r="A14" s="6" t="inlineStr">
        <is>
          <t>Flowers Slaughter House (George Flowers)</t>
        </is>
      </c>
      <c r="B14" s="6" t="inlineStr">
        <is>
          <t>Sims, NC (Wilson)</t>
        </is>
      </c>
      <c r="C14" s="6" t="inlineStr">
        <is>
          <t>USDA ✓ M21747 + P21747</t>
        </is>
      </c>
      <c r="D14" s="6" t="inlineStr">
        <is>
          <t>SMALL</t>
        </is>
      </c>
      <c r="E14" s="6" t="inlineStr">
        <is>
          <t>YES · ~45 mi</t>
        </is>
      </c>
      <c r="F14" s="27" t="inlineStr">
        <is>
          <t>CANDIDATE</t>
        </is>
      </c>
      <c r="G14" s="6" t="inlineStr">
        <is>
          <t>NC</t>
        </is>
      </c>
      <c r="H14" s="6" t="inlineStr">
        <is>
          <t>POSSIBLE</t>
        </is>
      </c>
      <c r="I14" s="6" t="inlineStr">
        <is>
          <t xml:space="preserve">UPDATED 2026-08-17: operating (NCDA&amp;CS Wilson farmers directory + active FSIS grant); essentially A SECOND CQP AT ONE-TENTH THE VOLUME, 3 miles away in the same town. Value: (a) REDUNDANCY for the Sims Model A operation </t>
        </is>
      </c>
    </row>
    <row r="15" ht="58.6" customHeight="1">
      <c r="A15" s="6" t="inlineStr">
        <is>
          <t>Frank Corriher Beef and Sausage</t>
        </is>
      </c>
      <c r="B15" s="6" t="inlineStr">
        <is>
          <t>China Grove, NC (Rowan)</t>
        </is>
      </c>
      <c r="C15" s="6" t="inlineStr">
        <is>
          <t>USDA ✓ TA-21022 / M21022</t>
        </is>
      </c>
      <c r="D15" s="6" t="inlineStr">
        <is>
          <t>unknown</t>
        </is>
      </c>
      <c r="E15" s="6" t="inlineStr">
        <is>
          <t>NO · ~187 mi</t>
        </is>
      </c>
      <c r="F15" s="27" t="inlineStr">
        <is>
          <t>CANDIDATE</t>
        </is>
      </c>
      <c r="G15" s="6" t="inlineStr">
        <is>
          <t>NC</t>
        </is>
      </c>
      <c r="H15" s="6" t="inlineStr">
        <is>
          <t>CAUTION</t>
        </is>
      </c>
      <c r="I15" s="6" t="inlineStr">
        <is>
          <t>DATA ANOMALY: NCDA lists Activities='Processing' but populates Slaughter Species='C' — every other processing-only plant leaves that blank. Either a stale slaughter grant or a data error. Worth ONE phone call.</t>
        </is>
      </c>
    </row>
    <row r="16" ht="58.6" customHeight="1">
      <c r="A16" s="6" t="inlineStr">
        <is>
          <t>Gale McLamb Meats</t>
        </is>
      </c>
      <c r="B16" s="6" t="inlineStr">
        <is>
          <t>Dunn, NC (Harnett)</t>
        </is>
      </c>
      <c r="C16" s="6" t="inlineStr">
        <is>
          <t>STATE ✓ P-221</t>
        </is>
      </c>
      <c r="D16" s="6" t="inlineStr">
        <is>
          <t>unknown</t>
        </is>
      </c>
      <c r="E16" s="6" t="inlineStr">
        <is>
          <t>YES · ~44 mi</t>
        </is>
      </c>
      <c r="F16" s="27" t="inlineStr">
        <is>
          <t>CANDIDATE</t>
        </is>
      </c>
      <c r="G16" s="6" t="inlineStr">
        <is>
          <t>NC</t>
        </is>
      </c>
      <c r="H16" s="6" t="inlineStr">
        <is>
          <t>POSSIBLE</t>
        </is>
      </c>
      <c r="I16" s="6" t="inlineStr">
        <is>
          <t>★ NEW FIND 2026-08-17 — second missed state-inspected swine plant on the Dunn-Benson I-95 corridor; since 1980; cattle + hogs + hunter deer processing. Directory-ranked just behind McLamb's Abattoir as a Martin's-adjacen</t>
        </is>
      </c>
    </row>
    <row r="17" ht="58.6" customHeight="1">
      <c r="A17" s="6" t="inlineStr">
        <is>
          <t>Key Packing Company, Inc.</t>
        </is>
      </c>
      <c r="B17" s="6" t="inlineStr">
        <is>
          <t>Robbins, NC</t>
        </is>
      </c>
      <c r="C17" s="6" t="inlineStr">
        <is>
          <t>STATE only</t>
        </is>
      </c>
      <c r="D17" s="6" t="inlineStr">
        <is>
          <t>SMALL</t>
        </is>
      </c>
      <c r="E17" s="6" t="inlineStr">
        <is>
          <t>YES · ~116 mi</t>
        </is>
      </c>
      <c r="F17" s="27" t="inlineStr">
        <is>
          <t>CANDIDATE</t>
        </is>
      </c>
      <c r="G17" s="6" t="inlineStr">
        <is>
          <t>NC</t>
        </is>
      </c>
      <c r="H17" s="6" t="inlineStr">
        <is>
          <t>POSSIBLE</t>
        </is>
      </c>
      <c r="I17" s="6" t="inlineStr">
        <is>
          <t>CONFIRMED NEGATIVE: no establishment named 'Key Packing' appears anywhere in the FSIS MPI directory, nationally, and nothing is listed at Robbins NC. The NC state-inspection label stands, which means intrastate sales onl</t>
        </is>
      </c>
    </row>
    <row r="18" ht="58.6" customHeight="1">
      <c r="A18" s="6" t="inlineStr">
        <is>
          <t>Larry's Sausage Co., Inc.</t>
        </is>
      </c>
      <c r="B18" s="6" t="inlineStr">
        <is>
          <t>Fayetteville, NC (Cumberland)</t>
        </is>
      </c>
      <c r="C18" s="6" t="inlineStr">
        <is>
          <t>USDA ✓ M8305</t>
        </is>
      </c>
      <c r="D18" s="6" t="inlineStr">
        <is>
          <t>SMALL</t>
        </is>
      </c>
      <c r="E18" s="6" t="inlineStr">
        <is>
          <t>YES · ~65 mi</t>
        </is>
      </c>
      <c r="F18" s="27" t="inlineStr">
        <is>
          <t>CANDIDATE</t>
        </is>
      </c>
      <c r="G18" s="6" t="inlineStr">
        <is>
          <t>NC</t>
        </is>
      </c>
      <c r="H18" s="6" t="inlineStr">
        <is>
          <t>POSSIBLE ★ organ lane</t>
        </is>
      </c>
      <c r="I18" s="6" t="inlineStr">
        <is>
          <t>★ RE-RANKED BY THE 2026-08-17 SWEEP: THE BEST STRUCTURAL ORGAN ADD IN EASTERN NC — the region's only ESTABLISHED swine-only, sow-class federal floor at meaningful volume (cat 2 = 19-192 sows/wk; processing cat 4), family</t>
        </is>
      </c>
    </row>
    <row r="19" ht="58.6" customHeight="1">
      <c r="A19" s="6" t="inlineStr">
        <is>
          <t>M.L. Mitchell &amp; Son (FSIS lists Mitchell's Meat Processing, LLC)</t>
        </is>
      </c>
      <c r="B19" s="6" t="inlineStr">
        <is>
          <t>Walnut Cove, NC</t>
        </is>
      </c>
      <c r="C19" s="6" t="inlineStr">
        <is>
          <t>USDA ✓ M46822 + P46822</t>
        </is>
      </c>
      <c r="D19" s="6" t="inlineStr">
        <is>
          <t>SMALL</t>
        </is>
      </c>
      <c r="E19" s="6" t="inlineStr">
        <is>
          <t>NO · ~160 mi</t>
        </is>
      </c>
      <c r="F19" s="27" t="inlineStr">
        <is>
          <t>CANDIDATE</t>
        </is>
      </c>
      <c r="G19" s="6" t="inlineStr">
        <is>
          <t>NC</t>
        </is>
      </c>
      <c r="H19" s="6" t="inlineStr">
        <is>
          <t>CAUTION</t>
        </is>
      </c>
      <c r="I19" s="6" t="inlineStr">
        <is>
          <t>UPDATED 2026-08-17 — SKIP. Volume cat 1 (&lt;19/wk all species), a 2021 EGREGIOUS humane-handling suspension flag at this Walnut Cove operation (failed stun, conscious cut), and its sister processing plant Mitchell's Chop S</t>
        </is>
      </c>
    </row>
    <row r="20" ht="58.6" customHeight="1">
      <c r="A20" s="6" t="inlineStr">
        <is>
          <t>McLamb's Abattoir and Meats, Inc.</t>
        </is>
      </c>
      <c r="B20" s="6" t="inlineStr">
        <is>
          <t>Benson, NC (Johnston)</t>
        </is>
      </c>
      <c r="C20" s="6" t="inlineStr">
        <is>
          <t>STATE ✓ P-247</t>
        </is>
      </c>
      <c r="D20" s="6" t="inlineStr">
        <is>
          <t>unknown</t>
        </is>
      </c>
      <c r="E20" s="6" t="inlineStr">
        <is>
          <t>YES · ~37 mi</t>
        </is>
      </c>
      <c r="F20" s="27" t="inlineStr">
        <is>
          <t>CANDIDATE</t>
        </is>
      </c>
      <c r="G20" s="6" t="inlineStr">
        <is>
          <t>NC</t>
        </is>
      </c>
      <c r="H20" s="6" t="inlineStr">
        <is>
          <t>POSSIBLE</t>
        </is>
      </c>
      <c r="I20" s="6" t="inlineStr">
        <is>
          <t>★ NEW FIND 2026-08-17 — the TOP UNWORKED STATE-INSPECTED CANDIDATE in the state directory ranking: one of only three P-number plants in our eastern corridor (with Nahunta and Gale McLamb), right off I-95 at 37 road miles</t>
        </is>
      </c>
    </row>
    <row r="21" ht="58.6" customHeight="1">
      <c r="A21" s="6" t="inlineStr">
        <is>
          <t>McLaughlin's</t>
        </is>
      </c>
      <c r="B21" s="6" t="inlineStr">
        <is>
          <t>Mooresville, NC (Rowan)</t>
        </is>
      </c>
      <c r="C21" s="6" t="inlineStr">
        <is>
          <t>STATE only P-85</t>
        </is>
      </c>
      <c r="D21" s="6" t="inlineStr">
        <is>
          <t>SMALL</t>
        </is>
      </c>
      <c r="E21" s="6" t="inlineStr">
        <is>
          <t>NO · ~201 mi</t>
        </is>
      </c>
      <c r="F21" s="27" t="inlineStr">
        <is>
          <t>CANDIDATE</t>
        </is>
      </c>
      <c r="G21" s="6" t="inlineStr">
        <is>
          <t>NC</t>
        </is>
      </c>
      <c r="H21" s="6" t="inlineStr">
        <is>
          <t>POSSIBLE</t>
        </is>
      </c>
      <c r="I21" s="6" t="inlineStr">
        <is>
          <t xml:space="preserve">★ UPGRADED 2026-08-17 — the most interesting STRUCTURAL ANALOGUE TO NAHUNTA in the west (adversarially confirmed on the 2026-08-10 state directory): self-supplied, hog-only, product-driven family plant since 1962 (plant </t>
        </is>
      </c>
    </row>
    <row r="22" ht="58.6" customHeight="1">
      <c r="A22" s="6" t="inlineStr">
        <is>
          <t>Piedmont Custom Meats</t>
        </is>
      </c>
      <c r="B22" s="6" t="inlineStr">
        <is>
          <t>Gibsonville, NC (SLAUGHTER) Asheboro, NC (processing only)</t>
        </is>
      </c>
      <c r="C22" s="6" t="inlineStr">
        <is>
          <t>USDA ✓ M7975 + P7975 + V7975</t>
        </is>
      </c>
      <c r="D22" s="6" t="inlineStr">
        <is>
          <t>SMALL</t>
        </is>
      </c>
      <c r="E22" s="6" t="inlineStr">
        <is>
          <t>YES · ~116 mi</t>
        </is>
      </c>
      <c r="F22" s="27" t="inlineStr">
        <is>
          <t>CANDIDATE</t>
        </is>
      </c>
      <c r="G22" s="6" t="inlineStr">
        <is>
          <t>NC</t>
        </is>
      </c>
      <c r="H22" s="6" t="inlineStr">
        <is>
          <t>STRONG FIT</t>
        </is>
      </c>
      <c r="I22" s="6" t="inlineStr">
        <is>
          <t>★ UPGRADED BY THE 2026-08-17 SWEEP — THE STRONGEST WESTERN CANDIDATE, AND IT IS ACTUALLY INSIDE THE 120-MILE RADIUS (116 road mi — the earlier 'NO (est.)' was wrong). The only NC plant flagged for ALL FOUR hog classes (m</t>
        </is>
      </c>
    </row>
    <row r="23" ht="58.6" customHeight="1">
      <c r="A23" s="6" t="inlineStr">
        <is>
          <t>Price's Custom Meat Cutting &amp; Abattoir</t>
        </is>
      </c>
      <c r="B23" s="6" t="inlineStr">
        <is>
          <t>Hickory, NC (Burke)</t>
        </is>
      </c>
      <c r="C23" s="6" t="inlineStr">
        <is>
          <t>STATE only P-307</t>
        </is>
      </c>
      <c r="D23" s="6" t="inlineStr">
        <is>
          <t>SMALL</t>
        </is>
      </c>
      <c r="E23" s="6" t="inlineStr">
        <is>
          <t>NO · ~226 mi</t>
        </is>
      </c>
      <c r="F23" s="27" t="inlineStr">
        <is>
          <t>CANDIDATE</t>
        </is>
      </c>
      <c r="G23" s="6" t="inlineStr">
        <is>
          <t>NC</t>
        </is>
      </c>
      <c r="H23" s="6" t="inlineStr">
        <is>
          <t>POSSIBLE</t>
        </is>
      </c>
      <c r="I23" s="6" t="inlineStr">
        <is>
          <t>★ UPGRADED 2026-08-17 — SECOND-BEST WESTERN STATE LEAD (NCDA&amp;CS directory 2026-08-10, adversarially confirmed): swine-only P-307 since 1994, fixed Mon/Wed kill days that are easy to plan a harvest crew around, hand-scrap</t>
        </is>
      </c>
    </row>
    <row r="24" ht="58.6" customHeight="1">
      <c r="A24" s="6" t="inlineStr">
        <is>
          <t>Riverside Meats</t>
        </is>
      </c>
      <c r="B24" s="6" t="inlineStr">
        <is>
          <t>Trenton, NC</t>
        </is>
      </c>
      <c r="C24" s="6" t="inlineStr">
        <is>
          <t>USDA ✓ M20981 + P20981</t>
        </is>
      </c>
      <c r="D24" s="6" t="inlineStr">
        <is>
          <t>SMALL</t>
        </is>
      </c>
      <c r="E24" s="6" t="inlineStr">
        <is>
          <t>YES · ~57 mi</t>
        </is>
      </c>
      <c r="F24" s="27" t="inlineStr">
        <is>
          <t>CANDIDATE</t>
        </is>
      </c>
      <c r="G24" s="6" t="inlineStr">
        <is>
          <t>NC</t>
        </is>
      </c>
      <c r="H24" s="6" t="inlineStr">
        <is>
          <t>CAUTION</t>
        </is>
      </c>
      <c r="I24" s="6" t="inlineStr">
        <is>
          <t>UPDATED 2026-08-17: still active on the FSIS directory, but its own domain (riversidemeatsnc.com) is DNS-dead as of 2026-08-17 — confirm by phone before relying on it. ~8 staff, run by Christy Raynor (directory data, und</t>
        </is>
      </c>
    </row>
    <row r="25" ht="58.6" customHeight="1">
      <c r="A25" s="6" t="inlineStr">
        <is>
          <t>SCR International Corp.</t>
        </is>
      </c>
      <c r="B25" s="6" t="inlineStr">
        <is>
          <t>Fairmont, NC (Robeson)</t>
        </is>
      </c>
      <c r="C25" s="6" t="inlineStr">
        <is>
          <t>USDA ✓ M9199 + P9199</t>
        </is>
      </c>
      <c r="D25" s="6" t="inlineStr">
        <is>
          <t>SMALL</t>
        </is>
      </c>
      <c r="E25" s="6" t="inlineStr">
        <is>
          <t>NO · ~114 mi</t>
        </is>
      </c>
      <c r="F25" s="27" t="inlineStr">
        <is>
          <t>CANDIDATE</t>
        </is>
      </c>
      <c r="G25" s="6" t="inlineStr">
        <is>
          <t>NC</t>
        </is>
      </c>
      <c r="H25" s="6" t="inlineStr">
        <is>
          <t>CAUTION</t>
        </is>
      </c>
      <c r="I25" s="6" t="inlineStr">
        <is>
          <t>★ IDENTIFIED 2026-08-17 (was never researched): a whole-pig ROASTER house for the East Coast lechon / ethnic-market trade — USDA-inspected whole roasting pigs 10-110 lb plus carcass halves to distributors. IT IS A SECOND</t>
        </is>
      </c>
    </row>
    <row r="26" ht="58.6" customHeight="1">
      <c r="A26" s="6" t="inlineStr">
        <is>
          <t>Select Meats, Inc.</t>
        </is>
      </c>
      <c r="B26" s="6" t="inlineStr">
        <is>
          <t>Kannapolis, NC (Rowan)</t>
        </is>
      </c>
      <c r="C26" s="6" t="inlineStr">
        <is>
          <t>USDA ✓ M10757</t>
        </is>
      </c>
      <c r="D26" s="6" t="inlineStr">
        <is>
          <t>SMALL</t>
        </is>
      </c>
      <c r="E26" s="6" t="inlineStr">
        <is>
          <t>NO · ~190 mi</t>
        </is>
      </c>
      <c r="F26" s="27" t="inlineStr">
        <is>
          <t>CANDIDATE</t>
        </is>
      </c>
      <c r="G26" s="6" t="inlineStr">
        <is>
          <t>NC</t>
        </is>
      </c>
      <c r="H26" s="6" t="inlineStr">
        <is>
          <t>POSSIBLE</t>
        </is>
      </c>
      <c r="I26" s="6" t="inlineStr">
        <is>
          <t>★ SLEEPER FOUND 2026-08-17: one of only three cat-2 SLAUGHTER-ONLY plants in the west (with Piedmont and Wilkes Abattoir), est. 1987, 30 min from Charlotte, market hogs + cattle — and near-zero public information (no web</t>
        </is>
      </c>
    </row>
    <row r="27" ht="58.6" customHeight="1">
      <c r="A27" s="6" t="inlineStr">
        <is>
          <t>Sessoms Packing Company</t>
        </is>
      </c>
      <c r="B27" s="6" t="inlineStr">
        <is>
          <t>Ahoskie, NC</t>
        </is>
      </c>
      <c r="C27" s="6" t="inlineStr">
        <is>
          <t>NOT in the FSIS MPI directory</t>
        </is>
      </c>
      <c r="D27" s="6" t="inlineStr">
        <is>
          <t>unknown</t>
        </is>
      </c>
      <c r="E27" s="6" t="inlineStr">
        <is>
          <t>YES · ~95 mi</t>
        </is>
      </c>
      <c r="F27" s="27" t="inlineStr">
        <is>
          <t>CANDIDATE</t>
        </is>
      </c>
      <c r="G27" s="6" t="inlineStr">
        <is>
          <t>NC</t>
        </is>
      </c>
      <c r="H27" s="6" t="inlineStr">
        <is>
          <t>CAUTION</t>
        </is>
      </c>
      <c r="I27" s="6" t="inlineStr">
        <is>
          <t>CLAIM WITHDRAWN: the earlier 'probable USDA (unconfirmed)' label had no source behind it. A national name search of the FSIS MPI directory returns nothing for 'Sessoms', and nothing is listed at Ahoskie NC beyond a proce</t>
        </is>
      </c>
    </row>
    <row r="28" ht="58.6" customHeight="1">
      <c r="A28" s="6" t="inlineStr">
        <is>
          <t>Smithfield Foods — Tar Heel</t>
        </is>
      </c>
      <c r="B28" s="6" t="inlineStr">
        <is>
          <t>Bladen County, NC</t>
        </is>
      </c>
      <c r="C28" s="6" t="inlineStr">
        <is>
          <t>USDA ✓</t>
        </is>
      </c>
      <c r="D28" s="6" t="inlineStr">
        <is>
          <t>HIGH</t>
        </is>
      </c>
      <c r="E28" s="6" t="inlineStr">
        <is>
          <t>YES · ~89 mi</t>
        </is>
      </c>
      <c r="F28" s="27" t="inlineStr">
        <is>
          <t>CANDIDATE</t>
        </is>
      </c>
      <c r="G28" s="6" t="inlineStr">
        <is>
          <t>NC</t>
        </is>
      </c>
      <c r="H28" s="6" t="inlineStr">
        <is>
          <t>CAUTION</t>
        </is>
      </c>
      <c r="I28" s="6" t="inlineStr">
        <is>
          <t>HIGH tier. Capacity is now open, so this is no longer excluded on size — but with ~28-32k hogs/DAY the constraint is ACCESS, not volume: industrial line speed, no on-site harvest rental noted. Realistically Model B only,</t>
        </is>
      </c>
    </row>
    <row r="29" ht="58.6" customHeight="1">
      <c r="A29" s="6" t="inlineStr">
        <is>
          <t>Wayne Mays Meat Processing</t>
        </is>
      </c>
      <c r="B29" s="6" t="inlineStr">
        <is>
          <t>Taylorsville, NC</t>
        </is>
      </c>
      <c r="C29" s="6" t="inlineStr">
        <is>
          <t>USDA ✓ M21848 + P21848 + V21848</t>
        </is>
      </c>
      <c r="D29" s="6" t="inlineStr">
        <is>
          <t>SMALL</t>
        </is>
      </c>
      <c r="E29" s="6" t="inlineStr">
        <is>
          <t>NO · ~218 mi</t>
        </is>
      </c>
      <c r="F29" s="27" t="inlineStr">
        <is>
          <t>CANDIDATE</t>
        </is>
      </c>
      <c r="G29" s="6" t="inlineStr">
        <is>
          <t>NC</t>
        </is>
      </c>
      <c r="H29" s="6" t="inlineStr">
        <is>
          <t>CAUTION</t>
        </is>
      </c>
      <c r="I29" s="6" t="inlineStr">
        <is>
          <t>RESOLVED: active federal grant M21848 + P21848 + V21848. Species flags are broad (market, sow, boar/stag) but FSIS slaughter_volume_category = 1 = FEWER THAN 1,000 HEAD PER YEAR — under ~19/wk. Too small to anchor anythi</t>
        </is>
      </c>
    </row>
    <row r="30" ht="58.6" customHeight="1">
      <c r="A30" s="6" t="inlineStr">
        <is>
          <t>Wells, Jenkins &amp; Wells Abattoir</t>
        </is>
      </c>
      <c r="B30" s="6" t="inlineStr">
        <is>
          <t>Forest City, NC</t>
        </is>
      </c>
      <c r="C30" s="6" t="inlineStr">
        <is>
          <t>USDA ✓ M881 + P881 + V881</t>
        </is>
      </c>
      <c r="D30" s="6" t="inlineStr">
        <is>
          <t>SMALL</t>
        </is>
      </c>
      <c r="E30" s="6" t="inlineStr">
        <is>
          <t>NO · ~278 mi</t>
        </is>
      </c>
      <c r="F30" s="27" t="inlineStr">
        <is>
          <t>CANDIDATE</t>
        </is>
      </c>
      <c r="G30" s="6" t="inlineStr">
        <is>
          <t>NC</t>
        </is>
      </c>
      <c r="H30" s="6" t="inlineStr">
        <is>
          <t>POSSIBLE</t>
        </is>
      </c>
      <c r="I30" s="6" t="inlineStr">
        <is>
          <t>RESOLVED: active federal grant M881 + P881 + V881, Forest City NC, market hogs and boar/stag flagged. Ceiling FSIS category 2, ~192/wk. At 278 road miles it is the furthest NC entry on the roster and fails the 120-mile M</t>
        </is>
      </c>
    </row>
    <row r="31" ht="58.6" customHeight="1">
      <c r="A31" s="6" t="inlineStr">
        <is>
          <t>Wilkes Abattoir, LLC dba Apple Brandy Prime Cuts (formerly Thomas Brothers)</t>
        </is>
      </c>
      <c r="B31" s="6" t="inlineStr">
        <is>
          <t>North Wilkesboro, NC</t>
        </is>
      </c>
      <c r="C31" s="6" t="inlineStr">
        <is>
          <t>USDA ✓ M19511 + P19511</t>
        </is>
      </c>
      <c r="D31" s="6" t="inlineStr">
        <is>
          <t>SMALL</t>
        </is>
      </c>
      <c r="E31" s="6" t="inlineStr">
        <is>
          <t>NO · ~209 mi</t>
        </is>
      </c>
      <c r="F31" s="27" t="inlineStr">
        <is>
          <t>CANDIDATE</t>
        </is>
      </c>
      <c r="G31" s="6" t="inlineStr">
        <is>
          <t>NC</t>
        </is>
      </c>
      <c r="H31" s="6" t="inlineStr">
        <is>
          <t>CAUTION</t>
        </is>
      </c>
      <c r="I31" s="6" t="inlineStr">
        <is>
          <t>UPDATED 2026-08-17: hogs are ~HALF the kill (highest confirmed hog share of any western federal plant) — est. ~10-95 hogs/wk inside the cat-2 all-species ceiling. Slaughter-only structure, TA-inspected, vertically integr</t>
        </is>
      </c>
    </row>
    <row r="32" ht="45.2" customHeight="1">
      <c r="A32" s="6" t="inlineStr">
        <is>
          <t>BEF Foods (Bob Evans) — Hillsdale</t>
        </is>
      </c>
      <c r="B32" s="6" t="inlineStr">
        <is>
          <t>Hillsdale, MI</t>
        </is>
      </c>
      <c r="C32" s="6" t="inlineStr">
        <is>
          <t>USDA ✓ M952 (grant 2021)</t>
        </is>
      </c>
      <c r="D32" s="6" t="inlineStr">
        <is>
          <t>MEDIUM</t>
        </is>
      </c>
      <c r="E32" s="6" t="inlineStr">
        <is>
          <t>NO</t>
        </is>
      </c>
      <c r="F32" s="27" t="inlineStr">
        <is>
          <t>CANDIDATE</t>
        </is>
      </c>
      <c r="G32" s="6" t="inlineStr">
        <is>
          <t>OUT-OF-REGION</t>
        </is>
      </c>
      <c r="H32" s="6" t="inlineStr">
        <is>
          <t>CAUTION</t>
        </is>
      </c>
      <c r="I32" s="6" t="inlineStr">
        <is>
          <t>⚠ VOLUME CORRECTED to FSIS cat 3 (~192–1,923/wk); tier corrected to MEDIUM. || Confirmed operating by the same Post FY2025 10-K sentence.</t>
        </is>
      </c>
    </row>
    <row r="33" ht="58.6" customHeight="1">
      <c r="A33" s="6" t="inlineStr">
        <is>
          <t>BEF Foods (Bob Evans) — Xenia</t>
        </is>
      </c>
      <c r="B33" s="6" t="inlineStr">
        <is>
          <t>Xenia, OH</t>
        </is>
      </c>
      <c r="C33" s="6" t="inlineStr">
        <is>
          <t>USDA ✓ M6785 (grant 2020)</t>
        </is>
      </c>
      <c r="D33" s="6" t="inlineStr">
        <is>
          <t>MEDIUM</t>
        </is>
      </c>
      <c r="E33" s="6" t="inlineStr">
        <is>
          <t>NO</t>
        </is>
      </c>
      <c r="F33" s="27" t="inlineStr">
        <is>
          <t>CANDIDATE</t>
        </is>
      </c>
      <c r="G33" s="6" t="inlineStr">
        <is>
          <t>OUT-OF-REGION</t>
        </is>
      </c>
      <c r="H33" s="6" t="inlineStr">
        <is>
          <t>CAUTION</t>
        </is>
      </c>
      <c r="I33" s="6" t="inlineStr">
        <is>
          <t>⚠ VOLUME CORRECTED: FSIS slaughter_volume_category=3 for M6785 = 10,000–99,999 head/360 days = ~192–1,923/wk, which is INCOMPATIBLE with the ~2,500–2,700/wk previously carried (that would require category 4). Tier correc</t>
        </is>
      </c>
    </row>
    <row r="34" ht="31.8" customHeight="1">
      <c r="A34" s="6" t="inlineStr">
        <is>
          <t>Banner Creek, LLC (Sustainable Swine Resources)</t>
        </is>
      </c>
      <c r="B34" s="6" t="inlineStr">
        <is>
          <t>Holton, KS</t>
        </is>
      </c>
      <c r="C34" s="6" t="inlineStr">
        <is>
          <t>USDA ✓ M5536 + P5536</t>
        </is>
      </c>
      <c r="D34" s="6" t="inlineStr">
        <is>
          <t>HIGH</t>
        </is>
      </c>
      <c r="E34" s="6" t="inlineStr">
        <is>
          <t>NO</t>
        </is>
      </c>
      <c r="F34" s="27" t="inlineStr">
        <is>
          <t>CANDIDATE</t>
        </is>
      </c>
      <c r="G34" s="6" t="inlineStr">
        <is>
          <t>OUT-OF-REGION</t>
        </is>
      </c>
      <c r="H34" s="6" t="inlineStr">
        <is>
          <t>CAUTION</t>
        </is>
      </c>
      <c r="I34" s="6" t="inlineStr">
        <is>
          <t>Second SSR harvest site. Top-of-band or just over. Same channel-conflict caveat as Perry Way.</t>
        </is>
      </c>
    </row>
    <row r="35" ht="58.6" customHeight="1">
      <c r="A35" s="6" t="inlineStr">
        <is>
          <t>Calihan Processing Cooperative</t>
        </is>
      </c>
      <c r="B35" s="6" t="inlineStr">
        <is>
          <t>Peoria, IL</t>
        </is>
      </c>
      <c r="C35" s="6" t="inlineStr">
        <is>
          <t>USDA ✓ M6775 + V6775</t>
        </is>
      </c>
      <c r="D35" s="6" t="inlineStr">
        <is>
          <t>MEDIUM-HIGH</t>
        </is>
      </c>
      <c r="E35" s="6" t="inlineStr">
        <is>
          <t>NO</t>
        </is>
      </c>
      <c r="F35" s="27" t="inlineStr">
        <is>
          <t>CANDIDATE</t>
        </is>
      </c>
      <c r="G35" s="6" t="inlineStr">
        <is>
          <t>OUT-OF-REGION</t>
        </is>
      </c>
      <c r="H35" s="6" t="inlineStr">
        <is>
          <t>CAUTION</t>
        </is>
      </c>
      <c r="I35" s="6" t="inlineStr">
        <is>
          <t>Volume, species mix AND export certification are all ideal — but RUN A WELFARE AUDIT BEFORE ANY AGREEMENT. Newly producer-owned (purchase from American Foods Group closed 14 Nov 2025), so the board may be unusually open.</t>
        </is>
      </c>
    </row>
    <row r="36" ht="58.6" customHeight="1">
      <c r="A36" s="6" t="inlineStr">
        <is>
          <t>Carlton Packing Co. (dba Carlton Farms)</t>
        </is>
      </c>
      <c r="B36" s="6" t="inlineStr">
        <is>
          <t>Carlton, OR</t>
        </is>
      </c>
      <c r="C36" s="6" t="inlineStr">
        <is>
          <t>USDA ✓ M9228 + P9228 + V9228</t>
        </is>
      </c>
      <c r="D36" s="6" t="inlineStr">
        <is>
          <t>MEDIUM</t>
        </is>
      </c>
      <c r="E36" s="6" t="inlineStr">
        <is>
          <t>NO</t>
        </is>
      </c>
      <c r="F36" s="27" t="inlineStr">
        <is>
          <t>CANDIDATE</t>
        </is>
      </c>
      <c r="G36" s="6" t="inlineStr">
        <is>
          <t>OUT-OF-REGION</t>
        </is>
      </c>
      <c r="H36" s="6" t="inlineStr">
        <is>
          <t>POSSIBLE</t>
        </is>
      </c>
      <c r="I36" s="6" t="inlineStr">
        <is>
          <t>NAME CORRECTION: 'Carlton Packing / Carlton Farms', not 'Carleton Farms'. Acquired by Beef Northwest Feeders Aug 2022 (their first move into pork); founded 1956. Sources ~5 NW farms, pigs raised WITHOUT hormones or antib</t>
        </is>
      </c>
    </row>
    <row r="37" ht="45.2" customHeight="1">
      <c r="A37" s="6" t="inlineStr">
        <is>
          <t>Clausen Meat Company, Inc.</t>
        </is>
      </c>
      <c r="B37" s="6" t="inlineStr">
        <is>
          <t>Turlock, CA (Merced)</t>
        </is>
      </c>
      <c r="C37" s="6" t="inlineStr">
        <is>
          <t>USDA ✓ M325</t>
        </is>
      </c>
      <c r="D37" s="6" t="inlineStr">
        <is>
          <t>MEDIUM-HIGH</t>
        </is>
      </c>
      <c r="E37" s="6" t="inlineStr">
        <is>
          <t>NO</t>
        </is>
      </c>
      <c r="F37" s="27" t="inlineStr">
        <is>
          <t>CANDIDATE</t>
        </is>
      </c>
      <c r="G37" s="6" t="inlineStr">
        <is>
          <t>OUT-OF-REGION</t>
        </is>
      </c>
      <c r="H37" s="6" t="inlineStr">
        <is>
          <t>CAUTION</t>
        </is>
      </c>
      <c r="I37" s="6" t="inlineStr">
        <is>
          <t>The ONLY serious in-band candidate on the WEST COAST, and rare MKT+SOW+roaster flexibility. Volume is an inference, not a published figure — verify volume AND welfare directly.</t>
        </is>
      </c>
    </row>
    <row r="38" ht="31.8" customHeight="1">
      <c r="A38" s="6" t="inlineStr">
        <is>
          <t>Clemens Food Group</t>
        </is>
      </c>
      <c r="B38" s="6" t="inlineStr">
        <is>
          <t>Hatfield, PA</t>
        </is>
      </c>
      <c r="C38" s="6" t="inlineStr">
        <is>
          <t>USDA ✓ M791+P791+V791</t>
        </is>
      </c>
      <c r="D38" s="6" t="inlineStr">
        <is>
          <t>HIGH</t>
        </is>
      </c>
      <c r="E38" s="6" t="inlineStr">
        <is>
          <t>NO</t>
        </is>
      </c>
      <c r="F38" s="27" t="inlineStr">
        <is>
          <t>CANDIDATE</t>
        </is>
      </c>
      <c r="G38" s="6" t="inlineStr">
        <is>
          <t>OUT-OF-REGION</t>
        </is>
      </c>
      <c r="H38" s="6" t="inlineStr">
        <is>
          <t>POSSIBLE</t>
        </is>
      </c>
      <c r="I38" s="6" t="inlineStr">
        <is>
          <t>The only HIGH-tier PA option and ~5 miles from Animal Biotech's Harleysville lab. Volume solves everything except access.</t>
        </is>
      </c>
    </row>
    <row r="39" ht="58.6" customHeight="1">
      <c r="A39" s="6" t="inlineStr">
        <is>
          <t>DeWied International</t>
        </is>
      </c>
      <c r="B39" s="6" t="inlineStr">
        <is>
          <t>San Antonio, TX</t>
        </is>
      </c>
      <c r="C39" s="6" t="inlineStr">
        <is>
          <t>USDA ✓ V27254</t>
        </is>
      </c>
      <c r="D39" s="6" t="inlineStr">
        <is>
          <t>n/a</t>
        </is>
      </c>
      <c r="E39" s="6" t="inlineStr">
        <is>
          <t>NO</t>
        </is>
      </c>
      <c r="F39" s="27" t="inlineStr">
        <is>
          <t>CANDIDATE</t>
        </is>
      </c>
      <c r="G39" s="6" t="inlineStr">
        <is>
          <t>OUT-OF-REGION</t>
        </is>
      </c>
      <c r="H39" s="6" t="inlineStr">
        <is>
          <t>★★ PRIORITY CONTACT</t>
        </is>
      </c>
      <c r="I39" s="6" t="inlineStr">
        <is>
          <t>NOT A SUPPLIER TO US — a MODEL and an INFORMATION SOURCE, same as SPL. Casings collectors negotiate line access at hundreds of plants; they know the commercial terms, the HACCP arrangements and which plants say yes. Inte</t>
        </is>
      </c>
    </row>
    <row r="40" ht="58.6" customHeight="1">
      <c r="A40" s="6" t="inlineStr">
        <is>
          <t>Dealaman Enterprises, Inc.</t>
        </is>
      </c>
      <c r="B40" s="6" t="inlineStr">
        <is>
          <t>Warren, NJ</t>
        </is>
      </c>
      <c r="C40" s="6" t="inlineStr">
        <is>
          <t>USDA ✓ M7562 (grant 2021)</t>
        </is>
      </c>
      <c r="D40" s="6" t="inlineStr">
        <is>
          <t>MEDIUM</t>
        </is>
      </c>
      <c r="E40" s="6" t="inlineStr">
        <is>
          <t>NO</t>
        </is>
      </c>
      <c r="F40" s="27" t="inlineStr">
        <is>
          <t>CANDIDATE</t>
        </is>
      </c>
      <c r="G40" s="6" t="inlineStr">
        <is>
          <t>OUT-OF-REGION</t>
        </is>
      </c>
      <c r="H40" s="6" t="inlineStr">
        <is>
          <t>CAUTION</t>
        </is>
      </c>
      <c r="I40" s="6" t="inlineStr">
        <is>
          <t>BLOCKER: known for SUCKLING &amp; ROASTING pigs — small, young carcasses, the opposite end of the size range from sows. Poor fit for adult pelvic/bariatric blocks. ALSO CORRECTS a widely-repeated claim: it is NOT 'the only f</t>
        </is>
      </c>
    </row>
    <row r="41" ht="58.6" customHeight="1">
      <c r="A41" s="6" t="inlineStr">
        <is>
          <t>Dean Sausage Co. (Attalla)</t>
        </is>
      </c>
      <c r="B41" s="6" t="inlineStr">
        <is>
          <t>Attalla, AL</t>
        </is>
      </c>
      <c r="C41" s="6" t="inlineStr">
        <is>
          <t>USDA ✓ M6621 + P6621</t>
        </is>
      </c>
      <c r="D41" s="6" t="inlineStr">
        <is>
          <t>SMALL</t>
        </is>
      </c>
      <c r="E41" s="6" t="inlineStr">
        <is>
          <t>NO</t>
        </is>
      </c>
      <c r="F41" s="27" t="inlineStr">
        <is>
          <t>CANDIDATE</t>
        </is>
      </c>
      <c r="G41" s="6" t="inlineStr">
        <is>
          <t>OUT-OF-REGION</t>
        </is>
      </c>
      <c r="H41" s="6" t="inlineStr">
        <is>
          <t>CAUTION</t>
        </is>
      </c>
      <c r="I41" s="6" t="inlineStr">
        <is>
          <t>⚠ VOLUME CONTRADICTION RESOLVED: FSIS slaughter_volume_category=2 = 1,000–9,999 head/360 days = ~19–192/wk. The previously carried ~1,500–1,620/wk and MEDIUM tier were off by about an order of magnitude, and contradicted</t>
        </is>
      </c>
    </row>
    <row r="42" ht="31.8" customHeight="1">
      <c r="A42" s="6" t="inlineStr">
        <is>
          <t>Eickman's Processing Co.</t>
        </is>
      </c>
      <c r="B42" s="6" t="inlineStr">
        <is>
          <t>Seward, IL</t>
        </is>
      </c>
      <c r="C42" s="6" t="inlineStr">
        <is>
          <t>USDA ✓ M31776 + P31776 + V31776</t>
        </is>
      </c>
      <c r="D42" s="6" t="inlineStr">
        <is>
          <t>SMALL</t>
        </is>
      </c>
      <c r="E42" s="6" t="inlineStr">
        <is>
          <t>NO</t>
        </is>
      </c>
      <c r="F42" s="27" t="inlineStr">
        <is>
          <t>CANDIDATE</t>
        </is>
      </c>
      <c r="G42" s="6" t="inlineStr">
        <is>
          <t>OUT-OF-REGION</t>
        </is>
      </c>
      <c r="H42" s="6" t="inlineStr">
        <is>
          <t>POSSIBLE</t>
        </is>
      </c>
      <c r="I42" s="6" t="inlineStr">
        <is>
          <t>SMALL tier (~low-100s/wk est.). Stable family culture, USDA. Viable now that capacity is open — good Model A small-batch partner.</t>
        </is>
      </c>
    </row>
    <row r="43" ht="45.2" customHeight="1">
      <c r="A43" s="6" t="inlineStr">
        <is>
          <t>F.B. Purnell Sausage Co.</t>
        </is>
      </c>
      <c r="B43" s="6" t="inlineStr">
        <is>
          <t>Simpsonville, KY</t>
        </is>
      </c>
      <c r="C43" s="6" t="inlineStr">
        <is>
          <t>USDA ✓ M7464 + P7464 (grant 2021; category refreshed 2025-06)</t>
        </is>
      </c>
      <c r="D43" s="6" t="inlineStr">
        <is>
          <t>MEDIUM-HIGH</t>
        </is>
      </c>
      <c r="E43" s="6" t="inlineStr">
        <is>
          <t>NO</t>
        </is>
      </c>
      <c r="F43" s="27" t="inlineStr">
        <is>
          <t>CANDIDATE</t>
        </is>
      </c>
      <c r="G43" s="6" t="inlineStr">
        <is>
          <t>OUT-OF-REGION</t>
        </is>
      </c>
      <c r="H43" s="6" t="inlineStr">
        <is>
          <t>POSSIBLE</t>
        </is>
      </c>
      <c r="I43" s="6" t="inlineStr">
        <is>
          <t>BEST DUAL-CLASS SUPPLY: the only plant flagged for BOTH sow and market-hog slaughter, so animal class can be specced PER TISSUE BLOCK. Volume trend was downward 2016→2017.</t>
        </is>
      </c>
    </row>
    <row r="44" ht="45.2" customHeight="1">
      <c r="A44" s="6" t="inlineStr">
        <is>
          <t>Leidy's, LLC</t>
        </is>
      </c>
      <c r="B44" s="6" t="inlineStr">
        <is>
          <t>Souderton, PA</t>
        </is>
      </c>
      <c r="C44" s="6" t="inlineStr">
        <is>
          <t>USDA ✓ M9520+P9520+V9520</t>
        </is>
      </c>
      <c r="D44" s="6" t="inlineStr">
        <is>
          <t>HIGH</t>
        </is>
      </c>
      <c r="E44" s="6" t="inlineStr">
        <is>
          <t>NO</t>
        </is>
      </c>
      <c r="F44" s="27" t="inlineStr">
        <is>
          <t>CANDIDATE</t>
        </is>
      </c>
      <c r="G44" s="6" t="inlineStr">
        <is>
          <t>OUT-OF-REGION</t>
        </is>
      </c>
      <c r="H44" s="6" t="inlineStr">
        <is>
          <t>POSSIBLE</t>
        </is>
      </c>
      <c r="I44" s="6" t="inlineStr">
        <is>
          <t>MID-ATLANTIC and EXPORT-CERTIFIED — relevant to the Pennsylvania-abattoir lead from Animal Biotech. Closest large export-capable plant to the NC operation.</t>
        </is>
      </c>
    </row>
    <row r="45" ht="58.6" customHeight="1">
      <c r="A45" s="6" t="inlineStr">
        <is>
          <t>Leidy's, LLC</t>
        </is>
      </c>
      <c r="B45" s="6" t="inlineStr">
        <is>
          <t>Souderton, PA</t>
        </is>
      </c>
      <c r="C45" s="6" t="inlineStr">
        <is>
          <t>USDA ✓ M9520+P9520+V9520</t>
        </is>
      </c>
      <c r="D45" s="6" t="inlineStr">
        <is>
          <t>HIGH</t>
        </is>
      </c>
      <c r="E45" s="6" t="inlineStr">
        <is>
          <t>NO</t>
        </is>
      </c>
      <c r="F45" s="27" t="inlineStr">
        <is>
          <t>CANDIDATE</t>
        </is>
      </c>
      <c r="G45" s="6" t="inlineStr">
        <is>
          <t>OUT-OF-REGION</t>
        </is>
      </c>
      <c r="H45" s="6" t="inlineStr">
        <is>
          <t>STRONG FIT</t>
        </is>
      </c>
      <c r="I45" s="6" t="inlineStr">
        <is>
          <t>★ BEST PA ENTRY POINT. ~5 MILES from Animal Biotech Industries' lab at Harleysville, and one of only TWO PA swine plants holding export certification. Also appears in the 'just above band' group — Medium-High/High bounda</t>
        </is>
      </c>
    </row>
    <row r="46" ht="58.6" customHeight="1">
      <c r="A46" s="6" t="inlineStr">
        <is>
          <t>Lorentz Meats</t>
        </is>
      </c>
      <c r="B46" s="6" t="inlineStr">
        <is>
          <t>Cannon Falls, MN</t>
        </is>
      </c>
      <c r="C46" s="6" t="inlineStr">
        <is>
          <t>USDA ✓ M21207 + P21207 + V21207</t>
        </is>
      </c>
      <c r="D46" s="6" t="inlineStr">
        <is>
          <t>MEDIUM</t>
        </is>
      </c>
      <c r="E46" s="6" t="inlineStr">
        <is>
          <t>NO</t>
        </is>
      </c>
      <c r="F46" s="27" t="inlineStr">
        <is>
          <t>CANDIDATE</t>
        </is>
      </c>
      <c r="G46" s="6" t="inlineStr">
        <is>
          <t>OUT-OF-REGION</t>
        </is>
      </c>
      <c r="H46" s="6" t="inlineStr">
        <is>
          <t>CAUTION</t>
        </is>
      </c>
      <c r="I46" s="6" t="inlineStr">
        <is>
          <t>⚠ SPECIES NOT CONFIRMED. Est. M21207 + P21207 + V21207 is an active federal grant at Cannon Falls MN with an export-certification activity listed and slaughter_volume_category = 3, but FSIS records NO swine slaughter fla</t>
        </is>
      </c>
    </row>
    <row r="47" ht="58.6" customHeight="1">
      <c r="A47" s="6" t="inlineStr">
        <is>
          <t>Midwest Research Swine (DBA of Collagen Solutions / Evergen)</t>
        </is>
      </c>
      <c r="B47" s="6" t="inlineStr">
        <is>
          <t>Glencoe / Gibbon, MN</t>
        </is>
      </c>
      <c r="C47" s="6" t="inlineStr">
        <is>
          <t>meat insp.</t>
        </is>
      </c>
      <c r="D47" s="6" t="inlineStr">
        <is>
          <t>SMALL</t>
        </is>
      </c>
      <c r="E47" s="6" t="inlineStr">
        <is>
          <t>confirm</t>
        </is>
      </c>
      <c r="F47" s="27" t="inlineStr">
        <is>
          <t>CANDIDATE</t>
        </is>
      </c>
      <c r="G47" s="6" t="inlineStr">
        <is>
          <t>OUT-OF-REGION</t>
        </is>
      </c>
      <c r="H47" s="6" t="inlineStr">
        <is>
          <t>STRONG FIT</t>
        </is>
      </c>
      <c r="I47" s="6" t="inlineStr">
        <is>
          <t>VOLUME CORRECTED DOWNWARD. FSIS records Est. M40110 (Collagen Solutions (US) LLC DBA Evergen, Glencoe MN) at slaughter_volume_category = 2 = 1,000-9,999 head per 360 days — a ceiling of ~192/wk. The '20,000 head/yr ≈ 385</t>
        </is>
      </c>
    </row>
    <row r="48" ht="58.6" customHeight="1">
      <c r="A48" s="6" t="inlineStr">
        <is>
          <t>Other large regional (context)</t>
        </is>
      </c>
      <c r="B48" s="6" t="inlineStr">
        <is>
          <t>IA / Midwest</t>
        </is>
      </c>
      <c r="C48" s="6" t="inlineStr">
        <is>
          <t>USDA ✓</t>
        </is>
      </c>
      <c r="D48" s="6" t="inlineStr">
        <is>
          <t>HIGH</t>
        </is>
      </c>
      <c r="E48" s="6" t="inlineStr">
        <is>
          <t>NO</t>
        </is>
      </c>
      <c r="F48" s="27" t="inlineStr">
        <is>
          <t>CANDIDATE</t>
        </is>
      </c>
      <c r="G48" s="6" t="inlineStr">
        <is>
          <t>OUT-OF-REGION</t>
        </is>
      </c>
      <c r="H48" s="6" t="inlineStr">
        <is>
          <t>CAUTION</t>
        </is>
      </c>
      <c r="I48" s="6" t="inlineStr">
        <is>
          <t>Tyson Fresh Meats (Columbus Junction, Storm Lake, Waterloo IA); JBS/Cargill pork (Ottumwa/Marshalltown). Tyson Perry IA CLOSED 2024. Iowa Premium/National Beef (Tama) = BEEF — exclude. Biologics programs unverified.</t>
        </is>
      </c>
    </row>
    <row r="49" ht="45.2" customHeight="1">
      <c r="A49" s="6" t="inlineStr">
        <is>
          <t>Peoria Packing, Ltd.</t>
        </is>
      </c>
      <c r="B49" s="6" t="inlineStr">
        <is>
          <t>Grant Park, IL (slaughter)</t>
        </is>
      </c>
      <c r="C49" s="6" t="inlineStr">
        <is>
          <t>USDA ✓ M21651 (slaughter)</t>
        </is>
      </c>
      <c r="D49" s="6" t="inlineStr">
        <is>
          <t>MEDIUM-HIGH</t>
        </is>
      </c>
      <c r="E49" s="6" t="inlineStr">
        <is>
          <t>NO</t>
        </is>
      </c>
      <c r="F49" s="27" t="inlineStr">
        <is>
          <t>CANDIDATE</t>
        </is>
      </c>
      <c r="G49" s="6" t="inlineStr">
        <is>
          <t>OUT-OF-REGION</t>
        </is>
      </c>
      <c r="H49" s="6" t="inlineStr">
        <is>
          <t>STRONG FIT</t>
        </is>
      </c>
      <c r="I49" s="6" t="inlineStr">
        <is>
          <t>★ BEST UNNAMED FIND — a genuine sleeper nobody had surfaced. Market hogs (not sows) so anatomy is smaller — confirm block dimensions suit the spec. Sister plant is export-certified.</t>
        </is>
      </c>
    </row>
    <row r="50" ht="58.6" customHeight="1">
      <c r="A50" s="6" t="inlineStr">
        <is>
          <t>Perry Way Foods, LLC (Sustainable Swine Resources)</t>
        </is>
      </c>
      <c r="B50" s="6" t="inlineStr">
        <is>
          <t>Watertown, WI</t>
        </is>
      </c>
      <c r="C50" s="6" t="inlineStr">
        <is>
          <t>USDA ✓ M1962 + P1962</t>
        </is>
      </c>
      <c r="D50" s="6" t="inlineStr">
        <is>
          <t>MEDIUM-HIGH</t>
        </is>
      </c>
      <c r="E50" s="6" t="inlineStr">
        <is>
          <t>NO</t>
        </is>
      </c>
      <c r="F50" s="27" t="inlineStr">
        <is>
          <t>CANDIDATE</t>
        </is>
      </c>
      <c r="G50" s="6" t="inlineStr">
        <is>
          <t>OUT-OF-REGION</t>
        </is>
      </c>
      <c r="H50" s="6" t="inlineStr">
        <is>
          <t>CAUTION</t>
        </is>
      </c>
      <c r="I50" s="6" t="inlineStr">
        <is>
          <t xml:space="preserve">⚠ STRATEGIC: SSR IS A DIRECT COMPETITOR in exactly your space, and controls TWO of the six in-band plants. Model A access may be refused for channel-conflict reasons. Approach as partner-supplier OR treat as competitive </t>
        </is>
      </c>
    </row>
    <row r="51" ht="58.6" customHeight="1">
      <c r="A51" s="6" t="inlineStr">
        <is>
          <t>Pioneer Packing Company, Inc.</t>
        </is>
      </c>
      <c r="B51" s="6" t="inlineStr">
        <is>
          <t>Bowling Green, OH</t>
        </is>
      </c>
      <c r="C51" s="6" t="inlineStr">
        <is>
          <t>USDA ✓ M372 (grant 2021)</t>
        </is>
      </c>
      <c r="D51" s="6" t="inlineStr">
        <is>
          <t>MEDIUM</t>
        </is>
      </c>
      <c r="E51" s="6" t="inlineStr">
        <is>
          <t>NO</t>
        </is>
      </c>
      <c r="F51" s="27" t="inlineStr">
        <is>
          <t>CANDIDATE</t>
        </is>
      </c>
      <c r="G51" s="6" t="inlineStr">
        <is>
          <t>OUT-OF-REGION</t>
        </is>
      </c>
      <c r="H51" s="6" t="inlineStr">
        <is>
          <t>STRONG FIT</t>
        </is>
      </c>
      <c r="I51" s="6" t="inlineStr">
        <is>
          <t>★ THE STANDOUT OF THE WHOLE RE-INVESTIGATION. Cleanest sow-only signature in USDA's data, and uniquely it ALREADY runs a sub-2-hour warm-carcass business. Location correction: Bowling Green, not the 'Pioneer Packing, Ohi</t>
        </is>
      </c>
    </row>
    <row r="52" ht="31.8" customHeight="1">
      <c r="A52" s="6" t="inlineStr">
        <is>
          <t>Premium Minnesota Pork</t>
        </is>
      </c>
      <c r="B52" s="6" t="inlineStr">
        <is>
          <t>Luverne, MN</t>
        </is>
      </c>
      <c r="C52" s="6" t="inlineStr">
        <is>
          <t>USDA ✓ M21069L (newer grant, 2022)</t>
        </is>
      </c>
      <c r="D52" s="6" t="inlineStr">
        <is>
          <t>unknown</t>
        </is>
      </c>
      <c r="E52" s="6" t="inlineStr">
        <is>
          <t>NO</t>
        </is>
      </c>
      <c r="F52" s="27" t="inlineStr">
        <is>
          <t>CANDIDATE</t>
        </is>
      </c>
      <c r="G52" s="6" t="inlineStr">
        <is>
          <t>OUT-OF-REGION</t>
        </is>
      </c>
      <c r="H52" s="6" t="inlineStr">
        <is>
          <t>POSSIBLE</t>
        </is>
      </c>
      <c r="I52" s="6" t="inlineStr">
        <is>
          <t>Newer establishment; volume unpublished.</t>
        </is>
      </c>
    </row>
    <row r="53" ht="58.6" customHeight="1">
      <c r="A53" s="6" t="inlineStr">
        <is>
          <t>Prestage Foods of Iowa (FSIS now lists Eagle Grove Cooperative)</t>
        </is>
      </c>
      <c r="B53" s="6" t="inlineStr">
        <is>
          <t>Eagle Grove, IA</t>
        </is>
      </c>
      <c r="C53" s="6" t="inlineStr">
        <is>
          <t>USDA ✓ M51340 + V51340</t>
        </is>
      </c>
      <c r="D53" s="6" t="inlineStr">
        <is>
          <t>HIGH</t>
        </is>
      </c>
      <c r="E53" s="6" t="inlineStr">
        <is>
          <t>NO</t>
        </is>
      </c>
      <c r="F53" s="27" t="inlineStr">
        <is>
          <t>CANDIDATE</t>
        </is>
      </c>
      <c r="G53" s="6" t="inlineStr">
        <is>
          <t>OUT-OF-REGION</t>
        </is>
      </c>
      <c r="H53" s="6" t="inlineStr">
        <is>
          <t>POSSIBLE</t>
        </is>
      </c>
      <c r="I53" s="6" t="inlineStr">
        <is>
          <t>NAME CHANGE ON THE FSIS RECORD. The active establishment at Eagle Grove IA is M51340 + V51340, listed as 'Eagle Grove Cooperative', with market-hog slaughter and a Certification-Export activity, slaughter_volume_category</t>
        </is>
      </c>
    </row>
    <row r="54" ht="31.8" customHeight="1">
      <c r="A54" s="6" t="inlineStr">
        <is>
          <t>Ruthven Meat Processing</t>
        </is>
      </c>
      <c r="B54" s="6" t="inlineStr">
        <is>
          <t>Ruthven, IA</t>
        </is>
      </c>
      <c r="C54" s="6" t="inlineStr">
        <is>
          <t>USDA ✓ M2118 + P2118 + V2118</t>
        </is>
      </c>
      <c r="D54" s="6" t="inlineStr">
        <is>
          <t>SMALL</t>
        </is>
      </c>
      <c r="E54" s="6" t="inlineStr">
        <is>
          <t>NO</t>
        </is>
      </c>
      <c r="F54" s="27" t="inlineStr">
        <is>
          <t>CANDIDATE</t>
        </is>
      </c>
      <c r="G54" s="6" t="inlineStr">
        <is>
          <t>OUT-OF-REGION</t>
        </is>
      </c>
      <c r="H54" s="6" t="inlineStr">
        <is>
          <t>CAUTION</t>
        </is>
      </c>
      <c r="I54" s="6" t="inlineStr">
        <is>
          <t>FSIS 'Very Small' volume class (fits low band) BUT swine slaughter NOT confirmed — verify it actually takes hogs before relying on it.</t>
        </is>
      </c>
    </row>
    <row r="55" ht="58.6" customHeight="1">
      <c r="A55" s="6" t="inlineStr">
        <is>
          <t>SIG International, Iowa</t>
        </is>
      </c>
      <c r="B55" s="6" t="inlineStr">
        <is>
          <t>Boyden, IA</t>
        </is>
      </c>
      <c r="C55" s="6" t="inlineStr">
        <is>
          <t>USDA ✓ M20748 + V20748</t>
        </is>
      </c>
      <c r="D55" s="6" t="inlineStr">
        <is>
          <t>MEDIUM</t>
        </is>
      </c>
      <c r="E55" s="6" t="inlineStr">
        <is>
          <t>NO</t>
        </is>
      </c>
      <c r="F55" s="27" t="inlineStr">
        <is>
          <t>CANDIDATE</t>
        </is>
      </c>
      <c r="G55" s="6" t="inlineStr">
        <is>
          <t>OUT-OF-REGION</t>
        </is>
      </c>
      <c r="H55" s="6" t="inlineStr">
        <is>
          <t>POSSIBLE</t>
        </is>
      </c>
      <c r="I55" s="6" t="inlineStr">
        <is>
          <t>RESOLVED from 'unknown'. Active federal grant M20748 + V20748, Boyden IA, market hogs flagged, slaughter_volume_category = 3 = 192-1,917/wk — a genuine medium-band plant, and it carries a Certification-Export activity, w</t>
        </is>
      </c>
    </row>
    <row r="56" ht="58.6" customHeight="1">
      <c r="A56" s="6" t="inlineStr">
        <is>
          <t>Scientific Protein Laboratories (SPL)</t>
        </is>
      </c>
      <c r="B56" s="6" t="inlineStr">
        <is>
          <t>Waunakee, WI</t>
        </is>
      </c>
      <c r="C56" s="6" t="inlineStr">
        <is>
          <t>n/a — collects at USDA-inspected plants</t>
        </is>
      </c>
      <c r="D56" s="6" t="inlineStr">
        <is>
          <t>n/a</t>
        </is>
      </c>
      <c r="E56" s="6" t="inlineStr">
        <is>
          <t>NO</t>
        </is>
      </c>
      <c r="F56" s="27" t="inlineStr">
        <is>
          <t>CANDIDATE</t>
        </is>
      </c>
      <c r="G56" s="6" t="inlineStr">
        <is>
          <t>OUT-OF-REGION</t>
        </is>
      </c>
      <c r="H56" s="6" t="inlineStr">
        <is>
          <t>★★ PRIORITY CONTACT</t>
        </is>
      </c>
      <c r="I56" s="6" t="inlineStr">
        <is>
          <t>NOT A SUPPLIER OF TISSUE TO US — a MODEL and an INFORMATION SOURCE. Their collection network is a ready-made map of WHICH US PLANTS ALLOW A THIRD-PARTY CREW ON THE LINE, at what price, in what position, under whose HACCP</t>
        </is>
      </c>
    </row>
    <row r="57" ht="45.2" customHeight="1">
      <c r="A57" s="6" t="inlineStr">
        <is>
          <t>Seaboard Triumph Foods</t>
        </is>
      </c>
      <c r="B57" s="6" t="inlineStr">
        <is>
          <t>Sioux City, IA</t>
        </is>
      </c>
      <c r="C57" s="6" t="inlineStr">
        <is>
          <t>USDA ✓ M46071 + V46071</t>
        </is>
      </c>
      <c r="D57" s="6" t="inlineStr">
        <is>
          <t>HIGH</t>
        </is>
      </c>
      <c r="E57" s="6" t="inlineStr">
        <is>
          <t>NO</t>
        </is>
      </c>
      <c r="F57" s="27" t="inlineStr">
        <is>
          <t>CANDIDATE</t>
        </is>
      </c>
      <c r="G57" s="6" t="inlineStr">
        <is>
          <t>OUT-OF-REGION</t>
        </is>
      </c>
      <c r="H57" s="6" t="inlineStr">
        <is>
          <t>POSSIBLE</t>
        </is>
      </c>
      <c r="I57" s="6" t="inlineStr">
        <is>
          <t>HIGH tier. No longer excluded on size (~10-24k/day). Biologics program UNCONFIRMED — do NOT assume one exists; ask directly. Non-FSIS labour/child-labour press on record.</t>
        </is>
      </c>
    </row>
    <row r="58" ht="45.2" customHeight="1">
      <c r="A58" s="6" t="inlineStr">
        <is>
          <t>Sinclair BioResources</t>
        </is>
      </c>
      <c r="B58" s="6" t="inlineStr">
        <is>
          <t>Auxvasse, MO</t>
        </is>
      </c>
      <c r="C58" s="6" t="inlineStr">
        <is>
          <t>unknown</t>
        </is>
      </c>
      <c r="D58" s="6" t="inlineStr">
        <is>
          <t>n/a</t>
        </is>
      </c>
      <c r="E58" s="6" t="inlineStr">
        <is>
          <t>NO</t>
        </is>
      </c>
      <c r="F58" s="27" t="inlineStr">
        <is>
          <t>CANDIDATE</t>
        </is>
      </c>
      <c r="G58" s="6" t="inlineStr">
        <is>
          <t>OUT-OF-REGION</t>
        </is>
      </c>
      <c r="H58" s="6" t="inlineStr">
        <is>
          <t>CAUTION</t>
        </is>
      </c>
      <c r="I58" s="6" t="inlineStr">
        <is>
          <t>MISMATCH: research minipigs at research scale, not commercial market hogs at our volume tiers; tissue blocks would be minipig-sized. Useful as a comparator/specialty source, not a throughput abattoir.</t>
        </is>
      </c>
    </row>
    <row r="59" ht="58.6" customHeight="1">
      <c r="A59" s="6" t="inlineStr">
        <is>
          <t>Sioux-Preme Packing / Perdue</t>
        </is>
      </c>
      <c r="B59" s="6" t="inlineStr">
        <is>
          <t>Sioux Center, IA</t>
        </is>
      </c>
      <c r="C59" s="6" t="inlineStr">
        <is>
          <t>USDA ✓ M5537</t>
        </is>
      </c>
      <c r="D59" s="6" t="inlineStr">
        <is>
          <t>HIGH</t>
        </is>
      </c>
      <c r="E59" s="6" t="inlineStr">
        <is>
          <t>NO</t>
        </is>
      </c>
      <c r="F59" s="27" t="inlineStr">
        <is>
          <t>CANDIDATE</t>
        </is>
      </c>
      <c r="G59" s="6" t="inlineStr">
        <is>
          <t>OUT-OF-REGION</t>
        </is>
      </c>
      <c r="H59" s="6" t="inlineStr">
        <is>
          <t>CAUTION</t>
        </is>
      </c>
      <c r="I59" s="6" t="inlineStr">
        <is>
          <t>HIGH tier — no longer excluded on size. Held at CAUTION on WELFARE, not volume: humane-handling NOIE 11/2020 and suspension 04/2021 (Est. M5537), and PETA sought criminal charges. No organ program found. Weigh heavily ag</t>
        </is>
      </c>
    </row>
    <row r="60" ht="45.2" customHeight="1">
      <c r="A60" s="6" t="inlineStr">
        <is>
          <t>Smithfield BioScience — Denison</t>
        </is>
      </c>
      <c r="B60" s="6" t="inlineStr">
        <is>
          <t>Denison, IA (+ Monmouth IL, Milan MO)</t>
        </is>
      </c>
      <c r="C60" s="6" t="inlineStr">
        <is>
          <t>USDA ✓ M717 + P19051 + V717</t>
        </is>
      </c>
      <c r="D60" s="6" t="inlineStr">
        <is>
          <t>HIGH</t>
        </is>
      </c>
      <c r="E60" s="6" t="inlineStr">
        <is>
          <t>NO</t>
        </is>
      </c>
      <c r="F60" s="27" t="inlineStr">
        <is>
          <t>CANDIDATE</t>
        </is>
      </c>
      <c r="G60" s="6" t="inlineStr">
        <is>
          <t>OUT-OF-REGION</t>
        </is>
      </c>
      <c r="H60" s="6" t="inlineStr">
        <is>
          <t>STRONG FIT (organ exc.)</t>
        </is>
      </c>
      <c r="I60" s="6" t="inlineStr">
        <is>
          <t>The large packer that QUALIFIES via your organ exception — covers all three target regions harvested to spec. Model B natural fit; Model A access would need negotiation.</t>
        </is>
      </c>
    </row>
    <row r="61" ht="18.4" customHeight="1">
      <c r="A61" s="6" t="inlineStr">
        <is>
          <t>Tri Eagle Provisions</t>
        </is>
      </c>
      <c r="B61" s="6" t="inlineStr">
        <is>
          <t>Tippecanoe, IN</t>
        </is>
      </c>
      <c r="C61" s="6" t="inlineStr">
        <is>
          <t>USDA ✓ M17496</t>
        </is>
      </c>
      <c r="D61" s="6" t="inlineStr">
        <is>
          <t>HIGH</t>
        </is>
      </c>
      <c r="E61" s="6" t="inlineStr">
        <is>
          <t>NO</t>
        </is>
      </c>
      <c r="F61" s="27" t="inlineStr">
        <is>
          <t>CANDIDATE</t>
        </is>
      </c>
      <c r="G61" s="6" t="inlineStr">
        <is>
          <t>OUT-OF-REGION</t>
        </is>
      </c>
      <c r="H61" s="6" t="inlineStr">
        <is>
          <t>POSSIBLE</t>
        </is>
      </c>
      <c r="I61" s="6" t="inlineStr">
        <is>
          <t>DBAs Vin Lee Ron, Maple Creek Packing.</t>
        </is>
      </c>
    </row>
    <row r="62" ht="18.4" customHeight="1">
      <c r="A62" s="6" t="inlineStr">
        <is>
          <t>Verschoor Meats</t>
        </is>
      </c>
      <c r="B62" s="6" t="inlineStr">
        <is>
          <t>Sioux City, IA</t>
        </is>
      </c>
      <c r="C62" s="6" t="inlineStr">
        <is>
          <t>USDA ✓ M363</t>
        </is>
      </c>
      <c r="D62" s="6" t="inlineStr">
        <is>
          <t>HIGH</t>
        </is>
      </c>
      <c r="E62" s="6" t="inlineStr">
        <is>
          <t>NO</t>
        </is>
      </c>
      <c r="F62" s="27" t="inlineStr">
        <is>
          <t>CANDIDATE</t>
        </is>
      </c>
      <c r="G62" s="6" t="inlineStr">
        <is>
          <t>OUT-OF-REGION</t>
        </is>
      </c>
      <c r="H62" s="6" t="inlineStr">
        <is>
          <t>POSSIBLE</t>
        </is>
      </c>
      <c r="I62" s="6" t="inlineStr">
        <is>
          <t>Iowa option just above band.</t>
        </is>
      </c>
    </row>
    <row r="63" ht="31.8" customHeight="1">
      <c r="A63" s="6" t="inlineStr">
        <is>
          <t>Wholestone Farms</t>
        </is>
      </c>
      <c r="B63" s="6" t="inlineStr">
        <is>
          <t>Fremont, NE</t>
        </is>
      </c>
      <c r="C63" s="6" t="inlineStr">
        <is>
          <t>USDA ✓ M46491 + P46491</t>
        </is>
      </c>
      <c r="D63" s="6" t="inlineStr">
        <is>
          <t>HIGH</t>
        </is>
      </c>
      <c r="E63" s="6" t="inlineStr">
        <is>
          <t>NO</t>
        </is>
      </c>
      <c r="F63" s="27" t="inlineStr">
        <is>
          <t>CANDIDATE</t>
        </is>
      </c>
      <c r="G63" s="6" t="inlineStr">
        <is>
          <t>OUT-OF-REGION</t>
        </is>
      </c>
      <c r="H63" s="6" t="inlineStr">
        <is>
          <t>POSSIBLE</t>
        </is>
      </c>
      <c r="I63" s="6" t="inlineStr">
        <is>
          <t>HIGH tier. No longer excluded on size. Biologics unknown — confirm. Humane-handling NOIE 12/2019 on record.</t>
        </is>
      </c>
    </row>
    <row r="64" ht="58.6" customHeight="1">
      <c r="A64" s="6" t="inlineStr">
        <is>
          <t>⚑ The ABI / LAMPIRE abattoir inference</t>
        </is>
      </c>
      <c r="B64" s="6" t="inlineStr">
        <is>
          <t>Harleysville &amp; Pipersville, PA</t>
        </is>
      </c>
      <c r="C64" s="6" t="inlineStr">
        <is>
          <t>n/a — they BUY from PA abattoirs</t>
        </is>
      </c>
      <c r="D64" s="6" t="inlineStr">
        <is>
          <t>n/a</t>
        </is>
      </c>
      <c r="E64" s="6" t="inlineStr">
        <is>
          <t>NO</t>
        </is>
      </c>
      <c r="F64" s="27" t="inlineStr">
        <is>
          <t>CANDIDATE</t>
        </is>
      </c>
      <c r="G64" s="6" t="inlineStr">
        <is>
          <t>OUT-OF-REGION</t>
        </is>
      </c>
      <c r="H64" s="6" t="inlineStr">
        <is>
          <t>POSSIBLE</t>
        </is>
      </c>
      <c r="I64" s="6" t="inlineStr">
        <is>
          <t>⚠ LABELLED INFERENCE, NOT FACT: neither company names its abattoirs and NO document links either to a specific plant. The inference rests on (a) both companies' explicit 'nearby PA USDA abattoir' language and (b) geograp</t>
        </is>
      </c>
    </row>
    <row r="65" ht="45.2" customHeight="1">
      <c r="A65" s="6" t="inlineStr">
        <is>
          <t>601 Deer and Hog Processors</t>
        </is>
      </c>
      <c r="B65" s="6" t="inlineStr">
        <is>
          <t>Fort Motte, SC</t>
        </is>
      </c>
      <c r="C65" s="6" t="inlineStr">
        <is>
          <t>likely custom-</t>
        </is>
      </c>
      <c r="D65" s="6" t="inlineStr">
        <is>
          <t>SMALL</t>
        </is>
      </c>
      <c r="E65" s="6" t="inlineStr">
        <is>
          <t>NO</t>
        </is>
      </c>
      <c r="F65" s="27" t="inlineStr">
        <is>
          <t>CANDIDATE</t>
        </is>
      </c>
      <c r="G65" s="6" t="inlineStr">
        <is>
          <t>SC</t>
        </is>
      </c>
      <c r="H65" s="6" t="inlineStr">
        <is>
          <t>CAUTION</t>
        </is>
      </c>
      <c r="I65" s="6" t="inlineStr">
        <is>
          <t>FLAG: USDA status unverified — game processors are often custom-exempt (product not for resale). One directory lists it CLOSED; verify still operating.</t>
        </is>
      </c>
    </row>
    <row r="66" ht="58.6" customHeight="1">
      <c r="A66" s="6" t="inlineStr">
        <is>
          <t>Back Forty Butchery (FSIS lists 'Back 40 Butchery')</t>
        </is>
      </c>
      <c r="B66" s="6" t="inlineStr">
        <is>
          <t>Hodges, SC</t>
        </is>
      </c>
      <c r="C66" s="6" t="inlineStr">
        <is>
          <t>USDA ✓ M46060</t>
        </is>
      </c>
      <c r="D66" s="6" t="inlineStr">
        <is>
          <t>SMALL</t>
        </is>
      </c>
      <c r="E66" s="6" t="inlineStr">
        <is>
          <t>NO</t>
        </is>
      </c>
      <c r="F66" s="27" t="inlineStr">
        <is>
          <t>CANDIDATE</t>
        </is>
      </c>
      <c r="G66" s="6" t="inlineStr">
        <is>
          <t>SC</t>
        </is>
      </c>
      <c r="H66" s="6" t="inlineStr">
        <is>
          <t>POSSIBLE</t>
        </is>
      </c>
      <c r="I66" s="6" t="inlineStr">
        <is>
          <t>RESOLVED: FSIS lists the establishment as 'Back 40 Butchery', M46060, Hodges SC, active federal grant, market hogs flagged. slaughter_volume_category = 1 = under ~19/wk.  [Verified 2026-08-06 against FSIS Establishment D</t>
        </is>
      </c>
    </row>
    <row r="67" ht="58.6" customHeight="1">
      <c r="A67" s="6" t="inlineStr">
        <is>
          <t>Caughman's Meat Plant, Inc.</t>
        </is>
      </c>
      <c r="B67" s="6" t="inlineStr">
        <is>
          <t>Lexington, SC</t>
        </is>
      </c>
      <c r="C67" s="6" t="inlineStr">
        <is>
          <t>NOT in the FSIS MPI directory</t>
        </is>
      </c>
      <c r="D67" s="6" t="inlineStr">
        <is>
          <t>unknown</t>
        </is>
      </c>
      <c r="E67" s="6" t="inlineStr">
        <is>
          <t>NO</t>
        </is>
      </c>
      <c r="F67" s="27" t="inlineStr">
        <is>
          <t>CANDIDATE</t>
        </is>
      </c>
      <c r="G67" s="6" t="inlineStr">
        <is>
          <t>SC</t>
        </is>
      </c>
      <c r="H67" s="6" t="inlineStr">
        <is>
          <t>CAUTION</t>
        </is>
      </c>
      <c r="I67" s="6" t="inlineStr">
        <is>
          <t xml:space="preserve">⚠ CLAIM WITHDRAWN — the 'USDA ✓' label was wrong. A national name search of the FSIS MPI directory returns nothing for 'Caughman', and the only establishments listed at Lexington SC are processing-only. If it slaughters </t>
        </is>
      </c>
    </row>
    <row r="68" ht="58.6" customHeight="1">
      <c r="A68" s="6" t="inlineStr">
        <is>
          <t>Knockout Butchery</t>
        </is>
      </c>
      <c r="B68" s="6" t="inlineStr">
        <is>
          <t>Roebuck, SC</t>
        </is>
      </c>
      <c r="C68" s="6" t="inlineStr">
        <is>
          <t>USDA ✓ M2866 + P2866</t>
        </is>
      </c>
      <c r="D68" s="6" t="inlineStr">
        <is>
          <t>SMALL</t>
        </is>
      </c>
      <c r="E68" s="6" t="inlineStr">
        <is>
          <t>NO</t>
        </is>
      </c>
      <c r="F68" s="27" t="inlineStr">
        <is>
          <t>CANDIDATE</t>
        </is>
      </c>
      <c r="G68" s="6" t="inlineStr">
        <is>
          <t>SC</t>
        </is>
      </c>
      <c r="H68" s="6" t="inlineStr">
        <is>
          <t>CAUTION</t>
        </is>
      </c>
      <c r="I68" s="6" t="inlineStr">
        <is>
          <t>⚠ SPECIES NOT CONFIRMED. Active federal grant M2866 + P2866 with slaughter listed, but FSIS records NO swine slaughter flags for this establishment — the hog-slaughter assumption is unsupported. Volume is category 1 (und</t>
        </is>
      </c>
    </row>
    <row r="69" ht="45.2" customHeight="1">
      <c r="A69" s="6" t="inlineStr">
        <is>
          <t>Cherry Meat Company</t>
        </is>
      </c>
      <c r="B69" s="6" t="inlineStr">
        <is>
          <t>Chapel Hill, TN</t>
        </is>
      </c>
      <c r="C69" s="6" t="inlineStr">
        <is>
          <t>USDA ✓ M40106</t>
        </is>
      </c>
      <c r="D69" s="6" t="inlineStr">
        <is>
          <t>SMALL</t>
        </is>
      </c>
      <c r="E69" s="6" t="inlineStr">
        <is>
          <t>NO</t>
        </is>
      </c>
      <c r="F69" s="27" t="inlineStr">
        <is>
          <t>CANDIDATE</t>
        </is>
      </c>
      <c r="G69" s="6" t="inlineStr">
        <is>
          <t>TN</t>
        </is>
      </c>
      <c r="H69" s="6" t="inlineStr">
        <is>
          <t>POSSIBLE</t>
        </is>
      </c>
      <c r="I69" s="6" t="inlineStr">
        <is>
          <t>SMALL tier — verified ~80 hogs/MONTH (~18/wk). With capacity now open this is a legitimate high-touch, family-culture option for pilot or specialty work; it simply cannot carry volume alone.</t>
        </is>
      </c>
    </row>
    <row r="70" ht="58.6" customHeight="1">
      <c r="A70" s="6" t="inlineStr">
        <is>
          <t>Fayette Packing Co., Inc.</t>
        </is>
      </c>
      <c r="B70" s="6" t="inlineStr">
        <is>
          <t>Eads, TN (Memphis area)</t>
        </is>
      </c>
      <c r="C70" s="6" t="inlineStr">
        <is>
          <t>USDA ✓ M6555 + P34794</t>
        </is>
      </c>
      <c r="D70" s="6" t="inlineStr">
        <is>
          <t>SMALL</t>
        </is>
      </c>
      <c r="E70" s="6" t="inlineStr">
        <is>
          <t>NO</t>
        </is>
      </c>
      <c r="F70" s="27" t="inlineStr">
        <is>
          <t>CANDIDATE</t>
        </is>
      </c>
      <c r="G70" s="6" t="inlineStr">
        <is>
          <t>TN</t>
        </is>
      </c>
      <c r="H70" s="6" t="inlineStr">
        <is>
          <t>POSSIBLE</t>
        </is>
      </c>
      <c r="I70" s="6" t="inlineStr">
        <is>
          <t>VOLUME REFUTED. The roster called this 'the largest of the TN group'; FSIS slaughter_volume_category = 1 puts it under ~19 head/wk — the SMALLEST band there is. All four swine classes are flagged, which is a real positiv</t>
        </is>
      </c>
    </row>
    <row r="71" ht="58.6" customHeight="1">
      <c r="A71" s="6" t="inlineStr">
        <is>
          <t>Swaggerty Sausage Co.</t>
        </is>
      </c>
      <c r="B71" s="6" t="inlineStr">
        <is>
          <t>Kodak, TN (Sevier)</t>
        </is>
      </c>
      <c r="C71" s="6" t="inlineStr">
        <is>
          <t>USDA ✓ M8314 + V8314</t>
        </is>
      </c>
      <c r="D71" s="6" t="inlineStr">
        <is>
          <t>MEDIUM-HIGH</t>
        </is>
      </c>
      <c r="E71" s="6" t="inlineStr">
        <is>
          <t>NO</t>
        </is>
      </c>
      <c r="F71" s="27" t="inlineStr">
        <is>
          <t>CANDIDATE</t>
        </is>
      </c>
      <c r="G71" s="6" t="inlineStr">
        <is>
          <t>TN</t>
        </is>
      </c>
      <c r="H71" s="6" t="inlineStr">
        <is>
          <t>POSSIBLE</t>
        </is>
      </c>
      <c r="I71" s="6" t="inlineStr">
        <is>
          <t>#7 US SOW plant; 50,000 sq ft expansion recently online. MEDIUM-HIGH tier. Sow anatomy is closer to adult human scale — potentially an ADVANTAGE for pelvic/bariatric blocks. Confirm against the anatomical spec.</t>
        </is>
      </c>
    </row>
    <row r="72" ht="58.6" customHeight="1">
      <c r="A72" s="6" t="inlineStr">
        <is>
          <t>Swaggerty Sausage Company</t>
        </is>
      </c>
      <c r="B72" s="6" t="inlineStr">
        <is>
          <t>Kodak, TN (Sevier)</t>
        </is>
      </c>
      <c r="C72" s="6" t="inlineStr">
        <is>
          <t>USDA ✓ M8314 + V8314 (V = voluntary grant)</t>
        </is>
      </c>
      <c r="D72" s="6" t="inlineStr">
        <is>
          <t>MEDIUM-HIGH</t>
        </is>
      </c>
      <c r="E72" s="6" t="inlineStr">
        <is>
          <t>NO</t>
        </is>
      </c>
      <c r="F72" s="27" t="inlineStr">
        <is>
          <t>CANDIDATE</t>
        </is>
      </c>
      <c r="G72" s="6" t="inlineStr">
        <is>
          <t>TN</t>
        </is>
      </c>
      <c r="H72" s="6" t="inlineStr">
        <is>
          <t>STRONG FIT</t>
        </is>
      </c>
      <c r="I72" s="6" t="inlineStr">
        <is>
          <t xml:space="preserve">★ TOP PICK IN BAND and the ONLY named lead that fully verified. SOW-ONLY = uniformly LARGE anatomy, which suits pelvic/abdominal/thoracic blocks. New 50,000 sq ft facility opened 14 Apr 2026 (CEO Doug Swaggerty) — fresh </t>
        </is>
      </c>
    </row>
    <row r="73" ht="31.8" customHeight="1">
      <c r="A73" s="6" t="inlineStr">
        <is>
          <t>Tyson (Hillshire / Jimmy Dean) — Newbern</t>
        </is>
      </c>
      <c r="B73" s="6" t="inlineStr">
        <is>
          <t>Newbern, TN (Dyer)</t>
        </is>
      </c>
      <c r="C73" s="6" t="inlineStr">
        <is>
          <t>USDA ✓ M8080 + P8080</t>
        </is>
      </c>
      <c r="D73" s="6" t="inlineStr">
        <is>
          <t>HIGH</t>
        </is>
      </c>
      <c r="E73" s="6" t="inlineStr">
        <is>
          <t>NO</t>
        </is>
      </c>
      <c r="F73" s="27" t="inlineStr">
        <is>
          <t>CANDIDATE</t>
        </is>
      </c>
      <c r="G73" s="6" t="inlineStr">
        <is>
          <t>TN</t>
        </is>
      </c>
      <c r="H73" s="6" t="inlineStr">
        <is>
          <t>POSSIBLE</t>
        </is>
      </c>
      <c r="I73" s="6" t="inlineStr">
        <is>
          <t>#3 US SOW plant. HIGH tier — access, not volume, is the constraint. Corporate conversation, not a plant conversation.</t>
        </is>
      </c>
    </row>
    <row r="74" ht="58.6" customHeight="1">
      <c r="A74" s="6" t="inlineStr">
        <is>
          <t>Underground Slaughter / Processing</t>
        </is>
      </c>
      <c r="B74" s="6" t="inlineStr">
        <is>
          <t>Walling, TN</t>
        </is>
      </c>
      <c r="C74" s="6" t="inlineStr">
        <is>
          <t>USDA ✓ M51351 + P51351</t>
        </is>
      </c>
      <c r="D74" s="6" t="inlineStr">
        <is>
          <t>MEDIUM</t>
        </is>
      </c>
      <c r="E74" s="6" t="inlineStr">
        <is>
          <t>NO</t>
        </is>
      </c>
      <c r="F74" s="27" t="inlineStr">
        <is>
          <t>CANDIDATE</t>
        </is>
      </c>
      <c r="G74" s="6" t="inlineStr">
        <is>
          <t>TN</t>
        </is>
      </c>
      <c r="H74" s="6" t="inlineStr">
        <is>
          <t>POSSIBLE</t>
        </is>
      </c>
      <c r="I74" s="6" t="inlineStr">
        <is>
          <t>★ UPGRADED — this row was sitting at 'unknown' and is in fact one of the few genuinely MEDIUM-band plants in Tennessee. Active federal grant M51351 + P51351, market hogs AND sows both flagged, FSIS slaughter_volume_categ</t>
        </is>
      </c>
    </row>
    <row r="75" ht="58.6" customHeight="1">
      <c r="A75" s="6" t="inlineStr">
        <is>
          <t>VIRGINIA — coverage gap (action required)</t>
        </is>
      </c>
      <c r="B75" s="6" t="inlineStr">
        <is>
          <t>VA statewide</t>
        </is>
      </c>
      <c r="C75" s="6" t="inlineStr">
        <is>
          <t>VDACS publishes NO online directory</t>
        </is>
      </c>
      <c r="D75" s="6" t="inlineStr">
        <is>
          <t>n/a</t>
        </is>
      </c>
      <c r="E75" s="6" t="inlineStr">
        <is>
          <t>NO</t>
        </is>
      </c>
      <c r="F75" s="27" t="inlineStr">
        <is>
          <t>CANDIDATE</t>
        </is>
      </c>
      <c r="G75" s="6" t="inlineStr">
        <is>
          <t>TN</t>
        </is>
      </c>
      <c r="H75" s="6" t="inlineStr">
        <is>
          <t>CAUTION</t>
        </is>
      </c>
      <c r="I75" s="6" t="inlineStr">
        <is>
          <t>HONEST GAP: Virginia is the one state that could NOT be enumerated — VDACS distributes its establishment directory BY REQUEST ONLY and the FSIS per-state PDF is 403-blocked. ONE PHONE CALL to 804-786-4569 will produce mo</t>
        </is>
      </c>
    </row>
    <row r="76" ht="58.6" customHeight="1">
      <c r="A76" s="6" t="inlineStr">
        <is>
          <t>Wampler's Farm Sausage Co.</t>
        </is>
      </c>
      <c r="B76" s="6" t="inlineStr">
        <is>
          <t>Lenoir City, TN (Loudon)</t>
        </is>
      </c>
      <c r="C76" s="6" t="inlineStr">
        <is>
          <t>USDA ✓ M9065 + P9065 + V9065</t>
        </is>
      </c>
      <c r="D76" s="6" t="inlineStr">
        <is>
          <t>MEDIUM</t>
        </is>
      </c>
      <c r="E76" s="6" t="inlineStr">
        <is>
          <t>NO</t>
        </is>
      </c>
      <c r="F76" s="27" t="inlineStr">
        <is>
          <t>CANDIDATE</t>
        </is>
      </c>
      <c r="G76" s="6" t="inlineStr">
        <is>
          <t>TN</t>
        </is>
      </c>
      <c r="H76" s="6" t="inlineStr">
        <is>
          <t>POSSIBLE</t>
        </is>
      </c>
      <c r="I76" s="6" t="inlineStr">
        <is>
          <t>SPECIES CORRECTED: FSIS records BOTH market_swine_slaughter=Yes AND sow_slaughter=Yes — Wampler's is not a sows-only plant, so it should not sit in the sow-only group on the Anatomical Spec tab. || FSIS activities confir</t>
        </is>
      </c>
    </row>
    <row r="77" ht="58.6" customHeight="1">
      <c r="A77" s="6" t="inlineStr">
        <is>
          <t>Blue Ridge Meats of Front Royal</t>
        </is>
      </c>
      <c r="B77" s="6" t="inlineStr">
        <is>
          <t>Middletown, VA</t>
        </is>
      </c>
      <c r="C77" s="6" t="inlineStr">
        <is>
          <t>USDA ✓ M6526</t>
        </is>
      </c>
      <c r="D77" s="6" t="inlineStr">
        <is>
          <t>SMALL</t>
        </is>
      </c>
      <c r="E77" s="6" t="inlineStr">
        <is>
          <t>NO</t>
        </is>
      </c>
      <c r="F77" s="27" t="inlineStr">
        <is>
          <t>CANDIDATE</t>
        </is>
      </c>
      <c r="G77" s="6" t="inlineStr">
        <is>
          <t>VA</t>
        </is>
      </c>
      <c r="H77" s="6" t="inlineStr">
        <is>
          <t>STRONG FIT</t>
        </is>
      </c>
      <c r="I77" s="6" t="inlineStr">
        <is>
          <t>RESOLVED: active federal grant M6526, Middletown VA, market/sow/boar flagged, slaughter_volume_category = 1 = under ~19/wk.  [Verified 2026-08-06 against FSIS Establishment Demographic Data + MPI Directory by Establishme</t>
        </is>
      </c>
    </row>
    <row r="78" ht="58.6" customHeight="1">
      <c r="A78" s="6" t="inlineStr">
        <is>
          <t>EcoFriendly Foods, LLC</t>
        </is>
      </c>
      <c r="B78" s="6" t="inlineStr">
        <is>
          <t>Moneta, VA</t>
        </is>
      </c>
      <c r="C78" s="6" t="inlineStr">
        <is>
          <t>USDA ✓ M21938 + P21938</t>
        </is>
      </c>
      <c r="D78" s="6" t="inlineStr">
        <is>
          <t>MEDIUM</t>
        </is>
      </c>
      <c r="E78" s="6" t="inlineStr">
        <is>
          <t>NO</t>
        </is>
      </c>
      <c r="F78" s="27" t="inlineStr">
        <is>
          <t>CANDIDATE</t>
        </is>
      </c>
      <c r="G78" s="6" t="inlineStr">
        <is>
          <t>VA</t>
        </is>
      </c>
      <c r="H78" s="6" t="inlineStr">
        <is>
          <t>POSSIBLE</t>
        </is>
      </c>
      <c r="I78" s="6" t="inlineStr">
        <is>
          <t>★ UPGRADED from SMALL/unknown. Active federal grant M21938 + P21938 with ALL FOUR swine classes flagged, and FSIS slaughter_volume_category = 3 = 192-1,917/wk — a real medium-band plant, not the boutique operation the ro</t>
        </is>
      </c>
    </row>
    <row r="79" ht="58.6" customHeight="1">
      <c r="A79" s="6" t="inlineStr">
        <is>
          <t>Fauquier's Finest Custom Meat</t>
        </is>
      </c>
      <c r="B79" s="6" t="inlineStr">
        <is>
          <t>Bealeton, VA</t>
        </is>
      </c>
      <c r="C79" s="6" t="inlineStr">
        <is>
          <t>USDA ✓ (FSIS</t>
        </is>
      </c>
      <c r="D79" s="6" t="inlineStr">
        <is>
          <t>unknown</t>
        </is>
      </c>
      <c r="E79" s="6" t="inlineStr">
        <is>
          <t>NO</t>
        </is>
      </c>
      <c r="F79" s="27" t="inlineStr">
        <is>
          <t>CANDIDATE</t>
        </is>
      </c>
      <c r="G79" s="6" t="inlineStr">
        <is>
          <t>VA</t>
        </is>
      </c>
      <c r="H79" s="6" t="inlineStr">
        <is>
          <t>CAUTION</t>
        </is>
      </c>
      <c r="I79" s="6" t="inlineStr">
        <is>
          <t>FSIS-listed for BOTH slaughter &amp; processing incl. hogs — BUT see enforcement: REPEAT humane-handling suspensions (2018, 2021, Dec 2024). A pattern that cuts against the welfare requirement — vet carefully before pursuing</t>
        </is>
      </c>
    </row>
    <row r="80" ht="58.6" customHeight="1">
      <c r="A80" s="6" t="inlineStr">
        <is>
          <t>Fauquier's Finest — DATA ANOMALY</t>
        </is>
      </c>
      <c r="B80" s="6" t="inlineStr">
        <is>
          <t>Bealeton, VA</t>
        </is>
      </c>
      <c r="C80" s="6" t="inlineStr">
        <is>
          <t>USDA ✓ M33940</t>
        </is>
      </c>
      <c r="D80" s="6" t="inlineStr">
        <is>
          <t>unknown</t>
        </is>
      </c>
      <c r="E80" s="6" t="inlineStr">
        <is>
          <t>NO</t>
        </is>
      </c>
      <c r="F80" s="27" t="inlineStr">
        <is>
          <t>CANDIDATE</t>
        </is>
      </c>
      <c r="G80" s="6" t="inlineStr">
        <is>
          <t>VA</t>
        </is>
      </c>
      <c r="H80" s="6" t="inlineStr">
        <is>
          <t>CAUTION</t>
        </is>
      </c>
      <c r="I80" s="6" t="inlineStr">
        <is>
          <t>The two FSIS facts are very hard to reconcile — likely a data-entry artifact or an aggregate across species. DO NOT treat as in-band without direct confirmation. Only reason to look: a rare Mid-Atlantic sow+boar slaughte</t>
        </is>
      </c>
    </row>
    <row r="81" ht="58.6" customHeight="1">
      <c r="A81" s="6" t="inlineStr">
        <is>
          <t>T&amp;E Meats (True &amp; Essential)</t>
        </is>
      </c>
      <c r="B81" s="6" t="inlineStr">
        <is>
          <t>Harrisonburg, VA</t>
        </is>
      </c>
      <c r="C81" s="6" t="inlineStr">
        <is>
          <t>USDA ✓ M7420 + V7420</t>
        </is>
      </c>
      <c r="D81" s="6" t="inlineStr">
        <is>
          <t>SMALL</t>
        </is>
      </c>
      <c r="E81" s="6" t="inlineStr">
        <is>
          <t>NO</t>
        </is>
      </c>
      <c r="F81" s="27" t="inlineStr">
        <is>
          <t>CANDIDATE</t>
        </is>
      </c>
      <c r="G81" s="6" t="inlineStr">
        <is>
          <t>VA</t>
        </is>
      </c>
      <c r="H81" s="6" t="inlineStr">
        <is>
          <t>STRONG FIT</t>
        </is>
      </c>
      <c r="I81" s="6" t="inlineStr">
        <is>
          <t xml:space="preserve">IDENTITY CONFIRMED — the establishment is M7420 + V7420, listed by FSIS as 'Honest Meats, LLC', Harrisonburg VA. That is the same establishment number carried by the humane-handling enforcement documents on file (7420MV </t>
        </is>
      </c>
    </row>
    <row r="82" ht="58.6" customHeight="1">
      <c r="A82" s="6" t="inlineStr">
        <is>
          <t>Bass Farms, Inc. (DBA Bass Farm Sausage)</t>
        </is>
      </c>
      <c r="B82" s="6" t="inlineStr">
        <is>
          <t>Spring Hope, NC (Nash)</t>
        </is>
      </c>
      <c r="C82" s="6" t="inlineStr">
        <is>
          <t>USDA ✓ M3521 — NEWEST swine-slaughter</t>
        </is>
      </c>
      <c r="D82" s="6" t="inlineStr">
        <is>
          <t>SMALL</t>
        </is>
      </c>
      <c r="E82" s="6" t="inlineStr">
        <is>
          <t>YES · ~40 mi</t>
        </is>
      </c>
      <c r="F82" s="28" t="inlineStr">
        <is>
          <t>WATCH</t>
        </is>
      </c>
      <c r="G82" s="6" t="inlineStr">
        <is>
          <t>NC</t>
        </is>
      </c>
      <c r="H82" s="6" t="inlineStr">
        <is>
          <t>WATCH (new sow floor)</t>
        </is>
      </c>
      <c r="I82" s="6" t="inlineStr">
        <is>
          <t>★ REFRAMED BY THE 2026-08-17 SWEEP — from 'removed on volume' to WATCH/PILOT. What changed: M3521 is the NEWEST federal swine-slaughter grant in North Carolina (2/17/2026, sow-only — adversarially confirmed against the F</t>
        </is>
      </c>
    </row>
    <row r="83" ht="58.6" customHeight="1">
      <c r="A83" s="6" t="inlineStr">
        <is>
          <t>Caudle Meat (Greene Co.) — WATCH</t>
        </is>
      </c>
      <c r="B83" s="6" t="inlineStr">
        <is>
          <t>Greene County, NC (site unlocated)</t>
        </is>
      </c>
      <c r="C83" s="6" t="inlineStr">
        <is>
          <t>NOT in any 2026-08-10 directory</t>
        </is>
      </c>
      <c r="D83" s="6" t="inlineStr">
        <is>
          <t>unknown</t>
        </is>
      </c>
      <c r="E83" s="6" t="inlineStr">
        <is>
          <t>confirm</t>
        </is>
      </c>
      <c r="F83" s="28" t="inlineStr">
        <is>
          <t>WATCH</t>
        </is>
      </c>
      <c r="G83" s="6" t="inlineStr">
        <is>
          <t>NC</t>
        </is>
      </c>
      <c r="H83" s="6" t="inlineStr">
        <is>
          <t>WATCH</t>
        </is>
      </c>
      <c r="I83" s="6" t="inlineStr">
        <is>
          <t xml:space="preserve">★ SIGNAL 2026-08-17: received a $189,470 NCAMPI meat-processing award in the NCDA&amp;CS round announced 2026-07-07, yet holds NO inspection grant in any 2026-08-10 directory — likely NEW OR EXPANDING CAPACITY coming online </t>
        </is>
      </c>
    </row>
    <row r="84" ht="58.6" customHeight="1">
      <c r="A84" s="6" t="inlineStr">
        <is>
          <t>13 multi-species TA plants (roll-up)</t>
        </is>
      </c>
      <c r="B84" s="6" t="inlineStr">
        <is>
          <t>across NC</t>
        </is>
      </c>
      <c r="C84" s="6" t="inlineStr">
        <is>
          <t>USDA ✓ Talmadge-Aiken</t>
        </is>
      </c>
      <c r="D84" s="6" t="inlineStr">
        <is>
          <t>SMALL</t>
        </is>
      </c>
      <c r="E84" s="6" t="inlineStr">
        <is>
          <t>mixed — confirm</t>
        </is>
      </c>
      <c r="F84" s="29" t="inlineStr">
        <is>
          <t>ROLL-UP (context)</t>
        </is>
      </c>
      <c r="G84" s="6" t="inlineStr">
        <is>
          <t>NC</t>
        </is>
      </c>
      <c r="H84" s="6" t="inlineStr">
        <is>
          <t>POSSIBLE</t>
        </is>
      </c>
      <c r="I84" s="6" t="inlineStr">
        <is>
          <t xml:space="preserve">NEW (13 of 18 TA swine plants were missed): Contentnea TA-2583 (Walstonburg); SCR International TA-9199 (Fairmont, 910-628-8267); Plantation Processing TA-790 (Marshville, 704-385-9429); Cruse TA-46354 (Concord); Select </t>
        </is>
      </c>
    </row>
    <row r="85" ht="58.6" customHeight="1">
      <c r="A85" s="6" t="inlineStr">
        <is>
          <t>NC state-inspected multi-species (roll-up)</t>
        </is>
      </c>
      <c r="B85" s="6" t="inlineStr">
        <is>
          <t>across NC</t>
        </is>
      </c>
      <c r="C85" s="6" t="inlineStr">
        <is>
          <t>STATE only</t>
        </is>
      </c>
      <c r="D85" s="6" t="inlineStr">
        <is>
          <t>SMALL</t>
        </is>
      </c>
      <c r="E85" s="6" t="inlineStr">
        <is>
          <t>mixed — confirm</t>
        </is>
      </c>
      <c r="F85" s="29" t="inlineStr">
        <is>
          <t>ROLL-UP (context)</t>
        </is>
      </c>
      <c r="G85" s="6" t="inlineStr">
        <is>
          <t>NC</t>
        </is>
      </c>
      <c r="H85" s="6" t="inlineStr">
        <is>
          <t>CAUTION</t>
        </is>
      </c>
      <c r="I85" s="6" t="inlineStr">
        <is>
          <t>NC STATE-INSPECTED — ACCEPTED: APHIS treats NC state inspection as equivalent, so this plant satisfies the harvest-site requirement for Path 1 (we harvest, model assembled at ATM). APHIS not required of the plant. || NEW</t>
        </is>
      </c>
    </row>
    <row r="86" ht="58.6" customHeight="1">
      <c r="A86" s="6" t="inlineStr">
        <is>
          <t>PA SOW plants (roll-up)</t>
        </is>
      </c>
      <c r="B86" s="6" t="inlineStr">
        <is>
          <t>eastern PA</t>
        </is>
      </c>
      <c r="C86" s="6" t="inlineStr">
        <is>
          <t>USDA ✓ — see notes</t>
        </is>
      </c>
      <c r="D86" s="6" t="inlineStr">
        <is>
          <t>unknown</t>
        </is>
      </c>
      <c r="E86" s="6" t="inlineStr">
        <is>
          <t>mixed — confirm</t>
        </is>
      </c>
      <c r="F86" s="29" t="inlineStr">
        <is>
          <t>ROLL-UP (context)</t>
        </is>
      </c>
      <c r="G86" s="6" t="inlineStr">
        <is>
          <t>OUT-OF-REGION</t>
        </is>
      </c>
      <c r="H86" s="6" t="inlineStr">
        <is>
          <t>POSSIBLE</t>
        </is>
      </c>
      <c r="I86" s="6" t="inlineStr">
        <is>
          <t>PA plants whose USDA flags include SOW: Smucker's Meats (M21265+P21265+V21265, Mt. Joy); Wayne Nell &amp; Sons (M9548+P9548, East Berlin); Lehigh Valley Meats (M45160+V45160, Nazareth — +boar); Springfield Meat Co. (M9704+V9</t>
        </is>
      </c>
    </row>
    <row r="87" ht="58.6" customHeight="1">
      <c r="A87" s="6" t="inlineStr">
        <is>
          <t>SC 'Cross Utilization Federal' slaughter plants (roll-up)</t>
        </is>
      </c>
      <c r="B87" s="6" t="inlineStr">
        <is>
          <t>SC</t>
        </is>
      </c>
      <c r="C87" s="6" t="inlineStr">
        <is>
          <t>USDA federal-equivalent</t>
        </is>
      </c>
      <c r="D87" s="6" t="inlineStr">
        <is>
          <t>unknown</t>
        </is>
      </c>
      <c r="E87" s="6" t="inlineStr">
        <is>
          <t>mixed — confirm</t>
        </is>
      </c>
      <c r="F87" s="29" t="inlineStr">
        <is>
          <t>ROLL-UP (context)</t>
        </is>
      </c>
      <c r="G87" s="6" t="inlineStr">
        <is>
          <t>SC</t>
        </is>
      </c>
      <c r="H87" s="6" t="inlineStr">
        <is>
          <t>POSSIBLE</t>
        </is>
      </c>
      <c r="I87" s="6" t="inlineStr">
        <is>
          <t>KEY STRUCTURAL FIND: SC's analogue to Talmadge-Aiken is 'Cross Utilization Federal' — only SIX exist and FOUR slaughter: Halal International Processing, York (19825) 803-684-9248; Loris Cold Storage &amp; Retail, Loris (3391</t>
        </is>
      </c>
    </row>
    <row r="88" ht="58.6" customHeight="1">
      <c r="A88" s="6" t="inlineStr">
        <is>
          <t>SC state-inspected slaughter plants (roll-up)</t>
        </is>
      </c>
      <c r="B88" s="6" t="inlineStr">
        <is>
          <t>SC</t>
        </is>
      </c>
      <c r="C88" s="6" t="inlineStr">
        <is>
          <t>STATE only</t>
        </is>
      </c>
      <c r="D88" s="6" t="inlineStr">
        <is>
          <t>SMALL</t>
        </is>
      </c>
      <c r="E88" s="6" t="inlineStr">
        <is>
          <t>mixed — confirm</t>
        </is>
      </c>
      <c r="F88" s="29" t="inlineStr">
        <is>
          <t>ROLL-UP (context)</t>
        </is>
      </c>
      <c r="G88" s="6" t="inlineStr">
        <is>
          <t>SC</t>
        </is>
      </c>
      <c r="H88" s="6" t="inlineStr">
        <is>
          <t>CAUTION</t>
        </is>
      </c>
      <c r="I88" s="6" t="inlineStr">
        <is>
          <t>⛔ NOT EQUIVALENT: only NC state inspection is accepted by APHIS as equivalent. A non-NC state-inspected plant does NOT satisfy the Path 1 harvest-site requirement — it would need USDA/FSIS inspection to qualify. || B&amp;W P</t>
        </is>
      </c>
    </row>
    <row r="89" ht="58.6" customHeight="1">
      <c r="A89" s="6" t="inlineStr">
        <is>
          <t>Other TN USDA hog shops (roll-up)</t>
        </is>
      </c>
      <c r="B89" s="6" t="inlineStr">
        <is>
          <t>various, TN</t>
        </is>
      </c>
      <c r="C89" s="6" t="inlineStr">
        <is>
          <t>USDA ✓</t>
        </is>
      </c>
      <c r="D89" s="6" t="inlineStr">
        <is>
          <t>SMALL</t>
        </is>
      </c>
      <c r="E89" s="6" t="inlineStr">
        <is>
          <t>mixed — confirm</t>
        </is>
      </c>
      <c r="F89" s="29" t="inlineStr">
        <is>
          <t>ROLL-UP (context)</t>
        </is>
      </c>
      <c r="G89" s="6" t="inlineStr">
        <is>
          <t>TN</t>
        </is>
      </c>
      <c r="H89" s="6" t="inlineStr">
        <is>
          <t>POSSIBLE</t>
        </is>
      </c>
      <c r="I89" s="6" t="inlineStr">
        <is>
          <t xml:space="preserve">Per UT Center for Profitable Ag list: D&amp;D Meats (Celina 931-261-9967); Hampton Meat (Decatur 423-334-1079); Harris Country Meats (Greeneville 423-638-1538); K&amp;J (Paris 731-642-6490); McBride (S. Pittsburg 423-837-4888); </t>
        </is>
      </c>
    </row>
    <row r="90" ht="58.6" customHeight="1">
      <c r="A90" s="6" t="inlineStr">
        <is>
          <t>Other VA USDA slaughter (roll-up)</t>
        </is>
      </c>
      <c r="B90" s="6" t="inlineStr">
        <is>
          <t>various, VA</t>
        </is>
      </c>
      <c r="C90" s="6" t="inlineStr">
        <is>
          <t>USDA ✓</t>
        </is>
      </c>
      <c r="D90" s="6" t="inlineStr">
        <is>
          <t>unknown</t>
        </is>
      </c>
      <c r="E90" s="6" t="inlineStr">
        <is>
          <t>mixed — confirm</t>
        </is>
      </c>
      <c r="F90" s="29" t="inlineStr">
        <is>
          <t>ROLL-UP (context)</t>
        </is>
      </c>
      <c r="G90" s="6" t="inlineStr">
        <is>
          <t>VA</t>
        </is>
      </c>
      <c r="H90" s="6" t="inlineStr">
        <is>
          <t>POSSIBLE</t>
        </is>
      </c>
      <c r="I90" s="6" t="inlineStr">
        <is>
          <t>From VA slaughter list: Gore's (Edinburg 540-984-8138); Smith Valley Meats (Rich Creek 540-726-3992); Washington County Meat Packing (Bristol 276-466-3000); Central Meat Packing (Chesapeake 757-547-2161); Country Road Me</t>
        </is>
      </c>
    </row>
    <row r="91" ht="58.6" customHeight="1">
      <c r="A91" s="6" t="inlineStr">
        <is>
          <t>VA state-inspected (roll-up)</t>
        </is>
      </c>
      <c r="B91" s="6" t="inlineStr">
        <is>
          <t>various, VA</t>
        </is>
      </c>
      <c r="C91" s="6" t="inlineStr">
        <is>
          <t>STATE only</t>
        </is>
      </c>
      <c r="D91" s="6" t="inlineStr">
        <is>
          <t>SMALL</t>
        </is>
      </c>
      <c r="E91" s="6" t="inlineStr">
        <is>
          <t>mixed — confirm</t>
        </is>
      </c>
      <c r="F91" s="29" t="inlineStr">
        <is>
          <t>ROLL-UP (context)</t>
        </is>
      </c>
      <c r="G91" s="6" t="inlineStr">
        <is>
          <t>VA</t>
        </is>
      </c>
      <c r="H91" s="6" t="inlineStr">
        <is>
          <t>CAUTION</t>
        </is>
      </c>
      <c r="I91" s="6" t="inlineStr">
        <is>
          <t>⛔ NOT EQUIVALENT: only NC state inspection is accepted by APHIS as equivalent. A non-NC state-inspected plant does NOT satisfy the Path 1 harvest-site requirement — it would need USDA/FSIS inspection to qualify. || NOT U</t>
        </is>
      </c>
    </row>
    <row r="92" ht="31.8" customHeight="1">
      <c r="A92" s="6" t="inlineStr">
        <is>
          <t>Deer Shack Processing</t>
        </is>
      </c>
      <c r="B92" s="6" t="inlineStr">
        <is>
          <t>Mount Holly, NC (Gaston)</t>
        </is>
      </c>
      <c r="C92" s="6" t="inlineStr">
        <is>
          <t>CUSTOM-EXEMPT</t>
        </is>
      </c>
      <c r="D92" s="6" t="inlineStr">
        <is>
          <t>unknown</t>
        </is>
      </c>
      <c r="E92" s="6" t="inlineStr">
        <is>
          <t>NO · ~223 mi</t>
        </is>
      </c>
      <c r="F92" s="30" t="inlineStr">
        <is>
          <t>OUT</t>
        </is>
      </c>
      <c r="G92" s="6" t="inlineStr">
        <is>
          <t>NC</t>
        </is>
      </c>
      <c r="H92" s="6" t="inlineStr">
        <is>
          <t>OUT / FLAG</t>
        </is>
      </c>
      <c r="I92" s="6" t="inlineStr">
        <is>
          <t>Custom-exempt: owner-return only, product cannot be sold. Listed for completeness.</t>
        </is>
      </c>
    </row>
    <row r="93" ht="58.6" customHeight="1">
      <c r="A93" s="6" t="inlineStr">
        <is>
          <t>Plants that no longer slaughter — REFUTED</t>
        </is>
      </c>
      <c r="B93" s="6" t="inlineStr">
        <is>
          <t>OR / TX / IL</t>
        </is>
      </c>
      <c r="C93" s="6" t="inlineStr">
        <is>
          <t>n/a</t>
        </is>
      </c>
      <c r="D93" s="6" t="inlineStr">
        <is>
          <t>n/a</t>
        </is>
      </c>
      <c r="E93" s="6" t="inlineStr">
        <is>
          <t>NO</t>
        </is>
      </c>
      <c r="F93" s="30" t="inlineStr">
        <is>
          <t>OUT</t>
        </is>
      </c>
      <c r="G93" s="6" t="inlineStr">
        <is>
          <t>NC</t>
        </is>
      </c>
      <c r="H93" s="6" t="inlineStr">
        <is>
          <t>OUT / FLAG</t>
        </is>
      </c>
      <c r="I93" s="6" t="inlineStr">
        <is>
          <t>Masami Foods (M6173, OR) — no swine-slaughter flags and NULL volume = NO SLAUGHTER in the last 360 days; appears to have EXITED. Dayton Meat Products (OR) — no active FSIS establishment. Fisher Ham and Meat (Navasota TX)</t>
        </is>
      </c>
    </row>
    <row r="94" ht="58.6" customHeight="1">
      <c r="A94" s="6" t="inlineStr">
        <is>
          <t>Randolph Packing / Harpley's</t>
        </is>
      </c>
      <c r="B94" s="6" t="inlineStr">
        <is>
          <t>Asheboro, NC</t>
        </is>
      </c>
      <c r="C94" s="6" t="inlineStr">
        <is>
          <t>USDA ✓ M6590</t>
        </is>
      </c>
      <c r="D94" s="6" t="inlineStr">
        <is>
          <t>n/a</t>
        </is>
      </c>
      <c r="E94" s="6" t="inlineStr">
        <is>
          <t>NO (est.)</t>
        </is>
      </c>
      <c r="F94" s="30" t="inlineStr">
        <is>
          <t>OUT</t>
        </is>
      </c>
      <c r="G94" s="6" t="inlineStr">
        <is>
          <t>NC</t>
        </is>
      </c>
      <c r="H94" s="6" t="inlineStr">
        <is>
          <t>OUT / FLAG</t>
        </is>
      </c>
      <c r="I94" s="6" t="inlineStr">
        <is>
          <t>VERIFIED EXCLUSION, now with a source. FSIS lists Est. M6590 'Harpley's Meat Packing Inc.', Asheboro NC, with slaughter activity and slaughter_volume_category = 3 — real volume — but NO swine slaughter flags of any kind.</t>
        </is>
      </c>
    </row>
    <row r="95" ht="58.6" customHeight="1">
      <c r="A95" s="6" t="inlineStr">
        <is>
          <t>Triad Meat Custom Processing</t>
        </is>
      </c>
      <c r="B95" s="6" t="inlineStr">
        <is>
          <t>Madison, NC</t>
        </is>
      </c>
      <c r="C95" s="6" t="inlineStr">
        <is>
          <t>USDA ✓ M46085 + P46085</t>
        </is>
      </c>
      <c r="D95" s="6" t="inlineStr">
        <is>
          <t>n/a</t>
        </is>
      </c>
      <c r="E95" s="6" t="inlineStr">
        <is>
          <t>NO · ~159 mi</t>
        </is>
      </c>
      <c r="F95" s="30" t="inlineStr">
        <is>
          <t>OUT</t>
        </is>
      </c>
      <c r="G95" s="6" t="inlineStr">
        <is>
          <t>NC</t>
        </is>
      </c>
      <c r="H95" s="6" t="inlineStr">
        <is>
          <t>OUT / FLAG</t>
        </is>
      </c>
      <c r="I95" s="6" t="inlineStr">
        <is>
          <t>⚠ EXCLUDED ON SPECIES. The only active FSIS slaughter establishment at Madison NC is M46085 + P46085, 'Triad Halal Meats LLC' — a halal plant, and FSIS records NO swine slaughter flags of any kind for it. Whether this is</t>
        </is>
      </c>
    </row>
    <row r="96" ht="58.6" customHeight="1">
      <c r="A96" s="6" t="inlineStr">
        <is>
          <t>Western NC micro federal plants (roll-up)</t>
        </is>
      </c>
      <c r="B96" s="6" t="inlineStr">
        <is>
          <t>Marion / Rutherfordton / Marshville / Yadkinville, NC</t>
        </is>
      </c>
      <c r="C96" s="6" t="inlineStr">
        <is>
          <t>USDA ✓ — Blueridge Processing M2225 (Marion);</t>
        </is>
      </c>
      <c r="D96" s="6" t="inlineStr">
        <is>
          <t>SMALL</t>
        </is>
      </c>
      <c r="E96" s="6" t="inlineStr">
        <is>
          <t>NO · 170-283 mi</t>
        </is>
      </c>
      <c r="F96" s="30" t="inlineStr">
        <is>
          <t>OUT</t>
        </is>
      </c>
      <c r="G96" s="6" t="inlineStr">
        <is>
          <t>NC</t>
        </is>
      </c>
      <c r="H96" s="6" t="inlineStr">
        <is>
          <t>OUT / FLAG</t>
        </is>
      </c>
      <c r="I96" s="6" t="inlineStr">
        <is>
          <t>★ CENSUS COMPLETION 2026-08-17: the four remaining western federal swine plants, all volume cat 1 (&lt;19/wk) and 170-283 road mi out — logged so the western census is complete and nobody re-discovers them. Grants: Blueridg</t>
        </is>
      </c>
    </row>
    <row r="97" ht="58.6" customHeight="1">
      <c r="A97" s="6" t="inlineStr">
        <is>
          <t>Palmetto Fresh Meats</t>
        </is>
      </c>
      <c r="B97" s="6" t="inlineStr">
        <is>
          <t>Aynor, SC</t>
        </is>
      </c>
      <c r="C97" s="6" t="inlineStr">
        <is>
          <t>USDA ✓ but</t>
        </is>
      </c>
      <c r="D97" s="6" t="inlineStr">
        <is>
          <t>SMALL</t>
        </is>
      </c>
      <c r="E97" s="6" t="inlineStr">
        <is>
          <t>NO</t>
        </is>
      </c>
      <c r="F97" s="30" t="inlineStr">
        <is>
          <t>OUT</t>
        </is>
      </c>
      <c r="G97" s="6" t="inlineStr">
        <is>
          <t>SC</t>
        </is>
      </c>
      <c r="H97" s="6" t="inlineStr">
        <is>
          <t>OUT / FLAG</t>
        </is>
      </c>
      <c r="I97" s="6" t="inlineStr">
        <is>
          <t>SPECIES BREADTH CONFIRMED, VOLUME REFUTED. M47715 carries all four swine classes — market, sow, roaster and boar/stag — which is unusually broad and would be genuinely useful. But FSIS slaughter_volume_category = 1 = few</t>
        </is>
      </c>
    </row>
    <row r="98" ht="58.6" customHeight="1">
      <c r="A98" s="6" t="inlineStr">
        <is>
          <t>Gunnoe Sausage Co.</t>
        </is>
      </c>
      <c r="B98" s="6" t="inlineStr">
        <is>
          <t>Goode, VA (Bedford)</t>
        </is>
      </c>
      <c r="C98" s="6" t="inlineStr">
        <is>
          <t>unknown — est. no. NOT captured</t>
        </is>
      </c>
      <c r="D98" s="6" t="inlineStr">
        <is>
          <t>MEDIUM</t>
        </is>
      </c>
      <c r="E98" s="6" t="inlineStr">
        <is>
          <t>NO</t>
        </is>
      </c>
      <c r="F98" s="30" t="inlineStr">
        <is>
          <t>OUT</t>
        </is>
      </c>
      <c r="G98" s="6" t="inlineStr">
        <is>
          <t>TN</t>
        </is>
      </c>
      <c r="H98" s="6" t="inlineStr">
        <is>
          <t>OUT / FLAG</t>
        </is>
      </c>
      <c r="I98" s="6" t="inlineStr">
        <is>
          <t>⚠ REFUTED — SEE THE CORRECTED / REFUTED BLOCK AT THE BOTTOM OF THIS SHEET. No establishment named 'Gunnoe' appears anywhere in the FSIS MPI directory nationally, and nothing at all is listed at Goode VA. The '~450 hogs/w</t>
        </is>
      </c>
    </row>
    <row r="99" ht="58.6" customHeight="1">
      <c r="A99" s="6" t="inlineStr">
        <is>
          <t>Gunnoe Sausage Co. — REFUTED</t>
        </is>
      </c>
      <c r="B99" s="6" t="inlineStr">
        <is>
          <t>Goode, VA</t>
        </is>
      </c>
      <c r="C99" s="6" t="inlineStr">
        <is>
          <t>No active FSIS establishment found</t>
        </is>
      </c>
      <c r="D99" s="6" t="inlineStr">
        <is>
          <t>n/a</t>
        </is>
      </c>
      <c r="E99" s="6" t="inlineStr">
        <is>
          <t>NO</t>
        </is>
      </c>
      <c r="F99" s="30" t="inlineStr">
        <is>
          <t>OUT</t>
        </is>
      </c>
      <c r="G99" s="6" t="inlineStr">
        <is>
          <t>VA</t>
        </is>
      </c>
      <c r="H99" s="6" t="inlineStr">
        <is>
          <t>OUT / FLAG</t>
        </is>
      </c>
      <c r="I99" s="6" t="inlineStr">
        <is>
          <t>CONFIRMED CLOSED — two independent agents agree. Gunnoe SHUT DOWN Nov 2022 after 57 years in Goode (~30 employees affected); the BRAND was sold to Logan's Sausage of Alexandria VA (whose Logan Food Company, M17307+P17307</t>
        </is>
      </c>
    </row>
    <row r="100" ht="58.6" customHeight="1">
      <c r="A100" s="6" t="inlineStr">
        <is>
          <t>Assured Community Processing LLC</t>
        </is>
      </c>
      <c r="B100" s="6" t="inlineStr">
        <is>
          <t>Micro, NC (Johnston)</t>
        </is>
      </c>
      <c r="C100" s="6" t="inlineStr">
        <is>
          <t>⚠ M2123 went FSIS-INACTIVE</t>
        </is>
      </c>
      <c r="D100" s="6" t="inlineStr">
        <is>
          <t>n/a</t>
        </is>
      </c>
      <c r="E100" s="6" t="inlineStr">
        <is>
          <t>YES · ~40 mi</t>
        </is>
      </c>
      <c r="F100" s="30" t="inlineStr">
        <is>
          <t>CLOSED / DEAD</t>
        </is>
      </c>
      <c r="G100" s="6" t="inlineStr">
        <is>
          <t>NC</t>
        </is>
      </c>
      <c r="H100" s="6" t="inlineStr">
        <is>
          <t>OUT / FLAG</t>
        </is>
      </c>
      <c r="I100" s="6" t="inlineStr">
        <is>
          <t>★ MYSTERY RESOLVED 2026-08-17: the earlier 'M2123 NOT FOUND' is explained — Assured Community Processing (Micro NC) went FSIS-INACTIVE 11/10/2025. Real plant, now closed. Remove from outreach lists.  [2026-08-17 focus-re</t>
        </is>
      </c>
    </row>
    <row r="101" ht="58.6" customHeight="1">
      <c r="A101" s="6" t="inlineStr">
        <is>
          <t>Country Slaughter and Meats</t>
        </is>
      </c>
      <c r="B101" s="6" t="inlineStr">
        <is>
          <t>Rockingham, NC (Richmond)</t>
        </is>
      </c>
      <c r="C101" s="6" t="inlineStr">
        <is>
          <t>⚠ M32012 went FSIS-INACTIVE</t>
        </is>
      </c>
      <c r="D101" s="6" t="inlineStr">
        <is>
          <t>n/a</t>
        </is>
      </c>
      <c r="E101" s="6" t="inlineStr">
        <is>
          <t>NO · ~137 mi</t>
        </is>
      </c>
      <c r="F101" s="30" t="inlineStr">
        <is>
          <t>CLOSED / DEAD</t>
        </is>
      </c>
      <c r="G101" s="6" t="inlineStr">
        <is>
          <t>NC</t>
        </is>
      </c>
      <c r="H101" s="6" t="inlineStr">
        <is>
          <t>OUT / FLAG</t>
        </is>
      </c>
      <c r="I101" s="6" t="inlineStr">
        <is>
          <t>★ MYSTERY RESOLVED 2026-08-17 (adversarial verifier, FSIS demographic snapshots): the earlier 'M32012 NOT FOUND in the MPI directory' was correct — because the establishment went INACTIVE 6/24/2025. It was real (swine vo</t>
        </is>
      </c>
    </row>
    <row r="102" ht="58.6" customHeight="1">
      <c r="A102" s="6" t="inlineStr">
        <is>
          <t>Kansas City Sausage / Coastal Protein — RESOLVED NEGATIVE (CLOSED)</t>
        </is>
      </c>
      <c r="B102" s="6" t="inlineStr">
        <is>
          <t>Godwin, NC</t>
        </is>
      </c>
      <c r="C102" s="6" t="inlineStr">
        <is>
          <t>KCS's own establishment M760A (DBAs</t>
        </is>
      </c>
      <c r="D102" s="6" t="inlineStr">
        <is>
          <t>n/a</t>
        </is>
      </c>
      <c r="E102" s="6" t="inlineStr">
        <is>
          <t>YES · ~45 mi</t>
        </is>
      </c>
      <c r="F102" s="30" t="inlineStr">
        <is>
          <t>CLOSED / DEAD</t>
        </is>
      </c>
      <c r="G102" s="6" t="inlineStr">
        <is>
          <t>NC</t>
        </is>
      </c>
      <c r="H102" s="6" t="inlineStr">
        <is>
          <t>OUT / FLAG</t>
        </is>
      </c>
      <c r="I102" s="6" t="inlineStr">
        <is>
          <t>★ FINAL ANSWER 2026-08-17 — THE GODWIN SOW OPTION IS DEAD as an inspected source, closing a question this file has flipped on twice. The Aug-2026 FSIS ACTIVE **and** INACTIVE directories contain ZERO establishments at Go</t>
        </is>
      </c>
    </row>
    <row r="103" ht="58.6" customHeight="1">
      <c r="A103" s="6" t="inlineStr">
        <is>
          <t>⚠ CLOSURES 2025-26 (roll-up) — the small-plant pool is SHRINKING</t>
        </is>
      </c>
      <c r="B103" s="6" t="inlineStr">
        <is>
          <t>across NC</t>
        </is>
      </c>
      <c r="C103" s="6" t="inlineStr">
        <is>
          <t>All confirmed on the FSIS INACTIVE</t>
        </is>
      </c>
      <c r="D103" s="6" t="inlineStr">
        <is>
          <t>n/a</t>
        </is>
      </c>
      <c r="E103" s="6" t="inlineStr">
        <is>
          <t>n/a</t>
        </is>
      </c>
      <c r="F103" s="30" t="inlineStr">
        <is>
          <t>CLOSED / DEAD</t>
        </is>
      </c>
      <c r="G103" s="6" t="inlineStr">
        <is>
          <t>NC</t>
        </is>
      </c>
      <c r="H103" s="6" t="inlineStr">
        <is>
          <t>OUT / FLAG</t>
        </is>
      </c>
      <c r="I103" s="6" t="inlineStr">
        <is>
          <t xml:space="preserve">★ ATTRITION RECORD 2026-08-17 — eight closures/exits around us in ~20 months: Kansas City Sausage M760A (Altoona IA entity; Godwin option dead) 9/3/2024 · R.D. Jones Packing (Faison) 4/24/2025 · Jerusalem Meats (Burgaw) </t>
        </is>
      </c>
    </row>
    <row r="104" ht="58.6" customHeight="1">
      <c r="A104" s="6" t="inlineStr">
        <is>
          <t>George Flowers Slaughter House ⟵ DUPLICATE ENTRY</t>
        </is>
      </c>
      <c r="B104" s="6" t="inlineStr">
        <is>
          <t>Sims, NC</t>
        </is>
      </c>
      <c r="C104" s="6" t="inlineStr">
        <is>
          <t>USDA ✓ M21747 + P21747</t>
        </is>
      </c>
      <c r="D104" s="6" t="inlineStr">
        <is>
          <t>n/a</t>
        </is>
      </c>
      <c r="E104" s="6" t="inlineStr">
        <is>
          <t>YES · ~45 mi</t>
        </is>
      </c>
      <c r="F104" s="29" t="inlineStr">
        <is>
          <t>DUPLICATE (merged)</t>
        </is>
      </c>
      <c r="G104" s="6" t="inlineStr">
        <is>
          <t>NC</t>
        </is>
      </c>
      <c r="H104" s="6" t="inlineStr">
        <is>
          <t>DUPLICATE</t>
        </is>
      </c>
      <c r="I104" s="6" t="inlineStr">
        <is>
          <t>⚠ DUPLICATE ROW — this is the SAME establishment as 'Flowers Slaughter House (George Flowers)' listed further down in the NEWLY FOUND block: Est. M21747 + P21747, Sims NC. Both entries were created from different directo</t>
        </is>
      </c>
    </row>
    <row r="105" ht="58.6" customHeight="1">
      <c r="A105" s="6" t="inlineStr">
        <is>
          <t>Smithfield / KC Sausage (sow plant) ⟵ DUPLICATE ENTRY</t>
        </is>
      </c>
      <c r="B105" s="6" t="inlineStr">
        <is>
          <t>Godwin, NC</t>
        </is>
      </c>
      <c r="C105" s="6" t="inlineStr">
        <is>
          <t>USDA ✓</t>
        </is>
      </c>
      <c r="D105" s="6" t="inlineStr">
        <is>
          <t>n/a</t>
        </is>
      </c>
      <c r="E105" s="6" t="inlineStr">
        <is>
          <t>YES · ~45 mi</t>
        </is>
      </c>
      <c r="F105" s="29" t="inlineStr">
        <is>
          <t>DUPLICATE (merged)</t>
        </is>
      </c>
      <c r="G105" s="6" t="inlineStr">
        <is>
          <t>NC</t>
        </is>
      </c>
      <c r="H105" s="6" t="inlineStr">
        <is>
          <t>DUPLICATE</t>
        </is>
      </c>
      <c r="I105" s="6" t="inlineStr">
        <is>
          <t>⚠ DUPLICATE ROW — this is the SAME Godwin NC sow plant as 'Kansas City Sausage / Coastal Protein — RE-OPENED' in the corrected block at the bottom of this sheet. It was entered twice, once early as a thin 'nearby industr</t>
        </is>
      </c>
    </row>
  </sheetData>
  <autoFilter ref="A2:I105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6" customWidth="1" min="2" max="2"/>
  </cols>
  <sheetData>
    <row r="1" ht="19.7" customHeight="1">
      <c r="A1" s="7" t="inlineStr">
        <is>
          <t>SOURCES &amp; METHOD</t>
        </is>
      </c>
      <c r="B1" s="8" t="n"/>
    </row>
    <row r="2" ht="45.2" customHeight="1">
      <c r="A2" s="5" t="inlineStr">
        <is>
          <t>What this file is</t>
        </is>
      </c>
      <c r="B2" s="6" t="inlineStr">
        <is>
          <t>The outreach-planning companion to Tissue_Supplier_Study.xlsx. That file holds the full research record (128-row roster, comparison tab, APHIS/EU rules, TCO calculator); this one holds the reconciled ledger, the A/B ratings and the working plan.</t>
        </is>
      </c>
    </row>
    <row r="3" ht="31.8" customHeight="1">
      <c r="A3" s="5" t="inlineStr">
        <is>
          <t>Reconciliation (2026-09-03)</t>
        </is>
      </c>
      <c r="B3" s="6" t="inlineStr">
        <is>
          <t>Every supplier row across all passes was merged into the Master Ledger: 103 entries — 5 current, candidates, watch, out, closed, duplicates merged. Newest verified fact wins on conflict; client ground truth outranks research inference.</t>
        </is>
      </c>
    </row>
    <row r="4" ht="45.2" customHeight="1">
      <c r="A4" s="5" t="inlineStr">
        <is>
          <t>Ground-truth corrections (2026-09-03)</t>
        </is>
      </c>
      <c r="B4" s="6" t="inlineStr">
        <is>
          <t>Two client corrections applied everywhere: (1) VILLARI's tissue gate is HARD — the 2026-08-17 'negotiable wedge' reading is superseded; leaf fat only, no organ planning through Villari. (2) PARKS harvests with THEIR OWN people under OUR training — the working Model B-T template.</t>
        </is>
      </c>
    </row>
    <row r="5" ht="58.6" customHeight="1">
      <c r="A5" s="5" t="inlineStr">
        <is>
          <t>Primary data</t>
        </is>
      </c>
      <c r="B5" s="6" t="inlineStr">
        <is>
          <t>FSIS MPI Active + Inactive Directories and Establishment Demographic Data; NCDA&amp;CS State/TA/Custom directories (2026-08-10 edition verified 2026-08-17; re-pulled for the 2026-09-03 delta); FSIS QER tables and NOIE/NOS letters; county deeds; NC Commerce / NCAMPI announcements; SCDA-Clemson and VDACS for the corridor sweeps; plant sites, price sheets and local press.</t>
        </is>
      </c>
    </row>
    <row r="6" ht="45.2" customHeight="1">
      <c r="A6" s="5" t="inlineStr">
        <is>
          <t>Verification discipline</t>
        </is>
      </c>
      <c r="B6" s="6" t="inlineStr">
        <is>
          <t>FSIS volume categories are ceilings (cat 1 &lt;19/wk · 2 19-192 · 3 192-1,917 · 4 ≥1,917, ALL species). 'None found' on enforcement is a narrow negative, never a clean bill — state-inspected plants sit outside FSIS reporting entirely, so their welfare is a SITE-VISIT finding. Distances are OSRM road miles from the Pikeville anchor.</t>
        </is>
      </c>
    </row>
    <row r="7" ht="125.6" customHeight="1">
      <c r="A7" s="5" t="inlineStr">
        <is>
          <t>Scan of 2026-09-03</t>
        </is>
      </c>
      <c r="B7" s="6" t="inlineStr">
        <is>
          <t>Run directly against re-pulled primary data (FSIS MPI Active+Inactive + Demographic datasets; NCDA&amp;CS State/TA/Custom directories; FSIS Q3 FY2026 Quarterly Enforcement Report — newly published; the M34181 enforcement letter; candidate websites/price sheets). Findings: NC census unchanged (24 federal swine plants); BASS FARMS volume category rose 1→2 (expansion visible in USDA data); Q3 FY2026 QER has ZERO entries for any plant in the base or shortlist — the whole base is clean through 30 Jun 2026, closing the Villari Apr-Jun blind spot; Caudle Meat still holds no inspection grant (watch); Sessoms Packing appears in NO directory (state, TA, custom, or FSIS) — treat as not an inspected operation unless a call proves otherwise; SC corridor adds Hemingway Locker M34181 (market, cat 2, one resolved 2024 humane action) and confirms Williamsburg Packing M4005 at cat 3 with all four swine classes; southern VA is a confirmed cat-1 desert (nothing above ~19/wk south of EcoFriendly). Census claims verified directly against the datasets themselves.</t>
        </is>
      </c>
    </row>
    <row r="8" ht="31.8" customHeight="1">
      <c r="A8" s="5" t="inlineStr">
        <is>
          <t>Scoring provenance</t>
        </is>
      </c>
      <c r="B8" s="6" t="inlineStr">
        <is>
          <t>Sub-scores are analyst judgments over the cited evidence, not measurements — each row's evidence columns say why. The weight rows are editable (yellow); scores recompute in Excel.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 Penny</dc:creator>
  <dc:title>Supplier Outreach Plan</dc:title>
  <dcterms:created xsi:type="dcterms:W3CDTF">2026-09-03T13:07:12Z</dcterms:created>
  <dcterms:modified xsi:type="dcterms:W3CDTF">2026-09-03T13:07:12Z</dcterms:modified>
</cp:coreProperties>
</file>