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7d01e3efb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 First 10" sheetId="1" r:id="Rb62eaa03d939421f"/>
    <x:sheet xmlns:r="http://schemas.openxmlformats.org/officeDocument/2006/relationships" name="30 Call Targets" sheetId="2" r:id="R3c4b579d800d45c5"/>
    <x:sheet xmlns:r="http://schemas.openxmlformats.org/officeDocument/2006/relationships" name="Call Log" sheetId="3" r:id="R86d427afdb3e4f3f"/>
    <x:sheet xmlns:r="http://schemas.openxmlformats.org/officeDocument/2006/relationships" name="Social Evidence" sheetId="4" r:id="R0083cd920d184c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mm/dd/yy"/>
    <x:numFmt numFmtId="203" formatCode="#,##0"/>
  </x:numFmts>
  <x:fonts count="5">
    <x:font>
      <x:sz val="11"/>
      <x:name val="Carlito"/>
    </x:font>
    <x:font>
      <x:sz val="10"/>
      <x:color rgb="FF172D3F"/>
      <x:name val="Arial"/>
    </x:font>
    <x:font>
      <x:b/>
      <x:sz val="16"/>
      <x:color rgb="FF213B55"/>
      <x:name val="Arial"/>
    </x:font>
    <x:font>
      <x:sz val="10"/>
      <x:color rgb="FF52647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13B55"/>
      </x:patternFill>
    </x:fill>
    <x:fill>
      <x:patternFill patternType="solid">
        <x:fgColor rgb="FFF4F7FA"/>
      </x:patternFill>
    </x:fill>
    <x:fill>
      <x:patternFill patternType="solid">
        <x:fgColor rgb="FFFFF3D6"/>
      </x:patternFill>
    </x:fill>
  </x:fills>
  <x:borders count="2">
    <x:border/>
    <x:border>
      <x:bottom style="thin">
        <x:color rgb="FF213B55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1" fontId="1" fillId="3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2" fontId="1" fillId="4" borderId="0" xfId="0" applyNumberFormat="1" applyFont="1" applyFill="1" applyBorder="1" applyAlignment="1">
      <x:alignment vertical="center" wrapText="1"/>
    </x:xf>
    <x:xf numFmtId="203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8C5700"/>
      </x:font>
      <x:fill>
        <x:patternFill patternType="solid">
          <x:bgColor rgb="FFFFF0CF"/>
        </x:patternFill>
      </x:fill>
    </x:dxf>
    <x:dxf>
      <x:font>
        <x:b/>
        <x:color rgb="FF9C2424"/>
      </x:font>
      <x:fill>
        <x:patternFill patternType="solid">
          <x:bgColor rgb="FFFDE4E4"/>
        </x:patternFill>
      </x:fill>
    </x:dxf>
    <x:dxf>
      <x:font>
        <x:color rgb="FF9C2424"/>
      </x:font>
      <x:fill>
        <x:patternFill patternType="solid">
          <x:bgColor rgb="FFFD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ca7d6c147435f" /><Relationship Type="http://schemas.openxmlformats.org/officeDocument/2006/relationships/theme" Target="/xl/theme/theme1.xml" Id="R7c99b01929e143cf" /><Relationship Type="http://schemas.openxmlformats.org/officeDocument/2006/relationships/sharedStrings" Target="/xl/sharedStrings.xml" Id="R7c70f866551445fc" /><Relationship Type="http://schemas.openxmlformats.org/officeDocument/2006/relationships/worksheet" Target="/xl/worksheets/sheet1.xml" Id="Rb62eaa03d939421f" /><Relationship Type="http://schemas.openxmlformats.org/officeDocument/2006/relationships/worksheet" Target="/xl/worksheets/sheet2.xml" Id="R3c4b579d800d45c5" /><Relationship Type="http://schemas.openxmlformats.org/officeDocument/2006/relationships/worksheet" Target="/xl/worksheets/sheet3.xml" Id="R86d427afdb3e4f3f" /><Relationship Type="http://schemas.openxmlformats.org/officeDocument/2006/relationships/worksheet" Target="/xl/worksheets/sheet4.xml" Id="R0083cd920d184c70" /></Relationships>
</file>

<file path=xl/tables/table1.xml><?xml version="1.0" encoding="utf-8"?>
<x:table xmlns:x="http://schemas.openxmlformats.org/spreadsheetml/2006/main" id="2" name="FirstTen" displayName="FirstTen" ref="A7:I17" headerRowCount="1" totalsRowCount="0" totalsRowShown="0">
  <x:autoFilter ref="A7:I17"/>
  <x:tableColumns count="9">
    <x:tableColumn id="1" name="Order"/>
    <x:tableColumn id="2" name="Supplier"/>
    <x:tableColumn id="3" name="Location"/>
    <x:tableColumn id="4" name="Road miles (est.)"/>
    <x:tableColumn id="5" name="Pigs killed/week"/>
    <x:tableColumn id="6" name="Phone"/>
    <x:tableColumn id="7" name="Why call first"/>
    <x:tableColumn id="8" name="First question"/>
    <x:tableColumn id="9" name="Website /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CallTargets" displayName="CallTargets" ref="A7:AE37" headerRowCount="1" totalsRowCount="0" totalsRowShown="0">
  <x:autoFilter ref="A7:AE37"/>
  <x:tableColumns count="31">
    <x:tableColumn id="1" name="Priority"/>
    <x:tableColumn id="2" name="Supplier / contact"/>
    <x:tableColumn id="3" name="Contact type"/>
    <x:tableColumn id="4" name="Call week"/>
    <x:tableColumn id="5" name="Location"/>
    <x:tableColumn id="6" name="Road miles (est.)"/>
    <x:tableColumn id="7" name="120-mile road screen"/>
    <x:tableColumn id="8" name="Pigs killed/week: evidence"/>
    <x:tableColumn id="9" name="Phone"/>
    <x:tableColumn id="10" name="Website / public page"/>
    <x:tableColumn id="11" name="Why call"/>
    <x:tableColumn id="12" name="First call must resolve"/>
    <x:tableColumn id="13" name="Site address used for distance"/>
    <x:tableColumn id="14" name="Animal / weight fit"/>
    <x:tableColumn id="15" name="Inspection / operation"/>
    <x:tableColumn id="16" name="Room and tissue experience"/>
    <x:tableColumn id="17" name="Main caution"/>
    <x:tableColumn id="18" name="Alternate phone"/>
    <x:tableColumn id="19" name="Radial miles"/>
    <x:tableColumn id="20" name="Distance basis"/>
    <x:tableColumn id="21" name="Evidence source 1"/>
    <x:tableColumn id="22" name="Evidence source 2"/>
    <x:tableColumn id="23" name="Research checked"/>
    <x:tableColumn id="24" name="Map route"/>
    <x:tableColumn id="25" name="Geocoding source"/>
    <x:tableColumn id="26" name="Routing source"/>
    <x:tableColumn id="27" name="Inspection cross-check"/>
    <x:tableColumn id="28" name="Social source"/>
    <x:tableColumn id="29" name="Social research note"/>
    <x:tableColumn id="30" name="Supporting terms"/>
    <x:tableColumn id="31" name="Supporting cut she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llTracker" displayName="CallTracker" ref="A7:T37" headerRowCount="1" totalsRowCount="0" totalsRowShown="0">
  <x:autoFilter ref="A7:T37"/>
  <x:tableColumns count="20">
    <x:tableColumn id="1" name="Priority"/>
    <x:tableColumn id="2" name="Supplier / contact"/>
    <x:tableColumn id="3" name="Week"/>
    <x:tableColumn id="4" name="Week of"/>
    <x:tableColumn id="5" name="Call status"/>
    <x:tableColumn id="6" name="Last call date"/>
    <x:tableColumn id="7" name="Actual pigs/week"/>
    <x:tableColumn id="8" name="Sustainable capacity/week"/>
    <x:tableColumn id="9" name="Suitable pigs/week"/>
    <x:tableColumn id="10" name="140–220 lb live fit"/>
    <x:tableColumn id="11" name="Space for our crew"/>
    <x:tableColumn id="12" name="Supplier can harvest"/>
    <x:tableColumn id="13" name="Decision-maker"/>
    <x:tableColumn id="14" name="Direct contact / email"/>
    <x:tableColumn id="15" name="Available tissue blocks"/>
    <x:tableColumn id="16" name="Agreed next action"/>
    <x:tableColumn id="17" name="Follow-up date"/>
    <x:tableColumn id="18" name="Call owner"/>
    <x:tableColumn id="19" name="Quality / handling notes"/>
    <x:tableColumn id="20" name="Evidence / who confirm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alSignals" displayName="SocialSignals" ref="A7:M19" headerRowCount="1" totalsRowCount="0" totalsRowShown="0">
  <x:autoFilter ref="A7:M19"/>
  <x:tableColumns count="13">
    <x:tableColumn id="1" name="Call priority"/>
    <x:tableColumn id="2" name="Supplier"/>
    <x:tableColumn id="3" name="Platform"/>
    <x:tableColumn id="4" name="Post date / status"/>
    <x:tableColumn id="5" name="Evidence access"/>
    <x:tableColumn id="6" name="Signal found"/>
    <x:tableColumn id="7" name="Identity and inspection match"/>
    <x:tableColumn id="8" name="Implication for call"/>
    <x:tableColumn id="9" name="Evidence limits"/>
    <x:tableColumn id="10" name="Social link"/>
    <x:tableColumn id="11" name="Inspection source"/>
    <x:tableColumn id="12" name="Supporting link"/>
    <x:tableColumn id="13" name="Check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b0e077cc794a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e23ef3b3bd24e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d4e122dc3fb48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9386976f0c14c67" /></Relationships>
</file>

<file path=xl/worksheets/sheet1.xml><?xml version="1.0" encoding="utf-8"?>
<x:worksheet xmlns:x="http://schemas.openxmlformats.org/spreadsheetml/2006/main">
  <x:sheetPr>
    <x:tabColor rgb="FF213B5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33" hidden="0" customWidth="1"/>
    <x:col min="3" max="3" width="21" hidden="0" customWidth="1"/>
    <x:col min="4" max="4" width="12" hidden="0" customWidth="1"/>
    <x:col min="5" max="5" width="27" hidden="0" customWidth="1"/>
    <x:col min="6" max="6" width="19" hidden="0" customWidth="1"/>
    <x:col min="7" max="7" width="52" hidden="0" customWidth="1"/>
    <x:col min="8" max="8" width="62" hidden="0" customWidth="1"/>
    <x:col min="9" max="9" width="3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The First 10</x:v>
      </x:c>
      <x:c r="B2" s="5"/>
      <x:c r="C2" s="5"/>
      <x:c r="D2" s="5"/>
      <x:c r="E2" s="5"/>
      <x:c r="F2" s="5"/>
      <x:c r="G2" s="5"/>
      <x:c r="H2" s="5"/>
      <x:c r="I2" s="5"/>
    </x:row>
    <x:row r="3" ht="22" customHeight="1">
      <x:c r="A3" s="6" t="str">
        <x:v>Call these 10 new plant prospects in weeks 1–2. The order reflects useful qualification calls, not confirmed supply capacity.</x:v>
      </x:c>
      <x:c r="B3" s="6"/>
      <x:c r="C3" s="6"/>
      <x:c r="D3" s="6"/>
      <x:c r="E3" s="6"/>
      <x:c r="F3" s="6"/>
      <x:c r="G3" s="6"/>
      <x:c r="H3" s="6"/>
      <x:c r="I3" s="6"/>
    </x:row>
    <x:row r="4" ht="22" customHeight="1">
      <x:c r="A4" s="6" t="str">
        <x:v>Preferred: 2,000–5,000 pigs/week and approximately 140–220 lb live weight. Ask about room rental or supplier-performed harvesting.</x:v>
      </x:c>
      <x:c r="B4" s="6"/>
      <x:c r="C4" s="6"/>
      <x:c r="D4" s="6"/>
      <x:c r="E4" s="6"/>
      <x:c r="F4" s="6"/>
      <x:c r="G4" s="6"/>
      <x:c r="H4" s="6"/>
      <x:c r="I4" s="6"/>
    </x:row>
    <x:row r="5" ht="22" customHeight="1">
      <x:c r="A5" s="6" t="str">
        <x:v>Miles are estimated by road from 101 City Hall Plaza, Durham. Weekly pig kills and workspace availability remain unconfirmed.</x:v>
      </x:c>
      <x:c r="B5" s="6"/>
      <x:c r="C5" s="6"/>
      <x:c r="D5" s="6"/>
      <x:c r="E5" s="6"/>
      <x:c r="F5" s="6"/>
      <x:c r="G5" s="6"/>
      <x:c r="H5" s="6"/>
      <x:c r="I5" s="6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4" customHeight="1">
      <x:c r="A7" s="10" t="str">
        <x:v>Order</x:v>
      </x:c>
      <x:c r="B7" s="10" t="str">
        <x:v>Supplier</x:v>
      </x:c>
      <x:c r="C7" s="10" t="str">
        <x:v>Location</x:v>
      </x:c>
      <x:c r="D7" s="10" t="str">
        <x:v>Road miles (est.)</x:v>
      </x:c>
      <x:c r="E7" s="10" t="str">
        <x:v>Pigs killed/week</x:v>
      </x:c>
      <x:c r="F7" s="10" t="str">
        <x:v>Phone</x:v>
      </x:c>
      <x:c r="G7" s="10" t="str">
        <x:v>Why call first</x:v>
      </x:c>
      <x:c r="H7" s="10" t="str">
        <x:v>First question</x:v>
      </x:c>
      <x:c r="I7" s="10" t="str">
        <x:v>Website / page</x:v>
      </x:c>
    </x:row>
    <x:row r="8" ht="82" customHeight="1">
      <x:c r="A8" s="13" t="n">
        <x:v>1</x:v>
      </x:c>
      <x:c r="B8" s="14" t="str">
        <x:f>INDEX('30 Call Targets'!$B$8:$B$37,MATCH($A8,'30 Call Targets'!$A$8:$A$37,0))</x:f>
        <x:v>Piedmont Custom Meats</x:v>
      </x:c>
      <x:c r="C8" s="14" t="str">
        <x:f>INDEX('30 Call Targets'!$E$8:$E$37,MATCH($A8,'30 Call Targets'!$A$8:$A$37,0))</x:f>
        <x:v>Gibsonville, NC</x:v>
      </x:c>
      <x:c r="D8" s="23" t="n">
        <x:f>INDEX('30 Call Targets'!$F$8:$F$37,MATCH($A8,'30 Call Targets'!$A$8:$A$37,0))</x:f>
        <x:v>47.81109570110554</x:v>
      </x:c>
      <x:c r="E8" s="14" t="str">
        <x:f>INDEX('30 Call Targets'!$H$8:$H$37,MATCH($A8,'30 Call Targets'!$A$8:$A$37,0))</x:f>
        <x:v>Weekly pigs not published</x:v>
      </x:c>
      <x:c r="F8" s="14" t="str">
        <x:f>INDEX('30 Call Targets'!$I$8:$I$37,MATCH($A8,'30 Call Targets'!$A$8:$A$37,0))</x:f>
        <x:v>336-628-4949</x:v>
      </x:c>
      <x:c r="G8" s="14" t="str">
        <x:f>INDEX('30 Call Targets'!$K$8:$K$37,MATCH($A8,'30 Call Targets'!$A$8:$A$37,0))</x:f>
        <x:v>Nearby harvest plant with custom-cut workflow; pork cut sheet lists heart, liver and kidneys. Strong first fit call.</x:v>
      </x:c>
      <x:c r="H8" s="14" t="str">
        <x:f>INDEX('30 Call Targets'!$L$8:$L$37,MATCH($A8,'30 Call Targets'!$A$8:$A$37,0))</x:f>
        <x:v>How many suitable pigs weekly? Who owns the organs? Can intact blocks be preserved and our crew use space at Gibsonville?</x:v>
      </x:c>
      <x:c r="I8" s="14" t="str">
        <x:v>https://www.piedmontcustommeats.com/</x:v>
      </x:c>
    </x:row>
    <x:row r="9" ht="82" customHeight="1">
      <x:c r="A9" s="12" t="n">
        <x:v>2</x:v>
      </x:c>
      <x:c r="B9" s="11" t="str">
        <x:f>INDEX('30 Call Targets'!$B$8:$B$37,MATCH($A9,'30 Call Targets'!$A$8:$A$37,0))</x:f>
        <x:v>McLamb's Abattoir / Lee's Fresh Market</x:v>
      </x:c>
      <x:c r="C9" s="11" t="str">
        <x:f>INDEX('30 Call Targets'!$E$8:$E$37,MATCH($A9,'30 Call Targets'!$A$8:$A$37,0))</x:f>
        <x:v>Benson, NC</x:v>
      </x:c>
      <x:c r="D9" s="24" t="n">
        <x:f>INDEX('30 Call Targets'!$F$8:$F$37,MATCH($A9,'30 Call Targets'!$A$8:$A$37,0))</x:f>
        <x:v>57.702890121689336</x:v>
      </x:c>
      <x:c r="E9" s="11" t="str">
        <x:f>INDEX('30 Call Targets'!$H$8:$H$37,MATCH($A9,'30 Call Targets'!$A$8:$A$37,0))</x:f>
        <x:v>Weekly pigs not published</x:v>
      </x:c>
      <x:c r="F9" s="11" t="str">
        <x:f>INDEX('30 Call Targets'!$I$8:$I$37,MATCH($A9,'30 Call Targets'!$A$8:$A$37,0))</x:f>
        <x:v>919-894-2587</x:v>
      </x:c>
      <x:c r="G9" s="11" t="str">
        <x:f>INDEX('30 Call Targets'!$K$8:$K$37,MATCH($A9,'30 Call Targets'!$A$8:$A$37,0))</x:f>
        <x:v>Local inspected hog slaughter and an active business website. Resolve capacity and workspace with the operator.</x:v>
      </x:c>
      <x:c r="H9" s="11" t="str">
        <x:f>INDEX('30 Call Targets'!$L$8:$L$37,MATCH($A9,'30 Call Targets'!$A$8:$A$37,0))</x:f>
        <x:v>What is current weekly pig throughput, and can you reserve 140–220 lb live-weight pigs and a room or harvest station?</x:v>
      </x:c>
      <x:c r="I9" s="11" t="str">
        <x:v>https://leesfreshmarketnc.com/</x:v>
      </x:c>
    </x:row>
    <x:row r="10" ht="82" customHeight="1">
      <x:c r="A10" s="13" t="n">
        <x:v>3</x:v>
      </x:c>
      <x:c r="B10" s="14" t="str">
        <x:f>INDEX('30 Call Targets'!$B$8:$B$37,MATCH($A10,'30 Call Targets'!$A$8:$A$37,0))</x:f>
        <x:v>Flowers Slaughter House</x:v>
      </x:c>
      <x:c r="C10" s="14" t="str">
        <x:f>INDEX('30 Call Targets'!$E$8:$E$37,MATCH($A10,'30 Call Targets'!$A$8:$A$37,0))</x:f>
        <x:v>Sims, NC</x:v>
      </x:c>
      <x:c r="D10" s="23" t="n">
        <x:f>INDEX('30 Call Targets'!$F$8:$F$37,MATCH($A10,'30 Call Targets'!$A$8:$A$37,0))</x:f>
        <x:v>63.30834178398154</x:v>
      </x:c>
      <x:c r="E10" s="14" t="str">
        <x:f>INDEX('30 Call Targets'!$H$8:$H$37,MATCH($A10,'30 Call Targets'!$A$8:$A$37,0))</x:f>
        <x:v>Weekly pigs not published</x:v>
      </x:c>
      <x:c r="F10" s="14" t="str">
        <x:f>INDEX('30 Call Targets'!$I$8:$I$37,MATCH($A10,'30 Call Targets'!$A$8:$A$37,0))</x:f>
        <x:v>252-237-2982</x:v>
      </x:c>
      <x:c r="G10" s="14" t="str">
        <x:f>INDEX('30 Call Targets'!$K$8:$K$37,MATCH($A10,'30 Call Targets'!$A$8:$A$37,0))</x:f>
        <x:v>Hog slaughter near your existing Sims supplier. Potentially efficient for shared crew coverage.</x:v>
      </x:c>
      <x:c r="H10" s="14" t="str">
        <x:f>INDEX('30 Call Targets'!$L$8:$L$37,MATCH($A10,'30 Call Targets'!$A$8:$A$37,0))</x:f>
        <x:v>How many pigs are killed each week, and can organs or intact blocks be reserved before normal cutting? Is there room for our crew?</x:v>
      </x:c>
      <x:c r="I10" s="14" t="str">
        <x:v>https://www.facebook.com/p/Flowers-Slaughterhouse-Page-100063690244587/</x:v>
      </x:c>
    </x:row>
    <x:row r="11" ht="82" customHeight="1">
      <x:c r="A11" s="12" t="n">
        <x:v>4</x:v>
      </x:c>
      <x:c r="B11" s="11" t="str">
        <x:f>INDEX('30 Call Targets'!$B$8:$B$37,MATCH($A11,'30 Call Targets'!$A$8:$A$37,0))</x:f>
        <x:v>Contentnea Farms</x:v>
      </x:c>
      <x:c r="C11" s="11" t="str">
        <x:f>INDEX('30 Call Targets'!$E$8:$E$37,MATCH($A11,'30 Call Targets'!$A$8:$A$37,0))</x:f>
        <x:v>Walstonburg, NC</x:v>
      </x:c>
      <x:c r="D11" s="24" t="n">
        <x:f>INDEX('30 Call Targets'!$F$8:$F$37,MATCH($A11,'30 Call Targets'!$A$8:$A$37,0))</x:f>
        <x:v>90.29008092738407</x:v>
      </x:c>
      <x:c r="E11" s="11" t="str">
        <x:f>INDEX('30 Call Targets'!$H$8:$H$37,MATCH($A11,'30 Call Targets'!$A$8:$A$37,0))</x:f>
        <x:v>Weekly pigs not published</x:v>
      </x:c>
      <x:c r="F11" s="11" t="str">
        <x:f>INDEX('30 Call Targets'!$I$8:$I$37,MATCH($A11,'30 Call Targets'!$A$8:$A$37,0))</x:f>
        <x:v>252-289-3083</x:v>
      </x:c>
      <x:c r="G11" s="11" t="str">
        <x:f>INDEX('30 Call Targets'!$K$8:$K$37,MATCH($A11,'30 Call Targets'!$A$8:$A$37,0))</x:f>
        <x:v>Current site explicitly offers pork slaughter, custom cuts and available processing appointments.</x:v>
      </x:c>
      <x:c r="H11" s="11" t="str">
        <x:f>INDEX('30 Call Targets'!$L$8:$L$37,MATCH($A11,'30 Call Targets'!$A$8:$A$37,0))</x:f>
        <x:v>What is current weekly hog volume and growth capacity? Can you supply intact pelvic, abdominal and thoracic blocks?</x:v>
      </x:c>
      <x:c r="I11" s="11" t="str">
        <x:v>https://contentneafarms.com/</x:v>
      </x:c>
    </x:row>
    <x:row r="12" ht="82" customHeight="1">
      <x:c r="A12" s="13" t="n">
        <x:v>5</x:v>
      </x:c>
      <x:c r="B12" s="14" t="str">
        <x:f>INDEX('30 Call Targets'!$B$8:$B$37,MATCH($A12,'30 Call Targets'!$A$8:$A$37,0))</x:f>
        <x:v>Gale McLamb Meats</x:v>
      </x:c>
      <x:c r="C12" s="14" t="str">
        <x:f>INDEX('30 Call Targets'!$E$8:$E$37,MATCH($A12,'30 Call Targets'!$A$8:$A$37,0))</x:f>
        <x:v>Dunn, NC</x:v>
      </x:c>
      <x:c r="D12" s="23" t="n">
        <x:f>INDEX('30 Call Targets'!$F$8:$F$37,MATCH($A12,'30 Call Targets'!$A$8:$A$37,0))</x:f>
        <x:v>59.73757009067048</x:v>
      </x:c>
      <x:c r="E12" s="14" t="str">
        <x:f>INDEX('30 Call Targets'!$H$8:$H$37,MATCH($A12,'30 Call Targets'!$A$8:$A$37,0))</x:f>
        <x:v>Weekly pigs not published</x:v>
      </x:c>
      <x:c r="F12" s="14" t="str">
        <x:f>INDEX('30 Call Targets'!$I$8:$I$37,MATCH($A12,'30 Call Targets'!$A$8:$A$37,0))</x:f>
        <x:v>910-892-7279</x:v>
      </x:c>
      <x:c r="G12" s="14" t="str">
        <x:f>INDEX('30 Call Targets'!$K$8:$K$37,MATCH($A12,'30 Call Targets'!$A$8:$A$37,0))</x:f>
        <x:v>Current state directory lists pig slaughter and processing within the local operating area.</x:v>
      </x:c>
      <x:c r="H12" s="14" t="str">
        <x:f>INDEX('30 Call Targets'!$L$8:$L$37,MATCH($A12,'30 Call Targets'!$A$8:$A$37,0))</x:f>
        <x:v>What share of your slaughter is pigs? How many are in our live-weight range? Would you discuss a paid harvest area?</x:v>
      </x:c>
      <x:c r="I12" s="14" t="str">
        <x:v>Not confirmed</x:v>
      </x:c>
    </x:row>
    <x:row r="13" ht="82" customHeight="1">
      <x:c r="A13" s="12" t="n">
        <x:v>6</x:v>
      </x:c>
      <x:c r="B13" s="11" t="str">
        <x:f>INDEX('30 Call Targets'!$B$8:$B$37,MATCH($A13,'30 Call Targets'!$A$8:$A$37,0))</x:f>
        <x:v>Key Packing Company</x:v>
      </x:c>
      <x:c r="C13" s="11" t="str">
        <x:f>INDEX('30 Call Targets'!$E$8:$E$37,MATCH($A13,'30 Call Targets'!$A$8:$A$37,0))</x:f>
        <x:v>Robbins, NC</x:v>
      </x:c>
      <x:c r="D13" s="24" t="n">
        <x:f>INDEX('30 Call Targets'!$F$8:$F$37,MATCH($A13,'30 Call Targets'!$A$8:$A$37,0))</x:f>
        <x:v>69.72269446432833</x:v>
      </x:c>
      <x:c r="E13" s="11" t="str">
        <x:f>INDEX('30 Call Targets'!$H$8:$H$37,MATCH($A13,'30 Call Targets'!$A$8:$A$37,0))</x:f>
        <x:v>Weekly pigs not published</x:v>
      </x:c>
      <x:c r="F13" s="11" t="str">
        <x:f>INDEX('30 Call Targets'!$I$8:$I$37,MATCH($A13,'30 Call Targets'!$A$8:$A$37,0))</x:f>
        <x:v>910-464-3507</x:v>
      </x:c>
      <x:c r="G13" s="11" t="str">
        <x:f>INDEX('30 Call Targets'!$K$8:$K$37,MATCH($A13,'30 Call Targets'!$A$8:$A$37,0))</x:f>
        <x:v>Current pig slaughter listing and a reachable local plant. Worth an early scale check.</x:v>
      </x:c>
      <x:c r="H13" s="11" t="str">
        <x:f>INDEX('30 Call Targets'!$L$8:$L$37,MATCH($A13,'30 Call Targets'!$A$8:$A$37,0))</x:f>
        <x:v>How many pigs do you kill on a typical week and on peak weeks? Can you support recurring tissue collection?</x:v>
      </x:c>
      <x:c r="I13" s="11" t="str">
        <x:v>Not confirmed</x:v>
      </x:c>
    </x:row>
    <x:row r="14" ht="82" customHeight="1">
      <x:c r="A14" s="13" t="n">
        <x:v>7</x:v>
      </x:c>
      <x:c r="B14" s="14" t="str">
        <x:f>INDEX('30 Call Targets'!$B$8:$B$37,MATCH($A14,'30 Call Targets'!$A$8:$A$37,0))</x:f>
        <x:v>Quaqua Creek Farm</x:v>
      </x:c>
      <x:c r="C14" s="14" t="str">
        <x:f>INDEX('30 Call Targets'!$E$8:$E$37,MATCH($A14,'30 Call Targets'!$A$8:$A$37,0))</x:f>
        <x:v>Ruffin, NC</x:v>
      </x:c>
      <x:c r="D14" s="23" t="n">
        <x:f>INDEX('30 Call Targets'!$F$8:$F$37,MATCH($A14,'30 Call Targets'!$A$8:$A$37,0))</x:f>
        <x:v>67.20309641692515</x:v>
      </x:c>
      <x:c r="E14" s="14" t="str">
        <x:f>INDEX('30 Call Targets'!$H$8:$H$37,MATCH($A14,'30 Call Targets'!$A$8:$A$37,0))</x:f>
        <x:v>Weekly pigs not published</x:v>
      </x:c>
      <x:c r="F14" s="14" t="str">
        <x:f>INDEX('30 Call Targets'!$I$8:$I$37,MATCH($A14,'30 Call Targets'!$A$8:$A$37,0))</x:f>
        <x:v>336-939-2656</x:v>
      </x:c>
      <x:c r="G14" s="14" t="str">
        <x:f>INDEX('30 Call Targets'!$K$8:$K$37,MATCH($A14,'30 Call Targets'!$A$8:$A$37,0))</x:f>
        <x:v>Additional local lead: current state directory lists slaughter including swine.</x:v>
      </x:c>
      <x:c r="H14" s="14" t="str">
        <x:f>INDEX('30 Call Targets'!$L$8:$L$37,MATCH($A14,'30 Call Targets'!$A$8:$A$37,0))</x:f>
        <x:v>Are you currently slaughtering pigs under the state grant? What weekly volume, live weights and room arrangements are possible?</x:v>
      </x:c>
      <x:c r="I14" s="14" t="str">
        <x:v>Not confirmed</x:v>
      </x:c>
    </x:row>
    <x:row r="15" ht="82" customHeight="1">
      <x:c r="A15" s="12" t="n">
        <x:v>8</x:v>
      </x:c>
      <x:c r="B15" s="11" t="str">
        <x:f>INDEX('30 Call Targets'!$B$8:$B$37,MATCH($A15,'30 Call Targets'!$A$8:$A$37,0))</x:f>
        <x:v>Cool Springs Farm and Meat</x:v>
      </x:c>
      <x:c r="C15" s="11" t="str">
        <x:f>INDEX('30 Call Targets'!$E$8:$E$37,MATCH($A15,'30 Call Targets'!$A$8:$A$37,0))</x:f>
        <x:v>Yadkinville, NC</x:v>
      </x:c>
      <x:c r="D15" s="24" t="n">
        <x:f>INDEX('30 Call Targets'!$F$8:$F$37,MATCH($A15,'30 Call Targets'!$A$8:$A$37,0))</x:f>
        <x:v>106.77114401892945</x:v>
      </x:c>
      <x:c r="E15" s="11" t="str">
        <x:f>INDEX('30 Call Targets'!$H$8:$H$37,MATCH($A15,'30 Call Targets'!$A$8:$A$37,0))</x:f>
        <x:v>Weekly pigs not published</x:v>
      </x:c>
      <x:c r="F15" s="11" t="str">
        <x:f>INDEX('30 Call Targets'!$I$8:$I$37,MATCH($A15,'30 Call Targets'!$A$8:$A$37,0))</x:f>
        <x:v>336-835-5377</x:v>
      </x:c>
      <x:c r="G15" s="11" t="str">
        <x:f>INDEX('30 Call Targets'!$K$8:$K$37,MATCH($A15,'30 Call Targets'!$A$8:$A$37,0))</x:f>
        <x:v>Active custom processing business with a published hog slaughter service.</x:v>
      </x:c>
      <x:c r="H15" s="11" t="str">
        <x:f>INDEX('30 Call Targets'!$L$8:$L$37,MATCH($A15,'30 Call Targets'!$A$8:$A$37,0))</x:f>
        <x:v>How many hogs do you slaughter weekly? Is hog work inspected or custom-only, and can tissues be collected for our use?</x:v>
      </x:c>
      <x:c r="I15" s="11" t="str">
        <x:v>https://www.csmpfarmstore.com/</x:v>
      </x:c>
    </x:row>
    <x:row r="16" ht="82" customHeight="1">
      <x:c r="A16" s="13" t="n">
        <x:v>9</x:v>
      </x:c>
      <x:c r="B16" s="14" t="str">
        <x:f>INDEX('30 Call Targets'!$B$8:$B$37,MATCH($A16,'30 Call Targets'!$A$8:$A$37,0))</x:f>
        <x:v>Mitchell's Meat Processing</x:v>
      </x:c>
      <x:c r="C16" s="14" t="str">
        <x:f>INDEX('30 Call Targets'!$E$8:$E$37,MATCH($A16,'30 Call Targets'!$A$8:$A$37,0))</x:f>
        <x:v>Walnut Cove, NC</x:v>
      </x:c>
      <x:c r="D16" s="23" t="n">
        <x:f>INDEX('30 Call Targets'!$F$8:$F$37,MATCH($A16,'30 Call Targets'!$A$8:$A$37,0))</x:f>
        <x:v>84.99413425594527</x:v>
      </x:c>
      <x:c r="E16" s="14" t="str">
        <x:f>INDEX('30 Call Targets'!$H$8:$H$37,MATCH($A16,'30 Call Targets'!$A$8:$A$37,0))</x:f>
        <x:v>Weekly pigs not published</x:v>
      </x:c>
      <x:c r="F16" s="14" t="str">
        <x:f>INDEX('30 Call Targets'!$I$8:$I$37,MATCH($A16,'30 Call Targets'!$A$8:$A$37,0))</x:f>
        <x:v>336-591-7420</x:v>
      </x:c>
      <x:c r="G16" s="14" t="str">
        <x:f>INDEX('30 Call Targets'!$K$8:$K$37,MATCH($A16,'30 Call Targets'!$A$8:$A$37,0))</x:f>
        <x:v>Hog harvesting and custom work on company site; social profile supplies a matching preferred text contact.</x:v>
      </x:c>
      <x:c r="H16" s="14" t="str">
        <x:f>INDEX('30 Call Targets'!$L$8:$L$37,MATCH($A16,'30 Call Targets'!$A$8:$A$37,0))</x:f>
        <x:v>What is pig throughput, suitable live-weight availability and willingness to support a small tissue-collection pilot?</x:v>
      </x:c>
      <x:c r="I16" s="14" t="str">
        <x:v>https://www.mitchellsmeatnc.com/</x:v>
      </x:c>
    </x:row>
    <x:row r="17" ht="82" customHeight="1">
      <x:c r="A17" s="12" t="n">
        <x:v>10</x:v>
      </x:c>
      <x:c r="B17" s="11" t="str">
        <x:f>INDEX('30 Call Targets'!$B$8:$B$37,MATCH($A17,'30 Call Targets'!$A$8:$A$37,0))</x:f>
        <x:v>Schrock's Slaughter House</x:v>
      </x:c>
      <x:c r="C17" s="11" t="str">
        <x:f>INDEX('30 Call Targets'!$E$8:$E$37,MATCH($A17,'30 Call Targets'!$A$8:$A$37,0))</x:f>
        <x:v>Gladys, VA</x:v>
      </x:c>
      <x:c r="D17" s="24" t="n">
        <x:f>INDEX('30 Call Targets'!$F$8:$F$37,MATCH($A17,'30 Call Targets'!$A$8:$A$37,0))</x:f>
        <x:v>95.40930963175057</x:v>
      </x:c>
      <x:c r="E17" s="11" t="str">
        <x:f>INDEX('30 Call Targets'!$H$8:$H$37,MATCH($A17,'30 Call Targets'!$A$8:$A$37,0))</x:f>
        <x:v>Weekly pigs not published</x:v>
      </x:c>
      <x:c r="F17" s="11" t="str">
        <x:f>INDEX('30 Call Targets'!$I$8:$I$37,MATCH($A17,'30 Call Targets'!$A$8:$A$37,0))</x:f>
        <x:v>434-283-5400</x:v>
      </x:c>
      <x:c r="G17" s="11" t="str">
        <x:f>INDEX('30 Call Targets'!$K$8:$K$37,MATCH($A17,'30 Call Targets'!$A$8:$A$37,0))</x:f>
        <x:v>Nearby Virginia alternative listed for hog slaughter; could add a separate operating area.</x:v>
      </x:c>
      <x:c r="H17" s="11" t="str">
        <x:f>INDEX('30 Call Targets'!$L$8:$L$37,MATCH($A17,'30 Call Targets'!$A$8:$A$37,0))</x:f>
        <x:v>Do you still slaughter pigs? Your site emphasizes beef. If yes, what weekly count, live weights and collection space are available?</x:v>
      </x:c>
      <x:c r="I17" s="11" t="str">
        <x:v>https://schrockssh.com/</x:v>
      </x:c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22" customHeight="1">
      <x:c r="A19" s="6" t="str">
        <x:v>Start with the owner or plant manager. Confirm weekly pig count, suitable live weights, organ ownership, and space or harvest labor before arranging a visit.</x:v>
      </x:c>
      <x:c r="B19" s="6"/>
      <x:c r="C19" s="6"/>
      <x:c r="D19" s="6"/>
      <x:c r="E19" s="6"/>
      <x:c r="F19" s="6"/>
      <x:c r="G19" s="6"/>
      <x:c r="H19" s="6"/>
      <x:c r="I19" s="6"/>
    </x:row>
  </x:sheetData>
  <x:pageMargins left="0.7" right="0.7" top="0.75" bottom="0.75" header="0.3" footer="0.3"/>
  <x:tableParts count="1">
    <x:tablePart xmlns:r="http://schemas.openxmlformats.org/officeDocument/2006/relationships" r:id="R01b0e077cc794ad2"/>
  </x:tableParts>
</x:worksheet>
</file>

<file path=xl/worksheets/sheet2.xml><?xml version="1.0" encoding="utf-8"?>
<x:worksheet xmlns:x="http://schemas.openxmlformats.org/spreadsheetml/2006/main">
  <x:sheetPr>
    <x:tabColor rgb="FF213B5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31" hidden="0" customWidth="1"/>
    <x:col min="3" max="3" width="23" hidden="0" customWidth="1"/>
    <x:col min="4" max="4" width="9" hidden="0" customWidth="1"/>
    <x:col min="5" max="5" width="20" hidden="0" customWidth="1"/>
    <x:col min="6" max="6" width="12" hidden="0" customWidth="1"/>
    <x:col min="7" max="7" width="23" hidden="0" customWidth="1"/>
    <x:col min="8" max="8" width="36" hidden="0" customWidth="1"/>
    <x:col min="9" max="9" width="19" hidden="0" customWidth="1"/>
    <x:col min="10" max="10" width="42" hidden="0" customWidth="1"/>
    <x:col min="11" max="11" width="53" hidden="0" customWidth="1"/>
    <x:col min="12" max="12" width="65" hidden="0" customWidth="1"/>
    <x:col min="13" max="13" width="48" hidden="0" customWidth="1"/>
    <x:col min="14" max="14" width="47" hidden="0" customWidth="1"/>
    <x:col min="15" max="15" width="37" hidden="0" customWidth="1"/>
    <x:col min="16" max="16" width="45" hidden="0" customWidth="1"/>
    <x:col min="17" max="17" width="54" hidden="0" customWidth="1"/>
    <x:col min="18" max="18" width="29" hidden="0" customWidth="1"/>
    <x:col min="19" max="19" width="12" hidden="0" customWidth="1"/>
    <x:col min="20" max="20" width="58" hidden="0" customWidth="1"/>
    <x:col min="21" max="21" width="33" hidden="0" customWidth="1"/>
    <x:col min="22" max="22" width="33" hidden="0" customWidth="1"/>
    <x:col min="23" max="23" width="15" hidden="0" customWidth="1"/>
    <x:col min="24" max="24" width="18" hidden="0" customWidth="1"/>
    <x:col min="25" max="25" width="55" hidden="0" customWidth="1"/>
    <x:col min="26" max="26" width="55" hidden="0" customWidth="1"/>
    <x:col min="27" max="27" width="34" hidden="0" customWidth="1"/>
    <x:col min="28" max="28" width="32" hidden="0" customWidth="1"/>
    <x:col min="29" max="29" width="58" hidden="0" customWidth="1"/>
    <x:col min="30" max="30" width="34" hidden="0" customWidth="1"/>
    <x:col min="31" max="31" width="3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</x:row>
    <x:row r="2" ht="30" customHeight="1">
      <x:c r="A2" s="4" t="str">
        <x:v>30 call targets for Durham tissue supply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</x:row>
    <x:row r="3" ht="22" customHeight="1">
      <x:c r="A3" s="6" t="str">
        <x:v>20 new plant prospects, 5 existing suppliers, 3 sourcing businesses and 2 referral organizations.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  <x:c r="AD3" s="6"/>
      <x:c r="AE3" s="6"/>
    </x:row>
    <x:row r="4" ht="22" customHeight="1">
      <x:c r="A4" s="6" t="str">
        <x:v>Target: 120 miles from Durham. Preferred plant volume: 2,000–5,000 pigs/week. Approximate animal weight: 140–220 lb live.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  <x:c r="W4" s="6"/>
      <x:c r="X4" s="6"/>
      <x:c r="Y4" s="6"/>
      <x:c r="Z4" s="6"/>
      <x:c r="AA4" s="6"/>
      <x:c r="AB4" s="6"/>
      <x:c r="AC4" s="6"/>
      <x:c r="AD4" s="6"/>
      <x:c r="AE4" s="6"/>
    </x:row>
    <x:row r="5" ht="22" customHeight="1">
      <x:c r="A5" s="6" t="str">
        <x:v>Road miles are route estimates from Durham City Hall. No new plant is confirmed to meet the full volume, animal and workspace requirements.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  <x:c r="U5" s="6"/>
      <x:c r="V5" s="6"/>
      <x:c r="W5" s="6"/>
      <x:c r="X5" s="6"/>
      <x:c r="Y5" s="6"/>
      <x:c r="Z5" s="6"/>
      <x:c r="AA5" s="6"/>
      <x:c r="AB5" s="6"/>
      <x:c r="AC5" s="6"/>
      <x:c r="AD5" s="6"/>
      <x:c r="AE5" s="6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</x:row>
    <x:row r="7" ht="34" customHeight="1">
      <x:c r="A7" s="10" t="str">
        <x:v>Priority</x:v>
      </x:c>
      <x:c r="B7" s="10" t="str">
        <x:v>Supplier / contact</x:v>
      </x:c>
      <x:c r="C7" s="10" t="str">
        <x:v>Contact type</x:v>
      </x:c>
      <x:c r="D7" s="10" t="str">
        <x:v>Call week</x:v>
      </x:c>
      <x:c r="E7" s="10" t="str">
        <x:v>Location</x:v>
      </x:c>
      <x:c r="F7" s="10" t="str">
        <x:v>Road miles (est.)</x:v>
      </x:c>
      <x:c r="G7" s="10" t="str">
        <x:v>120-mile road screen</x:v>
      </x:c>
      <x:c r="H7" s="10" t="str">
        <x:v>Pigs killed/week: evidence</x:v>
      </x:c>
      <x:c r="I7" s="10" t="str">
        <x:v>Phone</x:v>
      </x:c>
      <x:c r="J7" s="10" t="str">
        <x:v>Website / public page</x:v>
      </x:c>
      <x:c r="K7" s="10" t="str">
        <x:v>Why call</x:v>
      </x:c>
      <x:c r="L7" s="10" t="str">
        <x:v>First call must resolve</x:v>
      </x:c>
      <x:c r="M7" s="10" t="str">
        <x:v>Site address used for distance</x:v>
      </x:c>
      <x:c r="N7" s="10" t="str">
        <x:v>Animal / weight fit</x:v>
      </x:c>
      <x:c r="O7" s="10" t="str">
        <x:v>Inspection / operation</x:v>
      </x:c>
      <x:c r="P7" s="10" t="str">
        <x:v>Room and tissue experience</x:v>
      </x:c>
      <x:c r="Q7" s="10" t="str">
        <x:v>Main caution</x:v>
      </x:c>
      <x:c r="R7" s="10" t="str">
        <x:v>Alternate phone</x:v>
      </x:c>
      <x:c r="S7" s="10" t="str">
        <x:v>Radial miles</x:v>
      </x:c>
      <x:c r="T7" s="10" t="str">
        <x:v>Distance basis</x:v>
      </x:c>
      <x:c r="U7" s="10" t="str">
        <x:v>Evidence source 1</x:v>
      </x:c>
      <x:c r="V7" s="10" t="str">
        <x:v>Evidence source 2</x:v>
      </x:c>
      <x:c r="W7" s="10" t="str">
        <x:v>Research checked</x:v>
      </x:c>
      <x:c r="X7" s="10" t="str">
        <x:v>Map route</x:v>
      </x:c>
      <x:c r="Y7" s="10" t="str">
        <x:v>Geocoding source</x:v>
      </x:c>
      <x:c r="Z7" s="10" t="str">
        <x:v>Routing source</x:v>
      </x:c>
      <x:c r="AA7" s="10" t="str">
        <x:v>Inspection cross-check</x:v>
      </x:c>
      <x:c r="AB7" s="10" t="str">
        <x:v>Social source</x:v>
      </x:c>
      <x:c r="AC7" s="10" t="str">
        <x:v>Social research note</x:v>
      </x:c>
      <x:c r="AD7" s="10" t="str">
        <x:v>Supporting terms</x:v>
      </x:c>
      <x:c r="AE7" s="10" t="str">
        <x:v>Supporting cut sheet</x:v>
      </x:c>
    </x:row>
    <x:row r="8" ht="98" customHeight="1">
      <x:c r="A8" s="13" t="n">
        <x:v>1</x:v>
      </x:c>
      <x:c r="B8" s="14" t="str">
        <x:v>Piedmont Custom Meats</x:v>
      </x:c>
      <x:c r="C8" s="14" t="str">
        <x:v>New plant prospect</x:v>
      </x:c>
      <x:c r="D8" s="21" t="n">
        <x:v>1</x:v>
      </x:c>
      <x:c r="E8" s="14" t="str">
        <x:v>Gibsonville, NC</x:v>
      </x:c>
      <x:c r="F8" s="23" t="n">
        <x:v>47.81109570110554</x:v>
      </x:c>
      <x:c r="G8" s="14" t="str">
        <x:v>Within planning limit</x:v>
      </x:c>
      <x:c r="H8" s="14" t="str">
        <x:v>Weekly pigs not published</x:v>
      </x:c>
      <x:c r="I8" s="14" t="str">
        <x:v>336-628-4949</x:v>
      </x:c>
      <x:c r="J8" s="14" t="str">
        <x:v>https://www.piedmontcustommeats.com/</x:v>
      </x:c>
      <x:c r="K8" s="14" t="str">
        <x:v>Nearby harvest plant with custom-cut workflow; pork cut sheet lists heart, liver and kidneys. Strong first fit call.</x:v>
      </x:c>
      <x:c r="L8" s="14" t="str">
        <x:v>How many suitable pigs weekly? Who owns the organs? Can intact blocks be preserved and our crew use space at Gibsonville?</x:v>
      </x:c>
      <x:c r="M8" s="14" t="str">
        <x:v>9683 Kerr Chapel Road, Gibsonville, NC 27249</x:v>
      </x:c>
      <x:c r="N8" s="14" t="str">
        <x:v>Published minimum 150 lb live; 150–220 lb overlaps target. Count of suitable pigs unconfirmed.</x:v>
      </x:c>
      <x:c r="O8" s="14" t="str">
        <x:v>Federal; M7975</x:v>
      </x:c>
      <x:c r="P8" s="14" t="str">
        <x:v>Room rental and tissue-harvest experience not confirmed</x:v>
      </x:c>
      <x:c r="Q8" s="14" t="str">
        <x:v>Gibsonville is the slaughter site; Asheboro is processing. Target volume and room are unconfirmed.</x:v>
      </x:c>
      <x:c r="R8" s="14" t="str"/>
      <x:c r="S8" s="17" t="n">
        <x:v>39.43729827224922</x:v>
      </x:c>
      <x:c r="T8" s="14" t="str">
        <x:v>Census address match</x:v>
      </x:c>
      <x:c r="U8" s="14" t="str">
        <x:v>https://www.piedmontcustommeats.com/contact-us</x:v>
      </x:c>
      <x:c r="V8" s="14" t="str">
        <x:v>https://www.piedmontcustommeats.com/customer-manual</x:v>
      </x:c>
      <x:c r="W8" s="19" t="n">
        <x:v>46293.5</x:v>
      </x:c>
      <x:c r="X8" s="14" t="str">
        <x:v>https://www.google.com/maps/dir/?api=1&amp;origin=101%20City%20Hall%20Plaza%2C%20Durham%2C%20NC%2027701&amp;destination=9683%20Kerr%20Chapel%20Road%2C%20Gibsonville%2C%20NC%2027249&amp;travelmode=driving</x:v>
      </x:c>
      <x:c r="Y8" s="14" t="str">
        <x:v>https://geocoding.geo.census.gov/geocoder/locations/onelineaddress?address=9683+Kerr+Chapel+Road%2C+Gibsonville%2C+NC+27249&amp;benchmark=Public_AR_Current&amp;format=json</x:v>
      </x:c>
      <x:c r="Z8" s="14" t="str">
        <x:v>https://router.project-osrm.org/route/v1/driving/-78.899684,35.996069;-79.529419,36.255039?overview=false</x:v>
      </x:c>
      <x:c r="AA8" s="14" t="str">
        <x:v>https://localmeat.org/processors/north-carolina/piedmont-custom-meats-inc-gibsonville-m7975</x:v>
      </x:c>
      <x:c r="AB8" s="14" t="str">
        <x:v>https://www.facebook.com/PiedmontCustomMeatsNC/videos/you-raise-it-we-process-it-you-bring-it-to-market-thats-the-whole-model-piedmont/1637823381097926/</x:v>
      </x:c>
      <x:c r="AC8" s="14" t="str">
        <x:v>2 signal(s) in Social Evidence. Describes processing animals raised by customers. Supports a service-processing model, not plant ownership of all organs.</x:v>
      </x:c>
      <x:c r="AD8" s="14" t="str">
        <x:v>https://www.piedmontcustommeats.com/terms-of-service/</x:v>
      </x:c>
      <x:c r="AE8" s="14" t="str">
        <x:v>https://www.piedmontcustommeats.com/uploads/porkcutsheets12024.pdf</x:v>
      </x:c>
    </x:row>
    <x:row r="9" ht="98" customHeight="1">
      <x:c r="A9" s="12" t="n">
        <x:v>2</x:v>
      </x:c>
      <x:c r="B9" s="11" t="str">
        <x:v>McLamb's Abattoir / Lee's Fresh Market</x:v>
      </x:c>
      <x:c r="C9" s="11" t="str">
        <x:v>New plant prospect</x:v>
      </x:c>
      <x:c r="D9" s="22" t="n">
        <x:v>1</x:v>
      </x:c>
      <x:c r="E9" s="11" t="str">
        <x:v>Benson, NC</x:v>
      </x:c>
      <x:c r="F9" s="24" t="n">
        <x:v>57.702890121689336</x:v>
      </x:c>
      <x:c r="G9" s="11" t="str">
        <x:v>Within planning limit</x:v>
      </x:c>
      <x:c r="H9" s="11" t="str">
        <x:v>Weekly pigs not published</x:v>
      </x:c>
      <x:c r="I9" s="11" t="str">
        <x:v>919-894-2587</x:v>
      </x:c>
      <x:c r="J9" s="11" t="str">
        <x:v>https://leesfreshmarketnc.com/</x:v>
      </x:c>
      <x:c r="K9" s="11" t="str">
        <x:v>Local inspected hog slaughter and an active business website. Resolve capacity and workspace with the operator.</x:v>
      </x:c>
      <x:c r="L9" s="11" t="str">
        <x:v>What is current weekly pig throughput, and can you reserve 140–220 lb live-weight pigs and a room or harvest station?</x:v>
      </x:c>
      <x:c r="M9" s="11" t="str">
        <x:v>623 Benson Hardee Road, Benson, NC 27504</x:v>
      </x:c>
      <x:c r="N9" s="11" t="str">
        <x:v>Swine listed in current state directory</x:v>
      </x:c>
      <x:c r="O9" s="11" t="str">
        <x:v>State; P-247</x:v>
      </x:c>
      <x:c r="P9" s="11" t="str">
        <x:v>Room rental and tissue-harvest experience not confirmed</x:v>
      </x:c>
      <x:c r="Q9" s="11" t="str">
        <x:v>Confirm contracting entity: state directory lists McLamb's; Lee's uses the same address and phone.</x:v>
      </x:c>
      <x:c r="R9" s="11" t="str"/>
      <x:c r="S9" s="18" t="n">
        <x:v>45.41836162197026</x:v>
      </x:c>
      <x:c r="T9" s="11" t="str">
        <x:v>Census address match</x:v>
      </x:c>
      <x:c r="U9" s="11" t="str">
        <x:v>https://leesfreshmarketnc.com/</x:v>
      </x:c>
      <x:c r="V9" s="11" t="str">
        <x:v>https://www.ncagr.gov/divisions/meat-poultry-inspection/wplants/download?attachment=</x:v>
      </x:c>
      <x:c r="W9" s="20" t="n">
        <x:v>46293.5</x:v>
      </x:c>
      <x:c r="X9" s="11" t="str">
        <x:v>https://www.google.com/maps/dir/?api=1&amp;origin=101%20City%20Hall%20Plaza%2C%20Durham%2C%20NC%2027701&amp;destination=623%20Benson%20Hardee%20Road%2C%20Benson%2C%20NC%2027504&amp;travelmode=driving</x:v>
      </x:c>
      <x:c r="Y9" s="11" t="str">
        <x:v>https://geocoding.geo.census.gov/geocoder/locations/onelineaddress?address=623+Benson+Hardee+Road%2C+Benson%2C+NC+27504&amp;benchmark=Public_AR_Current&amp;format=json</x:v>
      </x:c>
      <x:c r="Z9" s="11" t="str">
        <x:v>https://router.project-osrm.org/route/v1/driving/-78.899684,35.996069;-78.569592,35.395867?overview=false</x:v>
      </x:c>
      <x:c r="AA9" s="11" t="str">
        <x:v>https://www.ncagr.gov/divisions/meat-poultry-inspection/wplants/download?attachment=</x:v>
      </x:c>
      <x:c r="AB9" s="11" t="str">
        <x:v>https://www.facebook.com/leesfreshmarket/</x:v>
      </x:c>
      <x:c r="AC9" s="11" t="str">
        <x:v>2 signal(s) in Social Evidence. Advertises custom processing and family operation. A separate indexed post gives 623 Benson Hardee Road and 919-894-2587.</x:v>
      </x:c>
      <x:c r="AD9" s="11" t="str"/>
      <x:c r="AE9" s="11" t="str"/>
    </x:row>
    <x:row r="10" ht="98" customHeight="1">
      <x:c r="A10" s="13" t="n">
        <x:v>3</x:v>
      </x:c>
      <x:c r="B10" s="14" t="str">
        <x:v>Flowers Slaughter House</x:v>
      </x:c>
      <x:c r="C10" s="14" t="str">
        <x:v>New plant prospect</x:v>
      </x:c>
      <x:c r="D10" s="21" t="n">
        <x:v>1</x:v>
      </x:c>
      <x:c r="E10" s="14" t="str">
        <x:v>Sims, NC</x:v>
      </x:c>
      <x:c r="F10" s="23" t="n">
        <x:v>63.30834178398154</x:v>
      </x:c>
      <x:c r="G10" s="14" t="str">
        <x:v>Within planning limit</x:v>
      </x:c>
      <x:c r="H10" s="14" t="str">
        <x:v>Weekly pigs not published</x:v>
      </x:c>
      <x:c r="I10" s="14" t="str">
        <x:v>252-237-2982</x:v>
      </x:c>
      <x:c r="J10" s="14" t="str">
        <x:v>https://www.facebook.com/p/Flowers-Slaughterhouse-Page-100063690244587/</x:v>
      </x:c>
      <x:c r="K10" s="14" t="str">
        <x:v>Hog slaughter near your existing Sims supplier. Potentially efficient for shared crew coverage.</x:v>
      </x:c>
      <x:c r="L10" s="14" t="str">
        <x:v>How many pigs are killed each week, and can organs or intact blocks be reserved before normal cutting? Is there room for our crew?</x:v>
      </x:c>
      <x:c r="M10" s="14" t="str">
        <x:v>5154 A Saint Rose Church Road, Sims, NC 27880</x:v>
      </x:c>
      <x:c r="N10" s="14" t="str">
        <x:v>Hog slaughter listed; target live weights unconfirmed</x:v>
      </x:c>
      <x:c r="O10" s="14" t="str">
        <x:v>Federal; M21747</x:v>
      </x:c>
      <x:c r="P10" s="14" t="str">
        <x:v>Room rental and tissue-harvest experience not confirmed</x:v>
      </x:c>
      <x:c r="Q10" s="14" t="str">
        <x:v>George Flowers and Flowers Slaughter House are one prospect. Public Facebook page found; confirm plant-page identity.</x:v>
      </x:c>
      <x:c r="R10" s="14" t="str"/>
      <x:c r="S10" s="17" t="n">
        <x:v>51.63749846644421</x:v>
      </x:c>
      <x:c r="T10" s="14" t="str">
        <x:v>Census address match</x:v>
      </x:c>
      <x:c r="U10" s="14" t="str">
        <x:v>https://localmeat.org/processors/north-carolina/flowers-slaughter-house-sims-m21747</x:v>
      </x:c>
      <x:c r="V10" s="14" t="str"/>
      <x:c r="W10" s="19" t="n">
        <x:v>46293.5</x:v>
      </x:c>
      <x:c r="X10" s="14" t="str">
        <x:v>https://www.google.com/maps/dir/?api=1&amp;origin=101%20City%20Hall%20Plaza%2C%20Durham%2C%20NC%2027701&amp;destination=5154%20A%20Saint%20Rose%20Church%20Road%2C%20Sims%2C%20NC%2027880&amp;travelmode=driving</x:v>
      </x:c>
      <x:c r="Y10" s="14" t="str">
        <x:v>https://geocoding.geo.census.gov/geocoder/locations/onelineaddress?address=5154+A+Saint+Rose+Church+Road%2C+Sims%2C+NC+27880&amp;benchmark=Public_AR_Current&amp;format=json</x:v>
      </x:c>
      <x:c r="Z10" s="14" t="str">
        <x:v>https://router.project-osrm.org/route/v1/driving/-78.899684,35.996069;-78.031924,35.742948?overview=false</x:v>
      </x:c>
      <x:c r="AA10" s="14" t="str">
        <x:v>https://localmeat.org/processors/north-carolina/flowers-slaughter-house-sims-m21747</x:v>
      </x:c>
      <x:c r="AB10" s="14" t="str">
        <x:v>https://www.facebook.com/100063690244587/about/</x:v>
      </x:c>
      <x:c r="AC10" s="14" t="str">
        <x:v>1 signal(s) in Social Evidence. Page advertises custom swine and beef processing. A secondary directory also reports BBQ hog-order posts.</x:v>
      </x:c>
      <x:c r="AD10" s="14" t="str"/>
      <x:c r="AE10" s="14" t="str"/>
    </x:row>
    <x:row r="11" ht="98" customHeight="1">
      <x:c r="A11" s="12" t="n">
        <x:v>4</x:v>
      </x:c>
      <x:c r="B11" s="11" t="str">
        <x:v>Contentnea Farms</x:v>
      </x:c>
      <x:c r="C11" s="11" t="str">
        <x:v>New plant prospect</x:v>
      </x:c>
      <x:c r="D11" s="22" t="n">
        <x:v>1</x:v>
      </x:c>
      <x:c r="E11" s="11" t="str">
        <x:v>Walstonburg, NC</x:v>
      </x:c>
      <x:c r="F11" s="24" t="n">
        <x:v>90.29008092738407</x:v>
      </x:c>
      <x:c r="G11" s="11" t="str">
        <x:v>Within planning limit</x:v>
      </x:c>
      <x:c r="H11" s="11" t="str">
        <x:v>Weekly pigs not published</x:v>
      </x:c>
      <x:c r="I11" s="11" t="str">
        <x:v>252-289-3083</x:v>
      </x:c>
      <x:c r="J11" s="11" t="str">
        <x:v>https://contentneafarms.com/</x:v>
      </x:c>
      <x:c r="K11" s="11" t="str">
        <x:v>Current site explicitly offers pork slaughter, custom cuts and available processing appointments.</x:v>
      </x:c>
      <x:c r="L11" s="11" t="str">
        <x:v>What is current weekly hog volume and growth capacity? Can you supply intact pelvic, abdominal and thoracic blocks?</x:v>
      </x:c>
      <x:c r="M11" s="11" t="str">
        <x:v>737 Beaman Farm Road, Walstonburg, NC 27888</x:v>
      </x:c>
      <x:c r="N11" s="11" t="str">
        <x:v>Pork slaughter confirmed; target live weights unconfirmed</x:v>
      </x:c>
      <x:c r="O11" s="11" t="str">
        <x:v>Federal through state program; TA-2583</x:v>
      </x:c>
      <x:c r="P11" s="11" t="str">
        <x:v>Room rental and tissue-harvest experience not confirmed</x:v>
      </x:c>
      <x:c r="Q11" s="11" t="str">
        <x:v>Multi-species operation. Published availability does not prove spare room or Martin-scale volume.</x:v>
      </x:c>
      <x:c r="R11" s="11" t="str">
        <x:v>252-717-9229</x:v>
      </x:c>
      <x:c r="S11" s="18" t="n">
        <x:v>72.64760579541328</x:v>
      </x:c>
      <x:c r="T11" s="11" t="str">
        <x:v>Census address match</x:v>
      </x:c>
      <x:c r="U11" s="11" t="str">
        <x:v>https://contentneafarms.com/processing/</x:v>
      </x:c>
      <x:c r="V11" s="11" t="str">
        <x:v>https://www.ncagr.gov/divisions/meat-poultry-inspection/wplants/download?attachment=</x:v>
      </x:c>
      <x:c r="W11" s="20" t="n">
        <x:v>46293.5</x:v>
      </x:c>
      <x:c r="X11" s="11" t="str">
        <x:v>https://www.google.com/maps/dir/?api=1&amp;origin=101%20City%20Hall%20Plaza%2C%20Durham%2C%20NC%2027701&amp;destination=737%20Beaman%20Farm%20Road%2C%20Walstonburg%2C%20NC%2027888&amp;travelmode=driving</x:v>
      </x:c>
      <x:c r="Y11" s="11" t="str">
        <x:v>https://geocoding.geo.census.gov/geocoder/locations/onelineaddress?address=737+Beaman+Farm+Road%2C+Walstonburg%2C+NC+27888&amp;benchmark=Public_AR_Current&amp;format=json</x:v>
      </x:c>
      <x:c r="Z11" s="11" t="str">
        <x:v>https://router.project-osrm.org/route/v1/driving/-78.899684,35.996069;-77.718676,35.562992?overview=false</x:v>
      </x:c>
      <x:c r="AA11" s="11" t="str">
        <x:v>https://www.ncagr.gov/divisions/meat-poultry-inspection/wplants/download?attachment=</x:v>
      </x:c>
      <x:c r="AB11" s="11" t="str">
        <x:v>https://www.facebook.com/ContentneaFarms/posts/take-a-quick-tour-of-our-walstonburg-retail-location-this-is-where-the-magic-hap/122227399094321770/</x:v>
      </x:c>
      <x:c r="AC11" s="11" t="str">
        <x:v>1 signal(s) in Social Evidence. Promotes a tour of the Walstonburg retail location and behind-the-scenes cutting content.</x:v>
      </x:c>
      <x:c r="AD11" s="11" t="str"/>
      <x:c r="AE11" s="11" t="str"/>
    </x:row>
    <x:row r="12" ht="98" customHeight="1">
      <x:c r="A12" s="13" t="n">
        <x:v>5</x:v>
      </x:c>
      <x:c r="B12" s="14" t="str">
        <x:v>Gale McLamb Meats</x:v>
      </x:c>
      <x:c r="C12" s="14" t="str">
        <x:v>New plant prospect</x:v>
      </x:c>
      <x:c r="D12" s="21" t="n">
        <x:v>1</x:v>
      </x:c>
      <x:c r="E12" s="14" t="str">
        <x:v>Dunn, NC</x:v>
      </x:c>
      <x:c r="F12" s="23" t="n">
        <x:v>59.73757009067048</x:v>
      </x:c>
      <x:c r="G12" s="14" t="str">
        <x:v>Within planning limit</x:v>
      </x:c>
      <x:c r="H12" s="14" t="str">
        <x:v>Weekly pigs not published</x:v>
      </x:c>
      <x:c r="I12" s="14" t="str">
        <x:v>910-892-7279</x:v>
      </x:c>
      <x:c r="J12" s="14" t="str">
        <x:v>No company website confirmed</x:v>
      </x:c>
      <x:c r="K12" s="14" t="str">
        <x:v>Current state directory lists pig slaughter and processing within the local operating area.</x:v>
      </x:c>
      <x:c r="L12" s="14" t="str">
        <x:v>What share of your slaughter is pigs? How many are in our live-weight range? Would you discuss a paid harvest area?</x:v>
      </x:c>
      <x:c r="M12" s="14" t="str">
        <x:v>4216 US 301 North, Dunn, NC 28334</x:v>
      </x:c>
      <x:c r="N12" s="14" t="str">
        <x:v>Swine listed in current state directory</x:v>
      </x:c>
      <x:c r="O12" s="14" t="str">
        <x:v>State; P-221</x:v>
      </x:c>
      <x:c r="P12" s="14" t="str">
        <x:v>Room rental and tissue-harvest experience not confirmed</x:v>
      </x:c>
      <x:c r="Q12" s="14" t="str">
        <x:v>Separate business from McLamb's in Benson. Volume and hosting are unknown.</x:v>
      </x:c>
      <x:c r="R12" s="14" t="str"/>
      <x:c r="S12" s="17" t="n">
        <x:v>48.036921080446234</x:v>
      </x:c>
      <x:c r="T12" s="14" t="str">
        <x:v>Census address match</x:v>
      </x:c>
      <x:c r="U12" s="14" t="str">
        <x:v>https://www.ncagr.gov/divisions/meat-poultry-inspection/wplants/download?attachment=</x:v>
      </x:c>
      <x:c r="V12" s="14" t="str"/>
      <x:c r="W12" s="19" t="n">
        <x:v>46293.5</x:v>
      </x:c>
      <x:c r="X12" s="14" t="str">
        <x:v>https://www.google.com/maps/dir/?api=1&amp;origin=101%20City%20Hall%20Plaza%2C%20Durham%2C%20NC%2027701&amp;destination=4216%20US%20301%20North%2C%20Dunn%2C%20NC%2028334&amp;travelmode=driving</x:v>
      </x:c>
      <x:c r="Y12" s="14" t="str">
        <x:v>https://geocoding.geo.census.gov/geocoder/locations/onelineaddress?address=4216+US+301+North%2C+Dunn%2C+NC+28334&amp;benchmark=Public_AR_Current&amp;format=json</x:v>
      </x:c>
      <x:c r="Z12" s="14" t="str">
        <x:v>https://router.project-osrm.org/route/v1/driving/-78.899684,35.996069;-78.574212,35.353057?overview=false</x:v>
      </x:c>
      <x:c r="AA12" s="14" t="str">
        <x:v>https://www.ncagr.gov/divisions/meat-poultry-inspection/wplants/download?attachment=</x:v>
      </x:c>
      <x:c r="AB12" s="14" t="str"/>
      <x:c r="AC12" s="14" t="str">
        <x:v>No validated social signal recorded in this edition. This is not evidence of inactivity.</x:v>
      </x:c>
      <x:c r="AD12" s="14" t="str"/>
      <x:c r="AE12" s="14" t="str"/>
    </x:row>
    <x:row r="13" ht="98" customHeight="1">
      <x:c r="A13" s="12" t="n">
        <x:v>6</x:v>
      </x:c>
      <x:c r="B13" s="11" t="str">
        <x:v>Key Packing Company</x:v>
      </x:c>
      <x:c r="C13" s="11" t="str">
        <x:v>New plant prospect</x:v>
      </x:c>
      <x:c r="D13" s="22" t="n">
        <x:v>2</x:v>
      </x:c>
      <x:c r="E13" s="11" t="str">
        <x:v>Robbins, NC</x:v>
      </x:c>
      <x:c r="F13" s="24" t="n">
        <x:v>69.72269446432833</x:v>
      </x:c>
      <x:c r="G13" s="11" t="str">
        <x:v>Within planning limit</x:v>
      </x:c>
      <x:c r="H13" s="11" t="str">
        <x:v>Weekly pigs not published</x:v>
      </x:c>
      <x:c r="I13" s="11" t="str">
        <x:v>910-464-3507</x:v>
      </x:c>
      <x:c r="J13" s="11" t="str">
        <x:v>No company website confirmed</x:v>
      </x:c>
      <x:c r="K13" s="11" t="str">
        <x:v>Current pig slaughter listing and a reachable local plant. Worth an early scale check.</x:v>
      </x:c>
      <x:c r="L13" s="11" t="str">
        <x:v>How many pigs do you kill on a typical week and on peak weeks? Can you support recurring tissue collection?</x:v>
      </x:c>
      <x:c r="M13" s="11" t="str">
        <x:v>596 Maness Road, Robbins, NC 27325</x:v>
      </x:c>
      <x:c r="N13" s="11" t="str">
        <x:v>Swine listed in current state directory</x:v>
      </x:c>
      <x:c r="O13" s="11" t="str">
        <x:v>State; P-48</x:v>
      </x:c>
      <x:c r="P13" s="11" t="str">
        <x:v>Room rental and tissue-harvest experience not confirmed</x:v>
      </x:c>
      <x:c r="Q13" s="11" t="str">
        <x:v>Multi-species plant. A current company-owned website was not confirmed.</x:v>
      </x:c>
      <x:c r="R13" s="11" t="str"/>
      <x:c r="S13" s="18" t="n">
        <x:v>52.88887432349344</x:v>
      </x:c>
      <x:c r="T13" s="11" t="str">
        <x:v>Census address match</x:v>
      </x:c>
      <x:c r="U13" s="11" t="str">
        <x:v>https://www.ncagr.gov/divisions/meat-poultry-inspection/wplants/download?attachment=</x:v>
      </x:c>
      <x:c r="V13" s="11" t="str"/>
      <x:c r="W13" s="20" t="n">
        <x:v>46293.5</x:v>
      </x:c>
      <x:c r="X13" s="11" t="str">
        <x:v>https://www.google.com/maps/dir/?api=1&amp;origin=101%20City%20Hall%20Plaza%2C%20Durham%2C%20NC%2027701&amp;destination=596%20Maness%20Road%2C%20Robbins%2C%20NC%2027325&amp;travelmode=driving</x:v>
      </x:c>
      <x:c r="Y13" s="11" t="str">
        <x:v>https://geocoding.geo.census.gov/geocoder/locations/onelineaddress?address=596+Maness+Road%2C+Robbins%2C+NC+27325&amp;benchmark=Public_AR_Current&amp;format=json</x:v>
      </x:c>
      <x:c r="Z13" s="11" t="str">
        <x:v>https://router.project-osrm.org/route/v1/driving/-78.899684,35.996069;-79.590723,35.475198?overview=false</x:v>
      </x:c>
      <x:c r="AA13" s="11" t="str">
        <x:v>https://www.ncagr.gov/divisions/meat-poultry-inspection/wplants/download?attachment=</x:v>
      </x:c>
      <x:c r="AB13" s="11" t="str"/>
      <x:c r="AC13" s="11" t="str">
        <x:v>No validated social signal recorded in this edition. This is not evidence of inactivity.</x:v>
      </x:c>
      <x:c r="AD13" s="11" t="str"/>
      <x:c r="AE13" s="11" t="str"/>
    </x:row>
    <x:row r="14" ht="98" customHeight="1">
      <x:c r="A14" s="13" t="n">
        <x:v>7</x:v>
      </x:c>
      <x:c r="B14" s="14" t="str">
        <x:v>Quaqua Creek Farm</x:v>
      </x:c>
      <x:c r="C14" s="14" t="str">
        <x:v>New plant prospect</x:v>
      </x:c>
      <x:c r="D14" s="21" t="n">
        <x:v>2</x:v>
      </x:c>
      <x:c r="E14" s="14" t="str">
        <x:v>Ruffin, NC</x:v>
      </x:c>
      <x:c r="F14" s="23" t="n">
        <x:v>67.20309641692515</x:v>
      </x:c>
      <x:c r="G14" s="14" t="str">
        <x:v>Within planning limit</x:v>
      </x:c>
      <x:c r="H14" s="14" t="str">
        <x:v>Weekly pigs not published</x:v>
      </x:c>
      <x:c r="I14" s="14" t="str">
        <x:v>336-939-2656</x:v>
      </x:c>
      <x:c r="J14" s="14" t="str">
        <x:v>No company website confirmed</x:v>
      </x:c>
      <x:c r="K14" s="14" t="str">
        <x:v>Additional local lead: current state directory lists slaughter including swine.</x:v>
      </x:c>
      <x:c r="L14" s="14" t="str">
        <x:v>Are you currently slaughtering pigs under the state grant? What weekly volume, live weights and room arrangements are possible?</x:v>
      </x:c>
      <x:c r="M14" s="14" t="str">
        <x:v>429 Estes Road, Ruffin, NC 27326</x:v>
      </x:c>
      <x:c r="N14" s="14" t="str">
        <x:v>Swine listed in current state directory</x:v>
      </x:c>
      <x:c r="O14" s="14" t="str">
        <x:v>State; P-375</x:v>
      </x:c>
      <x:c r="P14" s="14" t="str">
        <x:v>Room rental and tissue-harvest experience not confirmed</x:v>
      </x:c>
      <x:c r="Q14" s="14" t="str">
        <x:v>Limited public operating detail. Older directories described custom status; current listing is P-375.</x:v>
      </x:c>
      <x:c r="R14" s="14" t="str"/>
      <x:c r="S14" s="17" t="n">
        <x:v>48.35204925832898</x:v>
      </x:c>
      <x:c r="T14" s="14" t="str">
        <x:v>Census address match</x:v>
      </x:c>
      <x:c r="U14" s="14" t="str">
        <x:v>https://www.ncagr.gov/divisions/meat-poultry-inspection/wplants/download?attachment=</x:v>
      </x:c>
      <x:c r="V14" s="14" t="str"/>
      <x:c r="W14" s="19" t="n">
        <x:v>46293.5</x:v>
      </x:c>
      <x:c r="X14" s="14" t="str">
        <x:v>https://www.google.com/maps/dir/?api=1&amp;origin=101%20City%20Hall%20Plaza%2C%20Durham%2C%20NC%2027701&amp;destination=429%20Estes%20Road%2C%20Ruffin%2C%20NC%2027326&amp;travelmode=driving</x:v>
      </x:c>
      <x:c r="Y14" s="14" t="str">
        <x:v>https://geocoding.geo.census.gov/geocoder/locations/onelineaddress?address=429+Estes+Road%2C+Ruffin%2C+NC+27326&amp;benchmark=Public_AR_Current&amp;format=json</x:v>
      </x:c>
      <x:c r="Z14" s="14" t="str">
        <x:v>https://router.project-osrm.org/route/v1/driving/-78.899684,35.996069;-79.566669,36.443493?overview=false</x:v>
      </x:c>
      <x:c r="AA14" s="14" t="str">
        <x:v>https://www.ncagr.gov/divisions/meat-poultry-inspection/wplants/download?attachment=</x:v>
      </x:c>
      <x:c r="AB14" s="14" t="str"/>
      <x:c r="AC14" s="14" t="str">
        <x:v>No validated social signal recorded in this edition. This is not evidence of inactivity.</x:v>
      </x:c>
      <x:c r="AD14" s="14" t="str"/>
      <x:c r="AE14" s="14" t="str"/>
    </x:row>
    <x:row r="15" ht="98" customHeight="1">
      <x:c r="A15" s="12" t="n">
        <x:v>8</x:v>
      </x:c>
      <x:c r="B15" s="11" t="str">
        <x:v>Cool Springs Farm and Meat</x:v>
      </x:c>
      <x:c r="C15" s="11" t="str">
        <x:v>New plant prospect</x:v>
      </x:c>
      <x:c r="D15" s="22" t="n">
        <x:v>2</x:v>
      </x:c>
      <x:c r="E15" s="11" t="str">
        <x:v>Yadkinville, NC</x:v>
      </x:c>
      <x:c r="F15" s="24" t="n">
        <x:v>106.77114401892945</x:v>
      </x:c>
      <x:c r="G15" s="11" t="str">
        <x:v>Within planning limit</x:v>
      </x:c>
      <x:c r="H15" s="11" t="str">
        <x:v>Weekly pigs not published</x:v>
      </x:c>
      <x:c r="I15" s="11" t="str">
        <x:v>336-835-5377</x:v>
      </x:c>
      <x:c r="J15" s="11" t="str">
        <x:v>https://www.csmpfarmstore.com/</x:v>
      </x:c>
      <x:c r="K15" s="11" t="str">
        <x:v>Active custom processing business with a published hog slaughter service.</x:v>
      </x:c>
      <x:c r="L15" s="11" t="str">
        <x:v>How many hogs do you slaughter weekly? Is hog work inspected or custom-only, and can tissues be collected for our use?</x:v>
      </x:c>
      <x:c r="M15" s="11" t="str">
        <x:v>1041 Disher Road, Yadkinville, NC 27055</x:v>
      </x:c>
      <x:c r="N15" s="11" t="str">
        <x:v>Hog slaughter advertised; target live weights unconfirmed</x:v>
      </x:c>
      <x:c r="O15" s="11" t="str">
        <x:v>Federal through state program; TA-1041</x:v>
      </x:c>
      <x:c r="P15" s="11" t="str">
        <x:v>Room rental and tissue-harvest experience not confirmed</x:v>
      </x:c>
      <x:c r="Q15" s="11" t="str">
        <x:v>Longer crew trip. Hog service is advertised as custom; confirm the exact operating and specimen arrangements.</x:v>
      </x:c>
      <x:c r="R15" s="11" t="str"/>
      <x:c r="S15" s="18" t="n">
        <x:v>98.31805633055046</x:v>
      </x:c>
      <x:c r="T15" s="11" t="str">
        <x:v>Census address match</x:v>
      </x:c>
      <x:c r="U15" s="11" t="str">
        <x:v>https://www.csmpfarmstore.com/service-page/hog-slaughter-custom</x:v>
      </x:c>
      <x:c r="V15" s="11" t="str">
        <x:v>https://www.ncagr.gov/divisions/meat-poultry-inspection/wplants/download?attachment=</x:v>
      </x:c>
      <x:c r="W15" s="20" t="n">
        <x:v>46293.5</x:v>
      </x:c>
      <x:c r="X15" s="11" t="str">
        <x:v>https://www.google.com/maps/dir/?api=1&amp;origin=101%20City%20Hall%20Plaza%2C%20Durham%2C%20NC%2027701&amp;destination=1041%20Disher%20Road%2C%20Yadkinville%2C%20NC%2027055&amp;travelmode=driving</x:v>
      </x:c>
      <x:c r="Y15" s="11" t="str">
        <x:v>https://geocoding.geo.census.gov/geocoder/locations/onelineaddress?address=1041+Disher+Road%2C+Yadkinville%2C+NC+27055&amp;benchmark=Public_AR_Current&amp;format=json</x:v>
      </x:c>
      <x:c r="Z15" s="11" t="str">
        <x:v>https://router.project-osrm.org/route/v1/driving/-78.899684,35.996069;-80.655752,36.089566?overview=false</x:v>
      </x:c>
      <x:c r="AA15" s="11" t="str">
        <x:v>https://www.ncagr.gov/divisions/meat-poultry-inspection/wplants/download?attachment=</x:v>
      </x:c>
      <x:c r="AB15" s="11" t="str">
        <x:v>https://nextdoor.com/pages/cool-springs-meat-processing-elkin-nc/</x:v>
      </x:c>
      <x:c r="AC15" s="11" t="str">
        <x:v>1 signal(s) in Social Evidence. Business story advertises whole/half hogs and customized processing for families.</x:v>
      </x:c>
      <x:c r="AD15" s="11" t="str"/>
      <x:c r="AE15" s="11" t="str"/>
    </x:row>
    <x:row r="16" ht="98" customHeight="1">
      <x:c r="A16" s="13" t="n">
        <x:v>9</x:v>
      </x:c>
      <x:c r="B16" s="14" t="str">
        <x:v>Mitchell's Meat Processing</x:v>
      </x:c>
      <x:c r="C16" s="14" t="str">
        <x:v>New plant prospect</x:v>
      </x:c>
      <x:c r="D16" s="21" t="n">
        <x:v>2</x:v>
      </x:c>
      <x:c r="E16" s="14" t="str">
        <x:v>Walnut Cove, NC</x:v>
      </x:c>
      <x:c r="F16" s="23" t="n">
        <x:v>84.99413425594527</x:v>
      </x:c>
      <x:c r="G16" s="14" t="str">
        <x:v>Within planning limit</x:v>
      </x:c>
      <x:c r="H16" s="14" t="str">
        <x:v>Weekly pigs not published</x:v>
      </x:c>
      <x:c r="I16" s="14" t="str">
        <x:v>336-591-7420</x:v>
      </x:c>
      <x:c r="J16" s="14" t="str">
        <x:v>https://www.mitchellsmeatnc.com/</x:v>
      </x:c>
      <x:c r="K16" s="14" t="str">
        <x:v>Hog harvesting and custom work on company site; social profile supplies a matching preferred text contact.</x:v>
      </x:c>
      <x:c r="L16" s="14" t="str">
        <x:v>What is pig throughput, suitable live-weight availability and willingness to support a small tissue-collection pilot?</x:v>
      </x:c>
      <x:c r="M16" s="14" t="str">
        <x:v>401 Mitchell Street, Walnut Cove, NC 27052</x:v>
      </x:c>
      <x:c r="N16" s="14" t="str">
        <x:v>Hog harvesting confirmed on company website</x:v>
      </x:c>
      <x:c r="O16" s="14" t="str">
        <x:v>Federal through state program; TA-46822</x:v>
      </x:c>
      <x:c r="P16" s="14" t="str">
        <x:v>Room rental and tissue-harvest experience not confirmed</x:v>
      </x:c>
      <x:c r="Q16" s="14" t="str">
        <x:v>Current weekly pig throughput, suitable weights and space remain unconfirmed. Verify intact-block yield in a pilot.</x:v>
      </x:c>
      <x:c r="R16" s="14" t="str">
        <x:v>336-310-9538 (text preferred; office hours only)</x:v>
      </x:c>
      <x:c r="S16" s="17" t="n">
        <x:v>72.49979510609764</x:v>
      </x:c>
      <x:c r="T16" s="14" t="str">
        <x:v>Census address match</x:v>
      </x:c>
      <x:c r="U16" s="14" t="str">
        <x:v>https://www.mitchellsmeatnc.com/</x:v>
      </x:c>
      <x:c r="V16" s="14" t="str">
        <x:v>https://www.ncagr.gov/divisions/meat-poultry-inspection/wplants/download?attachment=</x:v>
      </x:c>
      <x:c r="W16" s="19" t="n">
        <x:v>46293.5</x:v>
      </x:c>
      <x:c r="X16" s="14" t="str">
        <x:v>https://www.google.com/maps/dir/?api=1&amp;origin=101%20City%20Hall%20Plaza%2C%20Durham%2C%20NC%2027701&amp;destination=401%20Mitchell%20Street%2C%20Walnut%20Cove%2C%20NC%2027052&amp;travelmode=driving</x:v>
      </x:c>
      <x:c r="Y16" s="14" t="str">
        <x:v>https://geocoding.geo.census.gov/geocoder/locations/onelineaddress?address=401+Mitchell+Street%2C+Walnut+Cove%2C+NC+27052&amp;benchmark=Public_AR_Current&amp;format=json</x:v>
      </x:c>
      <x:c r="Z16" s="14" t="str">
        <x:v>https://router.project-osrm.org/route/v1/driving/-78.899684,35.996069;-80.144862,36.296102?overview=false</x:v>
      </x:c>
      <x:c r="AA16" s="14" t="str">
        <x:v>https://www.ncagr.gov/divisions/meat-poultry-inspection/wplants/download?attachment=</x:v>
      </x:c>
      <x:c r="AB16" s="14" t="str">
        <x:v>https://www.instagram.com/mitchellsmeatnc/</x:v>
      </x:c>
      <x:c r="AC16" s="14" t="str">
        <x:v>2 signal(s) in Social Evidence. Publishes text as the preferred contact: 336-310-9538, plus office 336-591-7420 and data@mitchellsmeatnc.com.</x:v>
      </x:c>
      <x:c r="AD16" s="14" t="str"/>
      <x:c r="AE16" s="14" t="str"/>
    </x:row>
    <x:row r="17" ht="98" customHeight="1">
      <x:c r="A17" s="12" t="n">
        <x:v>10</x:v>
      </x:c>
      <x:c r="B17" s="11" t="str">
        <x:v>Schrock's Slaughter House</x:v>
      </x:c>
      <x:c r="C17" s="11" t="str">
        <x:v>New plant prospect</x:v>
      </x:c>
      <x:c r="D17" s="22" t="n">
        <x:v>2</x:v>
      </x:c>
      <x:c r="E17" s="11" t="str">
        <x:v>Gladys, VA</x:v>
      </x:c>
      <x:c r="F17" s="24" t="n">
        <x:v>95.40930963175057</x:v>
      </x:c>
      <x:c r="G17" s="11" t="str">
        <x:v>Within planning limit</x:v>
      </x:c>
      <x:c r="H17" s="11" t="str">
        <x:v>Weekly pigs not published</x:v>
      </x:c>
      <x:c r="I17" s="11" t="str">
        <x:v>434-283-5400</x:v>
      </x:c>
      <x:c r="J17" s="11" t="str">
        <x:v>https://schrockssh.com/</x:v>
      </x:c>
      <x:c r="K17" s="11" t="str">
        <x:v>Nearby Virginia alternative listed for hog slaughter; could add a separate operating area.</x:v>
      </x:c>
      <x:c r="L17" s="11" t="str">
        <x:v>Do you still slaughter pigs? Your site emphasizes beef. If yes, what weekly count, live weights and collection space are available?</x:v>
      </x:c>
      <x:c r="M17" s="11" t="str">
        <x:v>4141 Pigeon Run Road, Gladys, VA 24554</x:v>
      </x:c>
      <x:c r="N17" s="11" t="str">
        <x:v>Hogs in secondary directory; current operation must be confirmed</x:v>
      </x:c>
      <x:c r="O17" s="11" t="str">
        <x:v>Federal listing; M44217</x:v>
      </x:c>
      <x:c r="P17" s="11" t="str">
        <x:v>Room rental and tissue-harvest experience not confirmed</x:v>
      </x:c>
      <x:c r="Q17" s="11" t="str">
        <x:v>Hog activity requires direct confirmation. Published current website focuses on beef.</x:v>
      </x:c>
      <x:c r="R17" s="11" t="str">
        <x:v>434-884-0375</x:v>
      </x:c>
      <x:c r="S17" s="18" t="n">
        <x:v>81.31292604896112</x:v>
      </x:c>
      <x:c r="T17" s="11" t="str">
        <x:v>Census address match</x:v>
      </x:c>
      <x:c r="U17" s="11" t="str">
        <x:v>https://schrockssh.com/</x:v>
      </x:c>
      <x:c r="V17" s="11" t="str">
        <x:v>https://localmeat.org/processors/virginia/schrocks-slaughter-house-gladys-m44217</x:v>
      </x:c>
      <x:c r="W17" s="20" t="n">
        <x:v>46293.5</x:v>
      </x:c>
      <x:c r="X17" s="11" t="str">
        <x:v>https://www.google.com/maps/dir/?api=1&amp;origin=101%20City%20Hall%20Plaza%2C%20Durham%2C%20NC%2027701&amp;destination=4141%20Pigeon%20Run%20Road%2C%20Gladys%2C%20VA%2024554&amp;travelmode=driving</x:v>
      </x:c>
      <x:c r="Y17" s="11" t="str">
        <x:v>https://geocoding.geo.census.gov/geocoder/locations/onelineaddress?address=4141+Pigeon+Run+Road%2C+Gladys%2C+VA+24554&amp;benchmark=Public_AR_Current&amp;format=json</x:v>
      </x:c>
      <x:c r="Z17" s="11" t="str">
        <x:v>https://router.project-osrm.org/route/v1/driving/-78.899684,35.996069;-79.004417,37.169915?overview=false</x:v>
      </x:c>
      <x:c r="AA17" s="11" t="str">
        <x:v>https://localmeat.org/processors/virginia/schrocks-slaughter-house-gladys-m44217</x:v>
      </x:c>
      <x:c r="AB17" s="11" t="str"/>
      <x:c r="AC17" s="11" t="str">
        <x:v>No validated social signal recorded in this edition. This is not evidence of inactivity.</x:v>
      </x:c>
      <x:c r="AD17" s="11" t="str"/>
      <x:c r="AE17" s="11" t="str"/>
    </x:row>
    <x:row r="18" ht="98" customHeight="1">
      <x:c r="A18" s="13" t="n">
        <x:v>11</x:v>
      </x:c>
      <x:c r="B18" s="14" t="str">
        <x:v>Martin's Pork Products</x:v>
      </x:c>
      <x:c r="C18" s="14" t="str">
        <x:v>Existing supplier</x:v>
      </x:c>
      <x:c r="D18" s="21" t="n">
        <x:v>3</x:v>
      </x:c>
      <x:c r="E18" s="14" t="str">
        <x:v>Falcon, NC</x:v>
      </x:c>
      <x:c r="F18" s="23" t="n">
        <x:v>73.68642129961027</x:v>
      </x:c>
      <x:c r="G18" s="14" t="str">
        <x:v>Within planning limit</x:v>
      </x:c>
      <x:c r="H18" s="14" t="str">
        <x:v>Workbook reports 1,500–2,500/week; not reconfirmed</x:v>
      </x:c>
      <x:c r="I18" s="14" t="str">
        <x:v>910-980-1501</x:v>
      </x:c>
      <x:c r="J18" s="14" t="str">
        <x:v>No company website confirmed</x:v>
      </x:c>
      <x:c r="K18" s="14" t="str">
        <x:v>Your most important existing supplier. Benchmark accepted tissue yield and negotiate dependable access.</x:v>
      </x:c>
      <x:c r="L18" s="14" t="str">
        <x:v>Confirm actual weekly pig kills and suitable-weight share. Can we secure dedicated harvest days, space and escalation contacts?</x:v>
      </x:c>
      <x:c r="M18" s="14" t="str">
        <x:v>6657 King Street, Falcon, NC 28342</x:v>
      </x:c>
      <x:c r="N18" s="14" t="str">
        <x:v>Workbook: market hogs and boars; verify live weights</x:v>
      </x:c>
      <x:c r="O18" s="14" t="str">
        <x:v>Federal through state program; TA-6720</x:v>
      </x:c>
      <x:c r="P18" s="14" t="str">
        <x:v>Existing relationship; confirm current space and tissue agreement</x:v>
      </x:c>
      <x:c r="Q18" s="14" t="str">
        <x:v>Existing relationship, not a new independent supplier. Workbook volume figures conflict.</x:v>
      </x:c>
      <x:c r="R18" s="14" t="str"/>
      <x:c r="S18" s="17" t="n">
        <x:v>57.34987195920817</x:v>
      </x:c>
      <x:c r="T18" s="14" t="str">
        <x:v>Census address match (normalized address) — street alias: Godwin St; confirm entrance</x:v>
      </x:c>
      <x:c r="U18" s="14" t="str">
        <x:v>https://www.ncagr.gov/divisions/meat-poultry-inspection/wplants/download?attachment=</x:v>
      </x:c>
      <x:c r="V18" s="14" t="str"/>
      <x:c r="W18" s="19" t="n">
        <x:v>46293.5</x:v>
      </x:c>
      <x:c r="X18" s="14" t="str">
        <x:v>https://www.google.com/maps/dir/?api=1&amp;origin=101%20City%20Hall%20Plaza%2C%20Durham%2C%20NC%2027701&amp;destination=6657%20King%20Street%2C%20Falcon%2C%20NC%2028342&amp;travelmode=driving</x:v>
      </x:c>
      <x:c r="Y18" s="14" t="str">
        <x:v>https://geocoding.geo.census.gov/geocoder/locations/onelineaddress?address=6657+Godwin+Street%2C+Falcon%2C+NC&amp;benchmark=Public_AR_Current&amp;format=json</x:v>
      </x:c>
      <x:c r="Z18" s="14" t="str">
        <x:v>https://router.project-osrm.org/route/v1/driving/-78.899684,35.996069;-78.653881,35.190459?overview=false</x:v>
      </x:c>
      <x:c r="AA18" s="14" t="str">
        <x:v>https://www.ncagr.gov/divisions/meat-poultry-inspection/wplants/download?attachment=</x:v>
      </x:c>
      <x:c r="AB18" s="14" t="str"/>
      <x:c r="AC18" s="14" t="str">
        <x:v>No validated social signal recorded in this edition. This is not evidence of inactivity.</x:v>
      </x:c>
      <x:c r="AD18" s="14" t="str"/>
      <x:c r="AE18" s="14" t="str"/>
    </x:row>
    <x:row r="19" ht="98" customHeight="1">
      <x:c r="A19" s="12" t="n">
        <x:v>12</x:v>
      </x:c>
      <x:c r="B19" s="11" t="str">
        <x:v>Custom Quality Packers</x:v>
      </x:c>
      <x:c r="C19" s="11" t="str">
        <x:v>Existing supplier</x:v>
      </x:c>
      <x:c r="D19" s="22" t="n">
        <x:v>3</x:v>
      </x:c>
      <x:c r="E19" s="11" t="str">
        <x:v>Sims, NC</x:v>
      </x:c>
      <x:c r="F19" s="24" t="n">
        <x:v>59.83077576950608</x:v>
      </x:c>
      <x:c r="G19" s="11" t="str">
        <x:v>Within planning limit</x:v>
      </x:c>
      <x:c r="H19" s="11" t="str">
        <x:v>Workbook reports about 500/week in Aug 2026; unconfirmed</x:v>
      </x:c>
      <x:c r="I19" s="11" t="str">
        <x:v>252-235-3558</x:v>
      </x:c>
      <x:c r="J19" s="11" t="str">
        <x:v>https://www.deanstreetprocessing.com/</x:v>
      </x:c>
      <x:c r="K19" s="11" t="str">
        <x:v>Existing relationship offers a practical expansion discussion and overlap with the Flowers visit.</x:v>
      </x:c>
      <x:c r="L19" s="11" t="str">
        <x:v>Confirm weekly kills and target-weight pigs. Would a dedicated day or trained harvest crew increase reliable tissue supply?</x:v>
      </x:c>
      <x:c r="M19" s="11" t="str">
        <x:v>3571 Friday Road, Sims, NC 27880</x:v>
      </x:c>
      <x:c r="N19" s="11" t="str">
        <x:v>Workbook: market and roaster pigs; verify live weights</x:v>
      </x:c>
      <x:c r="O19" s="11" t="str">
        <x:v>Federal through state program; TA-20129</x:v>
      </x:c>
      <x:c r="P19" s="11" t="str">
        <x:v>Existing relationship; confirm current space and tissue agreement</x:v>
      </x:c>
      <x:c r="Q19" s="11" t="str">
        <x:v>Website is the related Dean Street business, not a separate slaughter prospect. Verify space constraints.</x:v>
      </x:c>
      <x:c r="R19" s="11" t="str"/>
      <x:c r="S19" s="18" t="n">
        <x:v>48.728410948565596</x:v>
      </x:c>
      <x:c r="T19" s="11" t="str">
        <x:v>Census address match</x:v>
      </x:c>
      <x:c r="U19" s="11" t="str">
        <x:v>https://deanstreetprocessing.com/about/</x:v>
      </x:c>
      <x:c r="V19" s="11" t="str">
        <x:v>https://www.ncagr.gov/divisions/meat-poultry-inspection/wplants/download?attachment=</x:v>
      </x:c>
      <x:c r="W19" s="20" t="n">
        <x:v>46293.5</x:v>
      </x:c>
      <x:c r="X19" s="11" t="str">
        <x:v>https://www.google.com/maps/dir/?api=1&amp;origin=101%20City%20Hall%20Plaza%2C%20Durham%2C%20NC%2027701&amp;destination=3571%20Friday%20Road%2C%20Sims%2C%20NC%2027880&amp;travelmode=driving</x:v>
      </x:c>
      <x:c r="Y19" s="11" t="str">
        <x:v>https://geocoding.geo.census.gov/geocoder/locations/onelineaddress?address=3571+Friday+Road%2C+Sims%2C+NC+27880&amp;benchmark=Public_AR_Current&amp;format=json</x:v>
      </x:c>
      <x:c r="Z19" s="11" t="str">
        <x:v>https://router.project-osrm.org/route/v1/driving/-78.899684,35.996069;-78.069227,35.784538?overview=false</x:v>
      </x:c>
      <x:c r="AA19" s="11" t="str">
        <x:v>https://www.ncagr.gov/divisions/meat-poultry-inspection/wplants/download?attachment=</x:v>
      </x:c>
      <x:c r="AB19" s="11" t="str"/>
      <x:c r="AC19" s="11" t="str">
        <x:v>No validated social signal recorded in this edition. This is not evidence of inactivity.</x:v>
      </x:c>
      <x:c r="AD19" s="11" t="str"/>
      <x:c r="AE19" s="11" t="str"/>
    </x:row>
    <x:row r="20" ht="98" customHeight="1">
      <x:c r="A20" s="13" t="n">
        <x:v>13</x:v>
      </x:c>
      <x:c r="B20" s="14" t="str">
        <x:v>Nahunta Slaughter House / Pork Center</x:v>
      </x:c>
      <x:c r="C20" s="14" t="str">
        <x:v>Existing supplier</x:v>
      </x:c>
      <x:c r="D20" s="21" t="n">
        <x:v>3</x:v>
      </x:c>
      <x:c r="E20" s="14" t="str">
        <x:v>Pikeville, NC</x:v>
      </x:c>
      <x:c r="F20" s="23" t="n">
        <x:v>72.05718603356398</x:v>
      </x:c>
      <x:c r="G20" s="14" t="str">
        <x:v>Within planning limit</x:v>
      </x:c>
      <x:c r="H20" s="14" t="str">
        <x:v>Workbook: 500+/week in mid-2010s; current volume unknown</x:v>
      </x:c>
      <x:c r="I20" s="14" t="str">
        <x:v>919-242-4735</x:v>
      </x:c>
      <x:c r="J20" s="14" t="str">
        <x:v>https://www.nahuntapork.com/</x:v>
      </x:c>
      <x:c r="K20" s="14" t="str">
        <x:v>Known supplier with a published specimen-permit page. Explore more reliable collection slots.</x:v>
      </x:c>
      <x:c r="L20" s="14" t="str">
        <x:v>What is current weekly kill volume and suitable-pig supply? Can we reserve recurring space and collection times?</x:v>
      </x:c>
      <x:c r="M20" s="14" t="str">
        <x:v>200 Bertie Pierce Road, Pikeville, NC 27863</x:v>
      </x:c>
      <x:c r="N20" s="14" t="str">
        <x:v>Swine slaughter confirmed; target live weights unconfirmed</x:v>
      </x:c>
      <x:c r="O20" s="14" t="str">
        <x:v>State slaughter; P-80A</x:v>
      </x:c>
      <x:c r="P20" s="14" t="str">
        <x:v>Existing relationship; confirm current space and tissue agreement</x:v>
      </x:c>
      <x:c r="Q20" s="14" t="str">
        <x:v>Workbook's 500+ pigs/week figure is historical. Confirm slaughter entity and current scheduling.</x:v>
      </x:c>
      <x:c r="R20" s="14" t="str"/>
      <x:c r="S20" s="17" t="n">
        <x:v>56.862944749769724</x:v>
      </x:c>
      <x:c r="T20" s="14" t="str">
        <x:v>Census address match</x:v>
      </x:c>
      <x:c r="U20" s="14" t="str">
        <x:v>https://www.nahuntapork.com/specimen-permits1</x:v>
      </x:c>
      <x:c r="V20" s="14" t="str">
        <x:v>https://www.ncagr.gov/divisions/meat-poultry-inspection/wplants/download?attachment=</x:v>
      </x:c>
      <x:c r="W20" s="19" t="n">
        <x:v>46293.5</x:v>
      </x:c>
      <x:c r="X20" s="14" t="str">
        <x:v>https://www.google.com/maps/dir/?api=1&amp;origin=101%20City%20Hall%20Plaza%2C%20Durham%2C%20NC%2027701&amp;destination=200%20Bertie%20Pierce%20Road%2C%20Pikeville%2C%20NC%2027863&amp;travelmode=driving</x:v>
      </x:c>
      <x:c r="Y20" s="14" t="str">
        <x:v>https://geocoding.geo.census.gov/geocoder/locations/onelineaddress?address=200+Bertie+Pierce+Road%2C+Pikeville%2C+NC+27863&amp;benchmark=Public_AR_Current&amp;format=json</x:v>
      </x:c>
      <x:c r="Z20" s="14" t="str">
        <x:v>https://router.project-osrm.org/route/v1/driving/-78.899684,35.996069;-78.082994,35.508186?overview=false</x:v>
      </x:c>
      <x:c r="AA20" s="14" t="str">
        <x:v>https://www.ncagr.gov/divisions/meat-poultry-inspection/wplants/download?attachment=</x:v>
      </x:c>
      <x:c r="AB20" s="14" t="str"/>
      <x:c r="AC20" s="14" t="str">
        <x:v>No validated social signal recorded in this edition. This is not evidence of inactivity.</x:v>
      </x:c>
      <x:c r="AD20" s="14" t="str"/>
      <x:c r="AE20" s="14" t="str"/>
    </x:row>
    <x:row r="21" ht="98" customHeight="1">
      <x:c r="A21" s="12" t="n">
        <x:v>14</x:v>
      </x:c>
      <x:c r="B21" s="11" t="str">
        <x:v>Parks Family Meats</x:v>
      </x:c>
      <x:c r="C21" s="11" t="str">
        <x:v>Existing supplier</x:v>
      </x:c>
      <x:c r="D21" s="22" t="n">
        <x:v>3</x:v>
      </x:c>
      <x:c r="E21" s="11" t="str">
        <x:v>Warsaw, NC</x:v>
      </x:c>
      <x:c r="F21" s="24" t="n">
        <x:v>97.35836465044142</x:v>
      </x:c>
      <x:c r="G21" s="11" t="str">
        <x:v>Within planning limit</x:v>
      </x:c>
      <x:c r="H21" s="11" t="str">
        <x:v>Current weekly pigs unconfirmed</x:v>
      </x:c>
      <x:c r="I21" s="11" t="str">
        <x:v>910-293-4614</x:v>
      </x:c>
      <x:c r="J21" s="11" t="str">
        <x:v>https://parkslivestock.com/</x:v>
      </x:c>
      <x:c r="K21" s="11" t="str">
        <x:v>Existing supplier. Test additional harvest access and the amount of suitable pigs available.</x:v>
      </x:c>
      <x:c r="L21" s="11" t="str">
        <x:v>What is weekly pig throughput and the number in our live-weight range? Can we improve space, scheduling or supplier-run harvesting?</x:v>
      </x:c>
      <x:c r="M21" s="11" t="str">
        <x:v>1618 Highway 24 50, Warsaw, NC 28398</x:v>
      </x:c>
      <x:c r="N21" s="11" t="str">
        <x:v>Swine slaughter listed; target live weights unconfirmed</x:v>
      </x:c>
      <x:c r="O21" s="11" t="str">
        <x:v>Federal through state program; TA-18296A</x:v>
      </x:c>
      <x:c r="P21" s="11" t="str">
        <x:v>Existing relationship; confirm current space and tissue agreement</x:v>
      </x:c>
      <x:c r="Q21" s="11" t="str">
        <x:v>Existing relationship, not a new independent supplier. Website is parent company.</x:v>
      </x:c>
      <x:c r="R21" s="11" t="str">
        <x:v>910-290-0075 (workbook contact)</x:v>
      </x:c>
      <x:c r="S21" s="18" t="n">
        <x:v>83.48656128124655</x:v>
      </x:c>
      <x:c r="T21" s="11" t="str">
        <x:v>Esri address match</x:v>
      </x:c>
      <x:c r="U21" s="11" t="str">
        <x:v>https://parkslivestock.com/services/harvest-processing/</x:v>
      </x:c>
      <x:c r="V21" s="11" t="str">
        <x:v>https://www.ncagr.gov/divisions/meat-poultry-inspection/wplants/download?attachment=</x:v>
      </x:c>
      <x:c r="W21" s="20" t="n">
        <x:v>46293.5</x:v>
      </x:c>
      <x:c r="X21" s="11" t="str">
        <x:v>https://www.google.com/maps/dir/?api=1&amp;origin=101%20City%20Hall%20Plaza%2C%20Durham%2C%20NC%2027701&amp;destination=1618%20Highway%2024%2050%2C%20Warsaw%2C%20NC%2028398&amp;travelmode=driving</x:v>
      </x:c>
      <x:c r="Y21" s="11" t="str">
        <x:v>https://geocode.arcgis.com/arcgis/rest/services/World/GeocodeServer/findAddressCandidates?SingleLine=1618+Highway+24+50%2C+Warsaw%2C+NC+28398&amp;f=json&amp;outFields=Match_addr%2CAddr_type&amp;maxLocations=2</x:v>
      </x:c>
      <x:c r="Z21" s="11" t="str">
        <x:v>https://router.project-osrm.org/route/v1/driving/-78.899684,35.996069;-78.063898,34.997550?overview=false</x:v>
      </x:c>
      <x:c r="AA21" s="11" t="str">
        <x:v>https://www.ncagr.gov/divisions/meat-poultry-inspection/wplants/download?attachment=</x:v>
      </x:c>
      <x:c r="AB21" s="11" t="str"/>
      <x:c r="AC21" s="11" t="str">
        <x:v>No validated social signal recorded in this edition. This is not evidence of inactivity.</x:v>
      </x:c>
      <x:c r="AD21" s="11" t="str"/>
      <x:c r="AE21" s="11" t="str"/>
    </x:row>
    <x:row r="22" ht="98" customHeight="1">
      <x:c r="A22" s="13" t="n">
        <x:v>15</x:v>
      </x:c>
      <x:c r="B22" s="14" t="str">
        <x:v>Villari / The Pork Company</x:v>
      </x:c>
      <x:c r="C22" s="14" t="str">
        <x:v>Existing supplier</x:v>
      </x:c>
      <x:c r="D22" s="21" t="n">
        <x:v>3</x:v>
      </x:c>
      <x:c r="E22" s="14" t="str">
        <x:v>Warsaw, NC</x:v>
      </x:c>
      <x:c r="F22" s="23" t="n">
        <x:v>96.42773701582756</x:v>
      </x:c>
      <x:c r="G22" s="14" t="str">
        <x:v>Within planning limit</x:v>
      </x:c>
      <x:c r="H22" s="14" t="str">
        <x:v>Current weekly pigs unconfirmed</x:v>
      </x:c>
      <x:c r="I22" s="14" t="str">
        <x:v>910-293-2157</x:v>
      </x:c>
      <x:c r="J22" s="14" t="str">
        <x:v>https://www.villarifood.com/</x:v>
      </x:c>
      <x:c r="K22" s="14" t="str">
        <x:v>Existing supplier with an established pork operation. Explore a specific collection agreement.</x:v>
      </x:c>
      <x:c r="L22" s="14" t="str">
        <x:v>Can you reserve suitable-weight pigs, intact tissue blocks and a consistent collection window? Who can approve workspace?</x:v>
      </x:c>
      <x:c r="M22" s="14" t="str">
        <x:v>892 Penny Branch Road, Warsaw, NC 28398</x:v>
      </x:c>
      <x:c r="N22" s="14" t="str">
        <x:v>Swine slaughter listed; target live weights unconfirmed</x:v>
      </x:c>
      <x:c r="O22" s="14" t="str">
        <x:v>Federal; M20608</x:v>
      </x:c>
      <x:c r="P22" s="14" t="str">
        <x:v>Existing relationship; confirm current space and tissue agreement</x:v>
      </x:c>
      <x:c r="Q22" s="14" t="str">
        <x:v>Use the Penny Branch slaughter location, not another Villari warehouse or office.</x:v>
      </x:c>
      <x:c r="R22" s="14" t="str"/>
      <x:c r="S22" s="17" t="n">
        <x:v>81.15656870045446</x:v>
      </x:c>
      <x:c r="T22" s="14" t="str">
        <x:v>Census address match</x:v>
      </x:c>
      <x:c r="U22" s="14" t="str">
        <x:v>https://www.ams.usda.gov/sites/default/files/media/LSOfficialListingNeverFedBetaAgonistsProgram.pdf</x:v>
      </x:c>
      <x:c r="V22" s="14" t="str">
        <x:v>https://www.villarifood.com/about/our-story/</x:v>
      </x:c>
      <x:c r="W22" s="19" t="n">
        <x:v>46293.5</x:v>
      </x:c>
      <x:c r="X22" s="14" t="str">
        <x:v>https://www.google.com/maps/dir/?api=1&amp;origin=101%20City%20Hall%20Plaza%2C%20Durham%2C%20NC%2027701&amp;destination=892%20Penny%20Branch%20Road%2C%20Warsaw%2C%20NC%2028398&amp;travelmode=driving</x:v>
      </x:c>
      <x:c r="Y22" s="14" t="str">
        <x:v>https://geocoding.geo.census.gov/geocoder/locations/onelineaddress?address=892+Penny+Branch+Road%2C+Warsaw%2C+NC+28398&amp;benchmark=Public_AR_Current&amp;format=json</x:v>
      </x:c>
      <x:c r="Z22" s="14" t="str">
        <x:v>https://router.project-osrm.org/route/v1/driving/-78.899684,35.996069;-78.122584,35.006391?overview=false</x:v>
      </x:c>
      <x:c r="AA22" s="14" t="str"/>
      <x:c r="AB22" s="14" t="str"/>
      <x:c r="AC22" s="14" t="str">
        <x:v>No validated social signal recorded in this edition. This is not evidence of inactivity.</x:v>
      </x:c>
      <x:c r="AD22" s="14" t="str"/>
      <x:c r="AE22" s="14" t="str"/>
    </x:row>
    <x:row r="23" ht="98" customHeight="1">
      <x:c r="A23" s="12" t="n">
        <x:v>16</x:v>
      </x:c>
      <x:c r="B23" s="11" t="str">
        <x:v>Bass Farms</x:v>
      </x:c>
      <x:c r="C23" s="11" t="str">
        <x:v>New plant prospect</x:v>
      </x:c>
      <x:c r="D23" s="22" t="n">
        <x:v>4</x:v>
      </x:c>
      <x:c r="E23" s="11" t="str">
        <x:v>Spring Hope, NC</x:v>
      </x:c>
      <x:c r="F23" s="24" t="n">
        <x:v>61.01827825499085</x:v>
      </x:c>
      <x:c r="G23" s="11" t="str">
        <x:v>Within planning limit</x:v>
      </x:c>
      <x:c r="H23" s="11" t="str">
        <x:v>Weekly pigs not published</x:v>
      </x:c>
      <x:c r="I23" s="11" t="str">
        <x:v>252-478-4147</x:v>
      </x:c>
      <x:c r="J23" s="11" t="str">
        <x:v>https://bassfarmsausage.com/</x:v>
      </x:c>
      <x:c r="K23" s="11" t="str">
        <x:v>Local swine slaughter listing. Worth a brief animal-fit call before investing in a visit.</x:v>
      </x:c>
      <x:c r="L23" s="11" t="str">
        <x:v>Can you supply 140–220 lb live-weight pigs? What is current weekly slaughter and can you accommodate tissue recovery?</x:v>
      </x:c>
      <x:c r="M23" s="11" t="str">
        <x:v>6685 Highway 64 Alternate, Spring Hope, NC 27882</x:v>
      </x:c>
      <x:c r="N23" s="11" t="str">
        <x:v>Workbook: sow-only; confirm target-weight availability</x:v>
      </x:c>
      <x:c r="O23" s="11" t="str">
        <x:v>Federal through state program; TA-3521</x:v>
      </x:c>
      <x:c r="P23" s="11" t="str">
        <x:v>Room rental and tissue-harvest experience not confirmed</x:v>
      </x:c>
      <x:c r="Q23" s="11" t="str">
        <x:v>Workbook describes sow-only slaughter. Animal-size mismatch may disqualify.</x:v>
      </x:c>
      <x:c r="R23" s="11" t="str"/>
      <x:c r="S23" s="18" t="n">
        <x:v>45.8248076203723</x:v>
      </x:c>
      <x:c r="T23" s="11" t="str">
        <x:v>Company-linked Google Maps plant pin</x:v>
      </x:c>
      <x:c r="U23" s="11" t="str">
        <x:v>https://bassfarmsausage.com/contact-bass-farm-sausage/</x:v>
      </x:c>
      <x:c r="V23" s="11" t="str">
        <x:v>https://www.ncagr.gov/divisions/meat-poultry-inspection/wplants/download?attachment=</x:v>
      </x:c>
      <x:c r="W23" s="20" t="n">
        <x:v>46293.5</x:v>
      </x:c>
      <x:c r="X23" s="11" t="str">
        <x:v>https://www.google.com/maps/dir/?api=1&amp;origin=101%20City%20Hall%20Plaza%2C%20Durham%2C%20NC%2027701&amp;destination=6685%20Highway%2064%20Alternate%2C%20Spring%20Hope%2C%20NC%2027882&amp;travelmode=driving</x:v>
      </x:c>
      <x:c r="Y23" s="11" t="str">
        <x:v>https://goo.gl/maps/z2N6FxNVa5x</x:v>
      </x:c>
      <x:c r="Z23" s="11" t="str">
        <x:v>https://router.project-osrm.org/route/v1/driving/-78.899684,35.996069;-78.081674,35.955457?overview=false</x:v>
      </x:c>
      <x:c r="AA23" s="11" t="str">
        <x:v>https://www.ncagr.gov/divisions/meat-poultry-inspection/wplants/download?attachment=</x:v>
      </x:c>
      <x:c r="AB23" s="11" t="str"/>
      <x:c r="AC23" s="11" t="str">
        <x:v>No validated social signal recorded in this edition. This is not evidence of inactivity.</x:v>
      </x:c>
      <x:c r="AD23" s="11" t="str"/>
      <x:c r="AE23" s="11" t="str"/>
    </x:row>
    <x:row r="24" ht="98" customHeight="1">
      <x:c r="A24" s="13" t="n">
        <x:v>17</x:v>
      </x:c>
      <x:c r="B24" s="14" t="str">
        <x:v>Select Meats</x:v>
      </x:c>
      <x:c r="C24" s="14" t="str">
        <x:v>New plant prospect</x:v>
      </x:c>
      <x:c r="D24" s="21" t="n">
        <x:v>4</x:v>
      </x:c>
      <x:c r="E24" s="14" t="str">
        <x:v>Kannapolis, NC</x:v>
      </x:c>
      <x:c r="F24" s="23" t="n">
        <x:v>114.4866479758212</x:v>
      </x:c>
      <x:c r="G24" s="14" t="str">
        <x:v>Near limit: verify base</x:v>
      </x:c>
      <x:c r="H24" s="14" t="str">
        <x:v>Weekly pigs not published</x:v>
      </x:c>
      <x:c r="I24" s="14" t="str">
        <x:v>704-933-7550</x:v>
      </x:c>
      <x:c r="J24" s="14" t="str">
        <x:v>No company website confirmed</x:v>
      </x:c>
      <x:c r="K24" s="14" t="str">
        <x:v>Market-hog lead in the workbook. Test volume and whether the trip meets your limit.</x:v>
      </x:c>
      <x:c r="L24" s="14" t="str">
        <x:v>What are weekly pig kills, target-weight availability and possibilities for a harvest station? Confirm plant entrance for routing.</x:v>
      </x:c>
      <x:c r="M24" s="14" t="str">
        <x:v>203 East 29th Street, Kannapolis, NC 28081</x:v>
      </x:c>
      <x:c r="N24" s="14" t="str">
        <x:v>Workbook: market hogs; current state directory includes swine</x:v>
      </x:c>
      <x:c r="O24" s="14" t="str">
        <x:v>Federal through state program; TA-10757</x:v>
      </x:c>
      <x:c r="P24" s="14" t="str">
        <x:v>Room rental and tissue-harvest experience not confirmed</x:v>
      </x:c>
      <x:c r="Q24" s="14" t="str">
        <x:v>Near the distance boundary. Check your actual Durham starting point before a visit.</x:v>
      </x:c>
      <x:c r="R24" s="14" t="str">
        <x:v>704-202-9340 (workbook alternate)</x:v>
      </x:c>
      <x:c r="S24" s="17" t="n">
        <x:v>101.23457410318274</x:v>
      </x:c>
      <x:c r="T24" s="14" t="str">
        <x:v>Census address match</x:v>
      </x:c>
      <x:c r="U24" s="14" t="str">
        <x:v>https://www.ncagr.gov/divisions/meat-poultry-inspection/wplants/download?attachment=</x:v>
      </x:c>
      <x:c r="V24" s="14" t="str"/>
      <x:c r="W24" s="19" t="n">
        <x:v>46293.5</x:v>
      </x:c>
      <x:c r="X24" s="14" t="str">
        <x:v>https://www.google.com/maps/dir/?api=1&amp;origin=101%20City%20Hall%20Plaza%2C%20Durham%2C%20NC%2027701&amp;destination=203%20East%2029th%20Street%2C%20Kannapolis%2C%20NC%2028081&amp;travelmode=driving</x:v>
      </x:c>
      <x:c r="Y24" s="14" t="str">
        <x:v>https://geocoding.geo.census.gov/geocoder/locations/onelineaddress?address=203+East+29th+Street%2C+Kannapolis%2C+NC+28081&amp;benchmark=Public_AR_Current&amp;format=json</x:v>
      </x:c>
      <x:c r="Z24" s="14" t="str">
        <x:v>https://router.project-osrm.org/route/v1/driving/-78.899684,35.996069;-80.611766,35.530424?overview=false</x:v>
      </x:c>
      <x:c r="AA24" s="14" t="str">
        <x:v>https://www.ncagr.gov/divisions/meat-poultry-inspection/wplants/download?attachment=</x:v>
      </x:c>
      <x:c r="AB24" s="14" t="str"/>
      <x:c r="AC24" s="14" t="str">
        <x:v>No validated social signal recorded in this edition. This is not evidence of inactivity.</x:v>
      </x:c>
      <x:c r="AD24" s="14" t="str"/>
      <x:c r="AE24" s="14" t="str"/>
    </x:row>
    <x:row r="25" ht="98" customHeight="1">
      <x:c r="A25" s="12" t="n">
        <x:v>18</x:v>
      </x:c>
      <x:c r="B25" s="11" t="str">
        <x:v>Cruse Meat Processing</x:v>
      </x:c>
      <x:c r="C25" s="11" t="str">
        <x:v>New plant prospect</x:v>
      </x:c>
      <x:c r="D25" s="22" t="n">
        <x:v>4</x:v>
      </x:c>
      <x:c r="E25" s="11" t="str">
        <x:v>Concord, NC</x:v>
      </x:c>
      <x:c r="F25" s="24" t="n">
        <x:v>119.63607532013044</x:v>
      </x:c>
      <x:c r="G25" s="11" t="str">
        <x:v>Near limit: verify base</x:v>
      </x:c>
      <x:c r="H25" s="11" t="str">
        <x:v>Weekly pigs not published</x:v>
      </x:c>
      <x:c r="I25" s="11" t="str">
        <x:v>704-786-8616</x:v>
      </x:c>
      <x:c r="J25" s="11" t="str">
        <x:v>No company website confirmed</x:v>
      </x:c>
      <x:c r="K25" s="11" t="str">
        <x:v>Current swine slaughter listing. Potential smaller backup if primary candidates cannot supply.</x:v>
      </x:c>
      <x:c r="L25" s="11" t="str">
        <x:v>How many pigs do you process each week and can you reserve whole organ blocks before cutting?</x:v>
      </x:c>
      <x:c r="M25" s="11" t="str">
        <x:v>4701 Rimer Road, Concord, NC 28025</x:v>
      </x:c>
      <x:c r="N25" s="11" t="str">
        <x:v>Workbook: market hogs; current state directory includes swine</x:v>
      </x:c>
      <x:c r="O25" s="11" t="str">
        <x:v>Federal through state program; TA-46354</x:v>
      </x:c>
      <x:c r="P25" s="11" t="str">
        <x:v>Room rental and tissue-harvest experience not confirmed</x:v>
      </x:c>
      <x:c r="Q25" s="11" t="str">
        <x:v>Workbook indicates low historical activity. Route to the Rimer Road plant, not central Concord.</x:v>
      </x:c>
      <x:c r="R25" s="11" t="str"/>
      <x:c r="S25" s="18" t="n">
        <x:v>95.59607390627988</x:v>
      </x:c>
      <x:c r="T25" s="11" t="str">
        <x:v>Census address match</x:v>
      </x:c>
      <x:c r="U25" s="11" t="str">
        <x:v>https://www.ncagr.gov/divisions/meat-poultry-inspection/wplants/download?attachment=</x:v>
      </x:c>
      <x:c r="V25" s="11" t="str"/>
      <x:c r="W25" s="20" t="n">
        <x:v>46293.5</x:v>
      </x:c>
      <x:c r="X25" s="11" t="str">
        <x:v>https://www.google.com/maps/dir/?api=1&amp;origin=101%20City%20Hall%20Plaza%2C%20Durham%2C%20NC%2027701&amp;destination=4701%20Rimer%20Road%2C%20Concord%2C%20NC%2028025&amp;travelmode=driving</x:v>
      </x:c>
      <x:c r="Y25" s="11" t="str">
        <x:v>https://geocoding.geo.census.gov/geocoder/locations/onelineaddress?address=4701+Rimer+Road%2C+Concord%2C+NC+28025&amp;benchmark=Public_AR_Current&amp;format=json</x:v>
      </x:c>
      <x:c r="Z25" s="11" t="str">
        <x:v>https://router.project-osrm.org/route/v1/driving/-78.899684,35.996069;-80.481125,35.479747?overview=false</x:v>
      </x:c>
      <x:c r="AA25" s="11" t="str">
        <x:v>https://www.ncagr.gov/divisions/meat-poultry-inspection/wplants/download?attachment=</x:v>
      </x:c>
      <x:c r="AB25" s="11" t="str"/>
      <x:c r="AC25" s="11" t="str">
        <x:v>No validated social signal recorded in this edition. This is not evidence of inactivity.</x:v>
      </x:c>
      <x:c r="AD25" s="11" t="str"/>
      <x:c r="AE25" s="11" t="str"/>
    </x:row>
    <x:row r="26" ht="98" customHeight="1">
      <x:c r="A26" s="13" t="n">
        <x:v>19</x:v>
      </x:c>
      <x:c r="B26" s="14" t="str">
        <x:v>Larry's Sausage Company</x:v>
      </x:c>
      <x:c r="C26" s="14" t="str">
        <x:v>New plant prospect</x:v>
      </x:c>
      <x:c r="D26" s="21" t="n">
        <x:v>4</x:v>
      </x:c>
      <x:c r="E26" s="14" t="str">
        <x:v>Fayetteville, NC</x:v>
      </x:c>
      <x:c r="F26" s="23" t="n">
        <x:v>86.56931022826691</x:v>
      </x:c>
      <x:c r="G26" s="14" t="str">
        <x:v>Within planning limit</x:v>
      </x:c>
      <x:c r="H26" s="14" t="str">
        <x:v>Weekly pigs not published</x:v>
      </x:c>
      <x:c r="I26" s="14" t="str">
        <x:v>910-483-5148</x:v>
      </x:c>
      <x:c r="J26" s="14" t="str">
        <x:v>https://larryssausage.com/</x:v>
      </x:c>
      <x:c r="K26" s="14" t="str">
        <x:v>Local swine slaughter business. A short call can settle whether its animal mix fits.</x:v>
      </x:c>
      <x:c r="L26" s="14" t="str">
        <x:v>Do you handle 140–220 lb live-weight pigs, or only larger sows? If suitable pigs are available, what weekly volume and harvest options exist?</x:v>
      </x:c>
      <x:c r="M26" s="14" t="str">
        <x:v>1624 Middle River Loop Road, Fayetteville, NC 28312</x:v>
      </x:c>
      <x:c r="N26" s="14" t="str">
        <x:v>Workbook: sow-only; current target-weight availability unconfirmed</x:v>
      </x:c>
      <x:c r="O26" s="14" t="str">
        <x:v>Federal through state program; TA-8305</x:v>
      </x:c>
      <x:c r="P26" s="14" t="str">
        <x:v>Room rental and tissue-harvest experience not confirmed</x:v>
      </x:c>
      <x:c r="Q26" s="14" t="str">
        <x:v>Workbook describes sow-only slaughter. Do not schedule a visit until animal-size fit is established.</x:v>
      </x:c>
      <x:c r="R26" s="14" t="str"/>
      <x:c r="S26" s="17" t="n">
        <x:v>64.710769660391</x:v>
      </x:c>
      <x:c r="T26" s="14" t="str">
        <x:v>Census address match</x:v>
      </x:c>
      <x:c r="U26" s="14" t="str">
        <x:v>https://larryssausage.com/</x:v>
      </x:c>
      <x:c r="V26" s="14" t="str">
        <x:v>https://www.ncagr.gov/divisions/meat-poultry-inspection/wplants/download?attachment=</x:v>
      </x:c>
      <x:c r="W26" s="19" t="n">
        <x:v>46293.5</x:v>
      </x:c>
      <x:c r="X26" s="14" t="str">
        <x:v>https://www.google.com/maps/dir/?api=1&amp;origin=101%20City%20Hall%20Plaza%2C%20Durham%2C%20NC%2027701&amp;destination=1624%20Middle%20River%20Loop%20Road%2C%20Fayetteville%2C%20NC%2028312&amp;travelmode=driving</x:v>
      </x:c>
      <x:c r="Y26" s="14" t="str">
        <x:v>https://geocoding.geo.census.gov/geocoder/locations/onelineaddress?address=1624+Middle+River+Loop+Road%2C+Fayetteville%2C+NC+28312&amp;benchmark=Public_AR_Current&amp;format=json</x:v>
      </x:c>
      <x:c r="Z26" s="14" t="str">
        <x:v>https://router.project-osrm.org/route/v1/driving/-78.899684,35.996069;-78.848092,35.060441?overview=false</x:v>
      </x:c>
      <x:c r="AA26" s="14" t="str">
        <x:v>https://www.ncagr.gov/divisions/meat-poultry-inspection/wplants/download?attachment=</x:v>
      </x:c>
      <x:c r="AB26" s="14" t="str"/>
      <x:c r="AC26" s="14" t="str">
        <x:v>No validated social signal recorded in this edition. This is not evidence of inactivity.</x:v>
      </x:c>
      <x:c r="AD26" s="14" t="str"/>
      <x:c r="AE26" s="14" t="str"/>
    </x:row>
    <x:row r="27" ht="98" customHeight="1">
      <x:c r="A27" s="12" t="n">
        <x:v>20</x:v>
      </x:c>
      <x:c r="B27" s="11" t="str">
        <x:v>Neese Country Sausage, Burlington plant</x:v>
      </x:c>
      <x:c r="C27" s="11" t="str">
        <x:v>New plant prospect</x:v>
      </x:c>
      <x:c r="D27" s="22" t="n">
        <x:v>4</x:v>
      </x:c>
      <x:c r="E27" s="11" t="str">
        <x:v>Burlington, NC</x:v>
      </x:c>
      <x:c r="F27" s="24" t="n">
        <x:v>33.31332518094329</x:v>
      </x:c>
      <x:c r="G27" s="11" t="str">
        <x:v>Within planning limit</x:v>
      </x:c>
      <x:c r="H27" s="11" t="str">
        <x:v>Weekly pigs not published</x:v>
      </x:c>
      <x:c r="I27" s="11" t="str">
        <x:v>336-227-0211</x:v>
      </x:c>
      <x:c r="J27" s="11" t="str">
        <x:v>https://neesesausage.com/</x:v>
      </x:c>
      <x:c r="K27" s="11" t="str">
        <x:v>Very close slaughter listing connected to a pork business. Useful quick qualification call.</x:v>
      </x:c>
      <x:c r="L27" s="11" t="str">
        <x:v>Does the Anthony Road site currently slaughter pigs? If so, how many weekly and at what live weights?</x:v>
      </x:c>
      <x:c r="M27" s="11" t="str">
        <x:v>1177 Anthony Road, Burlington, NC 27215</x:v>
      </x:c>
      <x:c r="N27" s="11" t="str">
        <x:v>Confirm current hog slaughter before treating as eligible</x:v>
      </x:c>
      <x:c r="O27" s="11" t="str">
        <x:v>Federal slaughter listing; species needs confirmation</x:v>
      </x:c>
      <x:c r="P27" s="11" t="str">
        <x:v>Room rental and tissue-harvest experience not confirmed</x:v>
      </x:c>
      <x:c r="Q27" s="11" t="str">
        <x:v>Current pig slaughter and animal class are not established by the sources reviewed. Corporate office is in Greensboro.</x:v>
      </x:c>
      <x:c r="R27" s="11" t="str">
        <x:v>336-275-9548 (company association listing)</x:v>
      </x:c>
      <x:c r="S27" s="18" t="n">
        <x:v>30.3361605735185</x:v>
      </x:c>
      <x:c r="T27" s="11" t="str">
        <x:v>Census address match</x:v>
      </x:c>
      <x:c r="U27" s="11" t="str">
        <x:v>https://openagriculturetechnology.com/resources/processors/nc/neese-country-sausage-inc-alamance-county-nc/</x:v>
      </x:c>
      <x:c r="V27" s="11" t="str">
        <x:v>https://www.ncmpa.com/processor-members/</x:v>
      </x:c>
      <x:c r="W27" s="20" t="n">
        <x:v>46293.5</x:v>
      </x:c>
      <x:c r="X27" s="11" t="str">
        <x:v>https://www.google.com/maps/dir/?api=1&amp;origin=101%20City%20Hall%20Plaza%2C%20Durham%2C%20NC%2027701&amp;destination=1177%20Anthony%20Road%2C%20Burlington%2C%20NC%2027215&amp;travelmode=driving</x:v>
      </x:c>
      <x:c r="Y27" s="11" t="str">
        <x:v>https://geocoding.geo.census.gov/geocoder/locations/onelineaddress?address=1177+Anthony+Road%2C+Burlington%2C+NC+27215&amp;benchmark=Public_AR_Current&amp;format=json</x:v>
      </x:c>
      <x:c r="Z27" s="11" t="str">
        <x:v>https://router.project-osrm.org/route/v1/driving/-78.899684,35.996069;-79.437103,36.058273?overview=false</x:v>
      </x:c>
      <x:c r="AA27" s="11" t="str">
        <x:v>https://openagriculturetechnology.com/resources/processors/nc/neese-country-sausage-inc-alamance-county-nc/</x:v>
      </x:c>
      <x:c r="AB27" s="11" t="str"/>
      <x:c r="AC27" s="11" t="str">
        <x:v>No validated social signal recorded in this edition. This is not evidence of inactivity.</x:v>
      </x:c>
      <x:c r="AD27" s="11" t="str"/>
      <x:c r="AE27" s="11" t="str"/>
    </x:row>
    <x:row r="28" ht="98" customHeight="1">
      <x:c r="A28" s="13" t="n">
        <x:v>21</x:v>
      </x:c>
      <x:c r="B28" s="14" t="str">
        <x:v>AAA Abattoir</x:v>
      </x:c>
      <x:c r="C28" s="14" t="str">
        <x:v>New plant prospect</x:v>
      </x:c>
      <x:c r="D28" s="21" t="n">
        <x:v>5</x:v>
      </x:c>
      <x:c r="E28" s="14" t="str">
        <x:v>Graham, NC</x:v>
      </x:c>
      <x:c r="F28" s="23" t="n">
        <x:v>31.966875944484208</x:v>
      </x:c>
      <x:c r="G28" s="14" t="str">
        <x:v>Within planning limit</x:v>
      </x:c>
      <x:c r="H28" s="14" t="str">
        <x:v>Weekly pigs not published</x:v>
      </x:c>
      <x:c r="I28" s="14" t="str">
        <x:v>717-405-8137</x:v>
      </x:c>
      <x:c r="J28" s="14" t="str">
        <x:v>No company website confirmed</x:v>
      </x:c>
      <x:c r="K28" s="14" t="str">
        <x:v>Very local directory-listed swine slaughter. Possible small pilot or referral source.</x:v>
      </x:c>
      <x:c r="L28" s="14" t="str">
        <x:v>Do you slaughter domestic pigs regularly, at what weekly volume, and can your operation supply tissue for our intended use?</x:v>
      </x:c>
      <x:c r="M28" s="14" t="str">
        <x:v>2301 Austin Quarter Road, Graham, NC 27253</x:v>
      </x:c>
      <x:c r="N28" s="14" t="str">
        <x:v>Swine listed in current state directory</x:v>
      </x:c>
      <x:c r="O28" s="14" t="str">
        <x:v>Custom-only listing</x:v>
      </x:c>
      <x:c r="P28" s="14" t="str">
        <x:v>Room rental and tissue-harvest experience not confirmed</x:v>
      </x:c>
      <x:c r="Q28" s="14" t="str">
        <x:v>Custom-only. Specimen supply arrangements must be established before procurement; room and scale unknown.</x:v>
      </x:c>
      <x:c r="R28" s="14" t="str"/>
      <x:c r="S28" s="17" t="n">
        <x:v>22.870929762610977</x:v>
      </x:c>
      <x:c r="T28" s="14" t="str">
        <x:v>Census address match</x:v>
      </x:c>
      <x:c r="U28" s="14" t="str">
        <x:v>https://www.ncagr.gov/divisions/meat-poultry-inspection/wplants/download?attachment=</x:v>
      </x:c>
      <x:c r="V28" s="14" t="str"/>
      <x:c r="W28" s="19" t="n">
        <x:v>46293.5</x:v>
      </x:c>
      <x:c r="X28" s="14" t="str">
        <x:v>https://www.google.com/maps/dir/?api=1&amp;origin=101%20City%20Hall%20Plaza%2C%20Durham%2C%20NC%2027701&amp;destination=2301%20Austin%20Quarter%20Road%2C%20Graham%2C%20NC%2027253&amp;travelmode=driving</x:v>
      </x:c>
      <x:c r="Y28" s="14" t="str">
        <x:v>https://geocoding.geo.census.gov/geocoder/locations/onelineaddress?address=2301+Austin+Quarter+Road%2C+Graham%2C+NC+27253&amp;benchmark=Public_AR_Current&amp;format=json</x:v>
      </x:c>
      <x:c r="Z28" s="14" t="str">
        <x:v>https://router.project-osrm.org/route/v1/driving/-78.899684,35.996069;-79.304370,35.948055?overview=false</x:v>
      </x:c>
      <x:c r="AA28" s="14" t="str">
        <x:v>https://www.ncagr.gov/divisions/meat-poultry-inspection/wplants/download?attachment=</x:v>
      </x:c>
      <x:c r="AB28" s="14" t="str"/>
      <x:c r="AC28" s="14" t="str">
        <x:v>No validated social signal recorded in this edition. This is not evidence of inactivity.</x:v>
      </x:c>
      <x:c r="AD28" s="14" t="str"/>
      <x:c r="AE28" s="14" t="str"/>
    </x:row>
    <x:row r="29" ht="98" customHeight="1">
      <x:c r="A29" s="12" t="n">
        <x:v>22</x:v>
      </x:c>
      <x:c r="B29" s="11" t="str">
        <x:v>Coletown</x:v>
      </x:c>
      <x:c r="C29" s="11" t="str">
        <x:v>New plant prospect</x:v>
      </x:c>
      <x:c r="D29" s="22" t="n">
        <x:v>5</x:v>
      </x:c>
      <x:c r="E29" s="11" t="str">
        <x:v>Lexington, NC</x:v>
      </x:c>
      <x:c r="F29" s="24" t="n">
        <x:v>90.41752415891195</x:v>
      </x:c>
      <x:c r="G29" s="11" t="str">
        <x:v>Within planning limit</x:v>
      </x:c>
      <x:c r="H29" s="11" t="str">
        <x:v>Weekly pigs not published</x:v>
      </x:c>
      <x:c r="I29" s="11" t="str">
        <x:v>336-596-0826</x:v>
      </x:c>
      <x:c r="J29" s="11" t="str">
        <x:v>https://www.coletowndeerprocessing.com/</x:v>
      </x:c>
      <x:c r="K29" s="11" t="str">
        <x:v>Current website offers beef and pork processing. Secondary candidate for controlled small batches.</x:v>
      </x:c>
      <x:c r="L29" s="11" t="str">
        <x:v>Do you slaughter domestic pigs year-round, how many per week, and could you accommodate tissue harvesting?</x:v>
      </x:c>
      <x:c r="M29" s="11" t="str">
        <x:v>4611 NC Highway 47, Lexington, NC 27292</x:v>
      </x:c>
      <x:c r="N29" s="11" t="str">
        <x:v>Swine listed; website offers beef and pork processing</x:v>
      </x:c>
      <x:c r="O29" s="11" t="str">
        <x:v>Custom-only listing</x:v>
      </x:c>
      <x:c r="P29" s="11" t="str">
        <x:v>Room rental and tissue-harvest experience not confirmed</x:v>
      </x:c>
      <x:c r="Q29" s="11" t="str">
        <x:v>Custom-only and deer-season workload. Tissue supply suitability and workspace unconfirmed.</x:v>
      </x:c>
      <x:c r="R29" s="11" t="str"/>
      <x:c r="S29" s="18" t="n">
        <x:v>74.99250042287866</x:v>
      </x:c>
      <x:c r="T29" s="11" t="str">
        <x:v>Census address match</x:v>
      </x:c>
      <x:c r="U29" s="11" t="str">
        <x:v>https://www.coletowndeerprocessing.com/</x:v>
      </x:c>
      <x:c r="V29" s="11" t="str">
        <x:v>https://www.ncagr.gov/divisions/meat-poultry-inspection/wplants/download?attachment=</x:v>
      </x:c>
      <x:c r="W29" s="20" t="n">
        <x:v>46293.5</x:v>
      </x:c>
      <x:c r="X29" s="11" t="str">
        <x:v>https://www.google.com/maps/dir/?api=1&amp;origin=101%20City%20Hall%20Plaza%2C%20Durham%2C%20NC%2027701&amp;destination=4611%20NC%20Highway%2047%2C%20Lexington%2C%20NC%2027292&amp;travelmode=driving</x:v>
      </x:c>
      <x:c r="Y29" s="11" t="str">
        <x:v>https://geocoding.geo.census.gov/geocoder/locations/onelineaddress?address=4611+NC+Highway+47%2C+Lexington%2C+NC+27292&amp;benchmark=Public_AR_Current&amp;format=json</x:v>
      </x:c>
      <x:c r="Z29" s="11" t="str">
        <x:v>https://router.project-osrm.org/route/v1/driving/-78.899684,35.996069;-80.196243,35.724230?overview=false</x:v>
      </x:c>
      <x:c r="AA29" s="11" t="str">
        <x:v>https://www.ncagr.gov/divisions/meat-poultry-inspection/wplants/download?attachment=</x:v>
      </x:c>
      <x:c r="AB29" s="11" t="str">
        <x:v>https://www.facebook.com/coletown-deer-processing-103814394366421/</x:v>
      </x:c>
      <x:c r="AC29" s="11" t="str">
        <x:v>1 signal(s) in Social Evidence. Lists pork alongside beef, small ruminants and game processing.</x:v>
      </x:c>
      <x:c r="AD29" s="11" t="str"/>
      <x:c r="AE29" s="11" t="str"/>
    </x:row>
    <x:row r="30" ht="98" customHeight="1">
      <x:c r="A30" s="13" t="n">
        <x:v>23</x:v>
      </x:c>
      <x:c r="B30" s="14" t="str">
        <x:v>Homestead Custom Meat Processing</x:v>
      </x:c>
      <x:c r="C30" s="14" t="str">
        <x:v>New plant prospect</x:v>
      </x:c>
      <x:c r="D30" s="21" t="n">
        <x:v>5</x:v>
      </x:c>
      <x:c r="E30" s="14" t="str">
        <x:v>Archdale, NC</x:v>
      </x:c>
      <x:c r="F30" s="23" t="n">
        <x:v>70.42782649327926</x:v>
      </x:c>
      <x:c r="G30" s="14" t="str">
        <x:v>Within planning limit</x:v>
      </x:c>
      <x:c r="H30" s="14" t="str">
        <x:v>Weekly pigs not published</x:v>
      </x:c>
      <x:c r="I30" s="14" t="str">
        <x:v>336-689-6232</x:v>
      </x:c>
      <x:c r="J30" s="14" t="str">
        <x:v>https://www.facebook.com/p/Homestead-Custom-Meat-Processing-100076254697818/</x:v>
      </x:c>
      <x:c r="K30" s="14" t="str">
        <x:v>Social posts and state listing support pig processing; consider only a mobile pilot or referral.</x:v>
      </x:c>
      <x:c r="L30" s="14" t="str">
        <x:v>Is this a mobile service or fixed plant? How many domestic pigs can you handle weekly, and is tissue recovery feasible?</x:v>
      </x:c>
      <x:c r="M30" s="14" t="str">
        <x:v>6192 Muddy Creek Road, Archdale, NC 27263</x:v>
      </x:c>
      <x:c r="N30" s="14" t="str">
        <x:v>Swine listed; mirrored March 2026 example was 440 lb live, above target. Ask for suitable pigs.</x:v>
      </x:c>
      <x:c r="O30" s="14" t="str">
        <x:v>Custom-only listing</x:v>
      </x:c>
      <x:c r="P30" s="14" t="str">
        <x:v>Room rental and tissue-harvest experience not confirmed</x:v>
      </x:c>
      <x:c r="Q30" s="14" t="str">
        <x:v>Mobile service. Business-base distance does not establish collection-site distance. No fixed room offer; suitable pig count unknown.</x:v>
      </x:c>
      <x:c r="R30" s="14" t="str"/>
      <x:c r="S30" s="17" t="n">
        <x:v>56.12711630619734</x:v>
      </x:c>
      <x:c r="T30" s="14" t="str">
        <x:v>Census address match</x:v>
      </x:c>
      <x:c r="U30" s="14" t="str">
        <x:v>https://www.findglocal.com/US/Archdale/106758341737041/Homestead-Custom-Meat-Processing</x:v>
      </x:c>
      <x:c r="V30" s="14" t="str">
        <x:v>https://www.ncagr.gov/divisions/meat-poultry-inspection/wplants/download?attachment=</x:v>
      </x:c>
      <x:c r="W30" s="19" t="n">
        <x:v>46293.5</x:v>
      </x:c>
      <x:c r="X30" s="14" t="str">
        <x:v>https://www.google.com/maps/dir/?api=1&amp;origin=101%20City%20Hall%20Plaza%2C%20Durham%2C%20NC%2027701&amp;destination=6192%20Muddy%20Creek%20Road%2C%20Archdale%2C%20NC%2027263&amp;travelmode=driving</x:v>
      </x:c>
      <x:c r="Y30" s="14" t="str">
        <x:v>https://geocoding.geo.census.gov/geocoder/locations/onelineaddress?address=6192+Muddy+Creek+Road%2C+Archdale%2C+NC+27263&amp;benchmark=Public_AR_Current&amp;format=json</x:v>
      </x:c>
      <x:c r="Z30" s="14" t="str">
        <x:v>https://router.project-osrm.org/route/v1/driving/-78.899684,35.996069;-79.894478,35.890006?overview=false</x:v>
      </x:c>
      <x:c r="AA30" s="14" t="str">
        <x:v>https://www.ncagr.gov/divisions/meat-poultry-inspection/wplants/download?attachment=</x:v>
      </x:c>
      <x:c r="AB30" s="14" t="str">
        <x:v>https://www.facebook.com/p/Homestead-Custom-Meat-Processing-100076254697818/</x:v>
      </x:c>
      <x:c r="AC30" s="14" t="str">
        <x:v>2 signal(s) in Social Evidence. Describes a mobile service that travels to customers' farms.</x:v>
      </x:c>
      <x:c r="AD30" s="14" t="str"/>
      <x:c r="AE30" s="14" t="str"/>
    </x:row>
    <x:row r="31" ht="98" customHeight="1">
      <x:c r="A31" s="12" t="n">
        <x:v>24</x:v>
      </x:c>
      <x:c r="B31" s="11" t="str">
        <x:v>Miller Meat Processing</x:v>
      </x:c>
      <x:c r="C31" s="11" t="str">
        <x:v>New plant prospect</x:v>
      </x:c>
      <x:c r="D31" s="22" t="n">
        <x:v>5</x:v>
      </x:c>
      <x:c r="E31" s="11" t="str">
        <x:v>Seaboard, NC</x:v>
      </x:c>
      <x:c r="F31" s="24" t="n">
        <x:v>103.45376749781278</x:v>
      </x:c>
      <x:c r="G31" s="11" t="str">
        <x:v>Within planning limit</x:v>
      </x:c>
      <x:c r="H31" s="11" t="str">
        <x:v>Weekly pigs not published</x:v>
      </x:c>
      <x:c r="I31" s="11" t="str">
        <x:v>252-589-0004</x:v>
      </x:c>
      <x:c r="J31" s="11" t="str">
        <x:v>No company website confirmed</x:v>
      </x:c>
      <x:c r="K31" s="11" t="str">
        <x:v>Additional directory-listed swine slaughter operator. Explore only if closer leads leave gaps.</x:v>
      </x:c>
      <x:c r="L31" s="11" t="str">
        <x:v>Do you regularly slaughter domestic pigs? What weekly volume, weight range and collection arrangements are possible?</x:v>
      </x:c>
      <x:c r="M31" s="11" t="str">
        <x:v>2381 Big Johns Store Road, Seaboard, NC 27876</x:v>
      </x:c>
      <x:c r="N31" s="11" t="str">
        <x:v>Swine listed in current state directory</x:v>
      </x:c>
      <x:c r="O31" s="11" t="str">
        <x:v>Custom-only listing</x:v>
      </x:c>
      <x:c r="P31" s="11" t="str">
        <x:v>Room rental and tissue-harvest experience not confirmed</x:v>
      </x:c>
      <x:c r="Q31" s="11" t="str">
        <x:v>Custom-only and longer trip. Do not infer regular domestic hog throughput from a game-processing listing.</x:v>
      </x:c>
      <x:c r="R31" s="11" t="str"/>
      <x:c r="S31" s="18" t="n">
        <x:v>89.85804425406907</x:v>
      </x:c>
      <x:c r="T31" s="11" t="str">
        <x:v>Census address match</x:v>
      </x:c>
      <x:c r="U31" s="11" t="str">
        <x:v>https://www.ncagr.gov/divisions/meat-poultry-inspection/wplants/download?attachment=</x:v>
      </x:c>
      <x:c r="V31" s="11" t="str"/>
      <x:c r="W31" s="20" t="n">
        <x:v>46293.5</x:v>
      </x:c>
      <x:c r="X31" s="11" t="str">
        <x:v>https://www.google.com/maps/dir/?api=1&amp;origin=101%20City%20Hall%20Plaza%2C%20Durham%2C%20NC%2027701&amp;destination=2381%20Big%20Johns%20Store%20Road%2C%20Seaboard%2C%20NC%2027876&amp;travelmode=driving</x:v>
      </x:c>
      <x:c r="Y31" s="11" t="str">
        <x:v>https://geocoding.geo.census.gov/geocoder/locations/onelineaddress?address=2381+Big+Johns+Store+Road%2C+Seaboard%2C+NC+27876&amp;benchmark=Public_AR_Current&amp;format=json</x:v>
      </x:c>
      <x:c r="Z31" s="11" t="str">
        <x:v>https://router.project-osrm.org/route/v1/driving/-78.899684,35.996069;-77.433003,36.537385?overview=false</x:v>
      </x:c>
      <x:c r="AA31" s="11" t="str">
        <x:v>https://www.ncagr.gov/divisions/meat-poultry-inspection/wplants/download?attachment=</x:v>
      </x:c>
      <x:c r="AB31" s="11" t="str"/>
      <x:c r="AC31" s="11" t="str">
        <x:v>No validated social signal recorded in this edition. This is not evidence of inactivity.</x:v>
      </x:c>
      <x:c r="AD31" s="11" t="str"/>
      <x:c r="AE31" s="11" t="str"/>
    </x:row>
    <x:row r="32" ht="98" customHeight="1">
      <x:c r="A32" s="13" t="n">
        <x:v>25</x:v>
      </x:c>
      <x:c r="B32" s="14" t="str">
        <x:v>Smithfield Fresh Meats, Clinton plant</x:v>
      </x:c>
      <x:c r="C32" s="14" t="str">
        <x:v>New plant prospect</x:v>
      </x:c>
      <x:c r="D32" s="21" t="n">
        <x:v>5</x:v>
      </x:c>
      <x:c r="E32" s="14" t="str">
        <x:v>Clinton, NC</x:v>
      </x:c>
      <x:c r="F32" s="23" t="n">
        <x:v>88.86683021156445</x:v>
      </x:c>
      <x:c r="G32" s="14" t="str">
        <x:v>Within planning limit</x:v>
      </x:c>
      <x:c r="H32" s="14" t="str">
        <x:v>Large industrial plant; actual weekly pigs not verified</x:v>
      </x:c>
      <x:c r="I32" s="14" t="str">
        <x:v>910-592-2104</x:v>
      </x:c>
      <x:c r="J32" s="14" t="str">
        <x:v>https://www.smithfieldfoods.com/</x:v>
      </x:c>
      <x:c r="K32" s="14" t="str">
        <x:v>Large local pork plant. Explore a dedicated tissue channel if smaller plants cannot provide supply.</x:v>
      </x:c>
      <x:c r="L32" s="14" t="str">
        <x:v>Can the Clinton plant supply tissue through a biomedical or by-products agreement? Can it segregate our target-weight pigs?</x:v>
      </x:c>
      <x:c r="M32" s="14" t="str">
        <x:v>424 East Railroad Street, Clinton, NC 28328</x:v>
      </x:c>
      <x:c r="N32" s="14" t="str">
        <x:v>Commercial hog plant; 140–220 lb live-weight availability unconfirmed</x:v>
      </x:c>
      <x:c r="O32" s="14" t="str">
        <x:v>Federal; M413</x:v>
      </x:c>
      <x:c r="P32" s="14" t="str">
        <x:v>Room rental and tissue-harvest experience not confirmed</x:v>
      </x:c>
      <x:c r="Q32" s="14" t="str">
        <x:v>Industrial scale is outside the preferred plant profile. Local room access and target-weight fit are unconfirmed.</x:v>
      </x:c>
      <x:c r="R32" s="14" t="str"/>
      <x:c r="S32" s="17" t="n">
        <x:v>76.71971443873406</x:v>
      </x:c>
      <x:c r="T32" s="14" t="str">
        <x:v>Census address match</x:v>
      </x:c>
      <x:c r="U32" s="14" t="str">
        <x:v>https://www.fsis.usda.gov/inspection/fsis-inspected-establishments/smithfield-fresh-meats-corp.-2</x:v>
      </x:c>
      <x:c r="V32" s="14" t="str">
        <x:v>https://localmeat.org/processors/north-carolina/smithfield-fresh-meats-corp-clinton-m413</x:v>
      </x:c>
      <x:c r="W32" s="19" t="n">
        <x:v>46293.5</x:v>
      </x:c>
      <x:c r="X32" s="14" t="str">
        <x:v>https://www.google.com/maps/dir/?api=1&amp;origin=101%20City%20Hall%20Plaza%2C%20Durham%2C%20NC%2027701&amp;destination=424%20East%20Railroad%20Street%2C%20Clinton%2C%20NC%2028328&amp;travelmode=driving</x:v>
      </x:c>
      <x:c r="Y32" s="14" t="str">
        <x:v>https://geocoding.geo.census.gov/geocoder/locations/onelineaddress?address=424+East+Railroad+Street%2C+Clinton%2C+NC+28328&amp;benchmark=Public_AR_Current&amp;format=json</x:v>
      </x:c>
      <x:c r="Z32" s="14" t="str">
        <x:v>https://router.project-osrm.org/route/v1/driving/-78.899684,35.996069;-78.311065,34.994426?overview=false</x:v>
      </x:c>
      <x:c r="AA32" s="14" t="str">
        <x:v>https://www.fsis.usda.gov/inspection/fsis-inspected-establishments/smithfield-fresh-meats-corp.-2</x:v>
      </x:c>
      <x:c r="AB32" s="14" t="str"/>
      <x:c r="AC32" s="14" t="str">
        <x:v>No validated social signal recorded in this edition. This is not evidence of inactivity.</x:v>
      </x:c>
      <x:c r="AD32" s="14" t="str"/>
      <x:c r="AE32" s="14" t="str"/>
    </x:row>
    <x:row r="33" ht="98" customHeight="1">
      <x:c r="A33" s="12" t="n">
        <x:v>26</x:v>
      </x:c>
      <x:c r="B33" s="11" t="str">
        <x:v>Firsthand Foods</x:v>
      </x:c>
      <x:c r="C33" s="11" t="str">
        <x:v>Sourcing / referral business</x:v>
      </x:c>
      <x:c r="D33" s="22" t="n">
        <x:v>6</x:v>
      </x:c>
      <x:c r="E33" s="11" t="str">
        <x:v>Durham, NC</x:v>
      </x:c>
      <x:c r="F33" s="24" t="n">
        <x:v>1.9397344508072853</x:v>
      </x:c>
      <x:c r="G33" s="11" t="str">
        <x:v>Within planning limit</x:v>
      </x:c>
      <x:c r="H33" s="11" t="str">
        <x:v>Not applicable; ask for supplying plant's weekly pig kills</x:v>
      </x:c>
      <x:c r="I33" s="11" t="str">
        <x:v>919-599-0804</x:v>
      </x:c>
      <x:c r="J33" s="11" t="str">
        <x:v>https://firsthandfoods.com/</x:v>
      </x:c>
      <x:c r="K33" s="11" t="str">
        <x:v>Local coordinator of livestock producers and processors. Can help identify who controls tissue rights and appointments.</x:v>
      </x:c>
      <x:c r="L33" s="11" t="str">
        <x:v>Which pig slaughter plants in our radius could support intact tissue recovery? Could you arrange an introduction and an organ agreement?</x:v>
      </x:c>
      <x:c r="M33" s="11" t="str">
        <x:v>2210 East Pettigrew Street, Durham, NC 27703</x:v>
      </x:c>
      <x:c r="N33" s="11" t="str">
        <x:v>Pork supply network; slaughter performed by partner plants</x:v>
      </x:c>
      <x:c r="O33" s="11" t="str">
        <x:v>Food hub; not a slaughterhouse</x:v>
      </x:c>
      <x:c r="P33" s="11" t="str">
        <x:v>Not a verified slaughter-site offer</x:v>
      </x:c>
      <x:c r="Q33" s="11" t="str">
        <x:v>Office/warehouse distance does not establish the distance to its supplying slaughter plants.</x:v>
      </x:c>
      <x:c r="R33" s="11" t="str"/>
      <x:c r="S33" s="18" t="n">
        <x:v>1.6875334791074554</x:v>
      </x:c>
      <x:c r="T33" s="11" t="str">
        <x:v>Census address match — contact address, not a verified kill site</x:v>
      </x:c>
      <x:c r="U33" s="11" t="str">
        <x:v>https://firsthandfoods.com/contact-us/</x:v>
      </x:c>
      <x:c r="V33" s="11" t="str">
        <x:v>https://firsthandfoods.com/our-products/pork/</x:v>
      </x:c>
      <x:c r="W33" s="20" t="n">
        <x:v>46293.5</x:v>
      </x:c>
      <x:c r="X33" s="11" t="str">
        <x:v>https://www.google.com/maps/dir/?api=1&amp;origin=101%20City%20Hall%20Plaza%2C%20Durham%2C%20NC%2027701&amp;destination=2210%20East%20Pettigrew%20Street%2C%20Durham%2C%20NC%2027703&amp;travelmode=driving</x:v>
      </x:c>
      <x:c r="Y33" s="11" t="str">
        <x:v>https://geocoding.geo.census.gov/geocoder/locations/onelineaddress?address=2210+East+Pettigrew+Street%2C+Durham%2C+NC+27703&amp;benchmark=Public_AR_Current&amp;format=json</x:v>
      </x:c>
      <x:c r="Z33" s="11" t="str">
        <x:v>https://router.project-osrm.org/route/v1/driving/-78.899684,35.996069;-78.878062,35.979026?overview=false</x:v>
      </x:c>
      <x:c r="AA33" s="11" t="str"/>
      <x:c r="AB33" s="11" t="str"/>
      <x:c r="AC33" s="11" t="str">
        <x:v>No validated social signal recorded in this edition. This is not evidence of inactivity.</x:v>
      </x:c>
      <x:c r="AD33" s="11" t="str"/>
      <x:c r="AE33" s="11" t="str"/>
    </x:row>
    <x:row r="34" ht="98" customHeight="1">
      <x:c r="A34" s="13" t="n">
        <x:v>27</x:v>
      </x:c>
      <x:c r="B34" s="14" t="str">
        <x:v>Heritage Farms Cheshire Pork</x:v>
      </x:c>
      <x:c r="C34" s="14" t="str">
        <x:v>Sourcing / referral business</x:v>
      </x:c>
      <x:c r="D34" s="21" t="n">
        <x:v>6</x:v>
      </x:c>
      <x:c r="E34" s="14" t="str">
        <x:v>Goldsboro, NC</x:v>
      </x:c>
      <x:c r="F34" s="23" t="n">
        <x:v>86.36438200906704</x:v>
      </x:c>
      <x:c r="G34" s="14" t="str">
        <x:v>Within planning limit</x:v>
      </x:c>
      <x:c r="H34" s="14" t="str">
        <x:v>Not applicable at contact site; partner plant volume unknown</x:v>
      </x:c>
      <x:c r="I34" s="14" t="str">
        <x:v>919-222-9496</x:v>
      </x:c>
      <x:c r="J34" s="14" t="str">
        <x:v>https://www.cheshirepork.com/</x:v>
      </x:c>
      <x:c r="K34" s="14" t="str">
        <x:v>Established pork supplier could coordinate suitable pigs and introduce its processor.</x:v>
      </x:c>
      <x:c r="L34" s="14" t="str">
        <x:v>Which slaughter plant handles your pigs? Is it inside our radius, and can organs or intact blocks be reserved at slaughter?</x:v>
      </x:c>
      <x:c r="M34" s="14" t="str">
        <x:v>340 Dollard Town Road, Goldsboro, NC 27534</x:v>
      </x:c>
      <x:c r="N34" s="14" t="str">
        <x:v>Pork supplier; target live weights unconfirmed</x:v>
      </x:c>
      <x:c r="O34" s="14" t="str">
        <x:v>Pork brand / producer network; kill site unconfirmed</x:v>
      </x:c>
      <x:c r="P34" s="14" t="str">
        <x:v>Not a verified slaughter-site offer</x:v>
      </x:c>
      <x:c r="Q34" s="14" t="str">
        <x:v>The Goldsboro contact address is not verified as a slaughter site. Ask about ownership links to existing suppliers.</x:v>
      </x:c>
      <x:c r="R34" s="14" t="str">
        <x:v>919-587-8227</x:v>
      </x:c>
      <x:c r="S34" s="17" t="n">
        <x:v>72.34292299837503</x:v>
      </x:c>
      <x:c r="T34" s="14" t="str">
        <x:v>Census address match — contact address, not a verified kill site</x:v>
      </x:c>
      <x:c r="U34" s="14" t="str">
        <x:v>https://www.cheshirepork.com/contact-us</x:v>
      </x:c>
      <x:c r="V34" s="14" t="str">
        <x:v>https://buypork.com/pages/contact.html/</x:v>
      </x:c>
      <x:c r="W34" s="19" t="n">
        <x:v>46293.5</x:v>
      </x:c>
      <x:c r="X34" s="14" t="str">
        <x:v>https://www.google.com/maps/dir/?api=1&amp;origin=101%20City%20Hall%20Plaza%2C%20Durham%2C%20NC%2027701&amp;destination=340%20Dollard%20Town%20Road%2C%20Goldsboro%2C%20NC%2027534&amp;travelmode=driving</x:v>
      </x:c>
      <x:c r="Y34" s="14" t="str">
        <x:v>https://geocoding.geo.census.gov/geocoder/locations/onelineaddress?address=340+Dollard+Town+Road%2C+Goldsboro%2C+NC+27534&amp;benchmark=Public_AR_Current&amp;format=json</x:v>
      </x:c>
      <x:c r="Z34" s="14" t="str">
        <x:v>https://router.project-osrm.org/route/v1/driving/-78.899684,35.996069;-77.915269,35.320388?overview=false</x:v>
      </x:c>
      <x:c r="AA34" s="14" t="str"/>
      <x:c r="AB34" s="14" t="str"/>
      <x:c r="AC34" s="14" t="str">
        <x:v>No validated social signal recorded in this edition. This is not evidence of inactivity.</x:v>
      </x:c>
      <x:c r="AD34" s="14" t="str"/>
      <x:c r="AE34" s="14" t="str"/>
    </x:row>
    <x:row r="35" ht="98" customHeight="1">
      <x:c r="A35" s="12" t="n">
        <x:v>28</x:v>
      </x:c>
      <x:c r="B35" s="11" t="str">
        <x:v>Carolina Packers</x:v>
      </x:c>
      <x:c r="C35" s="11" t="str">
        <x:v>Sourcing / referral business</x:v>
      </x:c>
      <x:c r="D35" s="22" t="n">
        <x:v>6</x:v>
      </x:c>
      <x:c r="E35" s="11" t="str">
        <x:v>Smithfield, NC</x:v>
      </x:c>
      <x:c r="F35" s="24" t="n">
        <x:v>58.14468503937008</x:v>
      </x:c>
      <x:c r="G35" s="11" t="str">
        <x:v>Within planning limit</x:v>
      </x:c>
      <x:c r="H35" s="11" t="str">
        <x:v>Not applicable; no slaughter listed at this site</x:v>
      </x:c>
      <x:c r="I35" s="11" t="str">
        <x:v>919-934-2181</x:v>
      </x:c>
      <x:c r="J35" s="11" t="str">
        <x:v>https://carolinapackers.com/</x:v>
      </x:c>
      <x:c r="K35" s="11" t="str">
        <x:v>Local pork processor with potential upstream introductions. A referral call, not a room-rental prospect.</x:v>
      </x:c>
      <x:c r="L35" s="11" t="str">
        <x:v>Which local slaughter supplier could provide intact organs and blocks? Can you connect us to the plant decision-maker?</x:v>
      </x:c>
      <x:c r="M35" s="11" t="str">
        <x:v>2999 South Brightleaf Boulevard, Smithfield, NC 27577</x:v>
      </x:c>
      <x:c r="N35" s="11" t="str">
        <x:v>Processor; upstream slaughter supplier must be identified</x:v>
      </x:c>
      <x:c r="O35" s="11" t="str">
        <x:v>Processing-only; TA-19836</x:v>
      </x:c>
      <x:c r="P35" s="11" t="str">
        <x:v>Not a verified slaughter-site offer</x:v>
      </x:c>
      <x:c r="Q35" s="11" t="str">
        <x:v>Current state directory lists processing only. Do not count this site as new slaughter capacity.</x:v>
      </x:c>
      <x:c r="R35" s="11" t="str"/>
      <x:c r="S35" s="18" t="n">
        <x:v>46.327227179026956</x:v>
      </x:c>
      <x:c r="T35" s="11" t="str">
        <x:v>Census address match — contact address, not a verified kill site</x:v>
      </x:c>
      <x:c r="U35" s="11" t="str">
        <x:v>https://carolinapackers.com/pages/franks-for-thanks</x:v>
      </x:c>
      <x:c r="V35" s="11" t="str">
        <x:v>https://www.ncagr.gov/divisions/meat-poultry-inspection/wplants/download?attachment=</x:v>
      </x:c>
      <x:c r="W35" s="20" t="n">
        <x:v>46293.5</x:v>
      </x:c>
      <x:c r="X35" s="11" t="str">
        <x:v>https://www.google.com/maps/dir/?api=1&amp;origin=101%20City%20Hall%20Plaza%2C%20Durham%2C%20NC%2027701&amp;destination=2999%20South%20Brightleaf%20Boulevard%2C%20Smithfield%2C%20NC%2027577&amp;travelmode=driving</x:v>
      </x:c>
      <x:c r="Y35" s="11" t="str">
        <x:v>https://geocoding.geo.census.gov/geocoder/locations/onelineaddress?address=2999+South+Brightleaf+Boulevard%2C+Smithfield%2C+NC+27577&amp;benchmark=Public_AR_Current&amp;format=json</x:v>
      </x:c>
      <x:c r="Z35" s="11" t="str">
        <x:v>https://router.project-osrm.org/route/v1/driving/-78.899684,35.996069;-78.374919,35.478248?overview=false</x:v>
      </x:c>
      <x:c r="AA35" s="11" t="str">
        <x:v>https://www.ncagr.gov/divisions/meat-poultry-inspection/wplants/download?attachment=</x:v>
      </x:c>
      <x:c r="AB35" s="11" t="str"/>
      <x:c r="AC35" s="11" t="str">
        <x:v>No validated social signal recorded in this edition. This is not evidence of inactivity.</x:v>
      </x:c>
      <x:c r="AD35" s="11" t="str"/>
      <x:c r="AE35" s="11" t="str"/>
    </x:row>
    <x:row r="36" ht="98" customHeight="1">
      <x:c r="A36" s="13" t="n">
        <x:v>29</x:v>
      </x:c>
      <x:c r="B36" s="14" t="str">
        <x:v>NC Choices, Sarah Blacklin</x:v>
      </x:c>
      <x:c r="C36" s="14" t="str">
        <x:v>Referral organization</x:v>
      </x:c>
      <x:c r="D36" s="21" t="n">
        <x:v>6</x:v>
      </x:c>
      <x:c r="E36" s="14" t="str">
        <x:v>Raleigh, NC</x:v>
      </x:c>
      <x:c r="F36" s="23" t="n">
        <x:v>23.587374731567643</x:v>
      </x:c>
      <x:c r="G36" s="14" t="str">
        <x:v>Within planning limit</x:v>
      </x:c>
      <x:c r="H36" s="14" t="str">
        <x:v>Not applicable; referral organization</x:v>
      </x:c>
      <x:c r="I36" s="14" t="str">
        <x:v>919-928-4771</x:v>
      </x:c>
      <x:c r="J36" s="14" t="str">
        <x:v>https://cefs.ncsu.edu/food-system-initiatives/nc-choices/</x:v>
      </x:c>
      <x:c r="K36" s="14" t="str">
        <x:v>Can identify newer plants and operators willing to consider a commercial harvesting arrangement.</x:v>
      </x:c>
      <x:c r="L36" s="14" t="str">
        <x:v>Which active pig slaughter plants within 120 miles of Durham have room, relevant throughput or owners open to a paid partnership?</x:v>
      </x:c>
      <x:c r="M36" s="14" t="str">
        <x:v>840 Oval Drive, Raleigh, NC 27606</x:v>
      </x:c>
      <x:c r="N36" s="14" t="str">
        <x:v>Not applicable</x:v>
      </x:c>
      <x:c r="O36" s="14" t="str">
        <x:v>Industry support; not a supplier</x:v>
      </x:c>
      <x:c r="P36" s="14" t="str">
        <x:v>Not a verified slaughter-site offer</x:v>
      </x:c>
      <x:c r="Q36" s="14" t="str">
        <x:v>Referral contact only. Campus distance is not a supplier-site distance.</x:v>
      </x:c>
      <x:c r="R36" s="14" t="str"/>
      <x:c r="S36" s="17" t="n">
        <x:v>19.90414659500597</x:v>
      </x:c>
      <x:c r="T36" s="14" t="str">
        <x:v>Esri address match — contact address, not a verified kill site</x:v>
      </x:c>
      <x:c r="U36" s="14" t="str">
        <x:v>https://cefs.ncsu.edu/contacts/</x:v>
      </x:c>
      <x:c r="V36" s="14" t="str">
        <x:v>https://cefs.ncsu.edu/food-system-initiatives/nc-choices/about/</x:v>
      </x:c>
      <x:c r="W36" s="19" t="n">
        <x:v>46293.5</x:v>
      </x:c>
      <x:c r="X36" s="14" t="str">
        <x:v>https://www.google.com/maps/dir/?api=1&amp;origin=101%20City%20Hall%20Plaza%2C%20Durham%2C%20NC%2027701&amp;destination=840%20Oval%20Drive%2C%20Raleigh%2C%20NC%2027606&amp;travelmode=driving</x:v>
      </x:c>
      <x:c r="Y36" s="14" t="str">
        <x:v>https://geocode.arcgis.com/arcgis/rest/services/World/GeocodeServer/findAddressCandidates?SingleLine=840+Oval+Drive%2C+Raleigh%2C+NC+27606&amp;f=json&amp;outFields=Match_addr%2CAddr_type&amp;maxLocations=2</x:v>
      </x:c>
      <x:c r="Z36" s="14" t="str">
        <x:v>https://router.project-osrm.org/route/v1/driving/-78.899684,35.996069;-78.673533,35.773772?overview=false</x:v>
      </x:c>
      <x:c r="AA36" s="14" t="str"/>
      <x:c r="AB36" s="14" t="str"/>
      <x:c r="AC36" s="14" t="str">
        <x:v>No validated social signal recorded in this edition. This is not evidence of inactivity.</x:v>
      </x:c>
      <x:c r="AD36" s="14" t="str"/>
      <x:c r="AE36" s="14" t="str"/>
    </x:row>
    <x:row r="37" ht="98" customHeight="1">
      <x:c r="A37" s="12" t="n">
        <x:v>30</x:v>
      </x:c>
      <x:c r="B37" s="11" t="str">
        <x:v>NC Meat and Poultry Inspection Division</x:v>
      </x:c>
      <x:c r="C37" s="11" t="str">
        <x:v>Referral organization</x:v>
      </x:c>
      <x:c r="D37" s="22" t="n">
        <x:v>6</x:v>
      </x:c>
      <x:c r="E37" s="11" t="str">
        <x:v>Raleigh, NC</x:v>
      </x:c>
      <x:c r="F37" s="24" t="n">
        <x:v>24.79364262705798</x:v>
      </x:c>
      <x:c r="G37" s="11" t="str">
        <x:v>Within planning limit</x:v>
      </x:c>
      <x:c r="H37" s="11" t="str">
        <x:v>Not applicable; state agency</x:v>
      </x:c>
      <x:c r="I37" s="11" t="str">
        <x:v>919-707-3180</x:v>
      </x:c>
      <x:c r="J37" s="11" t="str">
        <x:v>https://www.ncagr.gov/divisions/meat-poultry-inspection</x:v>
      </x:c>
      <x:c r="K37" s="11" t="str">
        <x:v>Confirm newly active swine slaughter sites and the specimen process, particularly for custom-only prospects.</x:v>
      </x:c>
      <x:c r="L37" s="11" t="str">
        <x:v>Which active swine slaughter plants have opened or changed status in our radius? What specimen arrangements apply to our proposed collection model?</x:v>
      </x:c>
      <x:c r="M37" s="11" t="str">
        <x:v>2 West Edenton Street, Raleigh, NC 27601</x:v>
      </x:c>
      <x:c r="N37" s="11" t="str">
        <x:v>Not applicable</x:v>
      </x:c>
      <x:c r="O37" s="11" t="str">
        <x:v>State agency; not a supplier</x:v>
      </x:c>
      <x:c r="P37" s="11" t="str">
        <x:v>Not a verified slaughter-site offer</x:v>
      </x:c>
      <x:c r="Q37" s="11" t="str">
        <x:v>Not a commercial prospect or a source of assumed private plant capacity.</x:v>
      </x:c>
      <x:c r="R37" s="11" t="str"/>
      <x:c r="S37" s="18" t="n">
        <x:v>20.80933072032395</x:v>
      </x:c>
      <x:c r="T37" s="11" t="str">
        <x:v>Census address match — contact address, not a verified kill site</x:v>
      </x:c>
      <x:c r="U37" s="11" t="str">
        <x:v>https://www.ncagr.gov/divisions/meat-poultry-inspection/contact</x:v>
      </x:c>
      <x:c r="V37" s="11" t="str">
        <x:v>https://www.ncagr.gov/divisions/meat-poultry-inspection/wplants/download?attachment=</x:v>
      </x:c>
      <x:c r="W37" s="20" t="n">
        <x:v>46293.5</x:v>
      </x:c>
      <x:c r="X37" s="11" t="str">
        <x:v>https://www.google.com/maps/dir/?api=1&amp;origin=101%20City%20Hall%20Plaza%2C%20Durham%2C%20NC%2027701&amp;destination=2%20West%20Edenton%20Street%2C%20Raleigh%2C%20NC%2027601&amp;travelmode=driving</x:v>
      </x:c>
      <x:c r="Y37" s="11" t="str">
        <x:v>https://geocoding.geo.census.gov/geocoder/locations/onelineaddress?address=2+West+Edenton+Street%2C+Raleigh%2C+NC+27601&amp;benchmark=Public_AR_Current&amp;format=json</x:v>
      </x:c>
      <x:c r="Z37" s="11" t="str">
        <x:v>https://router.project-osrm.org/route/v1/driving/-78.899684,35.996069;-78.639101,35.781269?overview=false</x:v>
      </x:c>
      <x:c r="AA37" s="11" t="str">
        <x:v>https://www.ncagr.gov/divisions/meat-poultry-inspection/wplants/download?attachment=</x:v>
      </x:c>
      <x:c r="AB37" s="11" t="str"/>
      <x:c r="AC37" s="11" t="str">
        <x:v>No validated social signal recorded in this edition. This is not evidence of inactivity.</x:v>
      </x:c>
      <x:c r="AD37" s="11" t="str"/>
      <x:c r="AE37" s="11" t="str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</x:row>
    <x:row r="39" ht="22" customHeight="1">
      <x:c r="A39" s="6" t="str">
        <x:v>Volume evidence: workbook figures are attributed and unconfirmed. Inspection volume categories were not converted into weekly pig counts or capacity ceilings.</x:v>
      </x:c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  <x:c r="U39" s="6"/>
      <x:c r="V39" s="6"/>
      <x:c r="W39" s="6"/>
      <x:c r="X39" s="6"/>
      <x:c r="Y39" s="6"/>
      <x:c r="Z39" s="6"/>
      <x:c r="AA39" s="6"/>
      <x:c r="AB39" s="6"/>
      <x:c r="AC39" s="6"/>
      <x:c r="AD39" s="6"/>
      <x:c r="AE39" s="6"/>
    </x:row>
    <x:row r="40" ht="22" customHeight="1">
      <x:c r="A40" s="6" t="str">
        <x:v>Distance method: public address geocoding plus Open Source Routing Machine car routes, checked September 28, 2026. Road distance is used as the conservative screen.</x:v>
      </x:c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  <x:c r="U40" s="6"/>
      <x:c r="V40" s="6"/>
      <x:c r="W40" s="6"/>
      <x:c r="X40" s="6"/>
      <x:c r="Y40" s="6"/>
      <x:c r="Z40" s="6"/>
      <x:c r="AA40" s="6"/>
      <x:c r="AB40" s="6"/>
      <x:c r="AC40" s="6"/>
      <x:c r="AD40" s="6"/>
      <x:c r="AE40" s="6"/>
    </x:row>
    <x:row r="41" ht="22" customHeight="1">
      <x:c r="A41" s="6" t="str">
        <x:v>The radial distance column also shows the literal radius. Confirm the route from your actual Durham base and the correct slaughter entrance before arranging a visit.</x:v>
      </x:c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  <x:c r="U41" s="6"/>
      <x:c r="V41" s="6"/>
      <x:c r="W41" s="6"/>
      <x:c r="X41" s="6"/>
      <x:c r="Y41" s="6"/>
      <x:c r="Z41" s="6"/>
      <x:c r="AA41" s="6"/>
      <x:c r="AB41" s="6"/>
      <x:c r="AC41" s="6"/>
      <x:c r="AD41" s="6"/>
      <x:c r="AE41" s="6"/>
    </x:row>
    <x:row r="42" ht="22" customHeight="1">
      <x:c r="A42" s="6" t="str">
        <x:v>Source workbook: Tissue_Supplier_Workbook.xlsx, Supplier Roster. Sow classifications, historical volumes and handling cautions need direct verification.</x:v>
      </x:c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  <x:c r="U42" s="6"/>
      <x:c r="V42" s="6"/>
      <x:c r="W42" s="6"/>
      <x:c r="X42" s="6"/>
      <x:c r="Y42" s="6"/>
      <x:c r="Z42" s="6"/>
      <x:c r="AA42" s="6"/>
      <x:c r="AB42" s="6"/>
      <x:c r="AC42" s="6"/>
      <x:c r="AD42" s="6"/>
      <x:c r="AE42" s="6"/>
    </x:row>
    <x:row r="43" ht="22" customHeight="1">
      <x:c r="A43" s="6" t="str">
        <x:v>Social posts support discovery and call questions. Many were accessible only as indexed excerpts; see Social Evidence for dates, identity matches and limits.</x:v>
      </x:c>
      <x:c r="B43" s="6"/>
      <x:c r="C43" s="6"/>
      <x:c r="D43" s="6"/>
      <x:c r="E43" s="6"/>
      <x:c r="F43" s="6"/>
      <x:c r="G43" s="6"/>
      <x:c r="H43" s="6"/>
      <x:c r="I43" s="6"/>
      <x:c r="J43" s="6"/>
      <x:c r="K43" s="6"/>
      <x:c r="L43" s="6"/>
      <x:c r="M43" s="6"/>
      <x:c r="N43" s="6"/>
      <x:c r="O43" s="6"/>
      <x:c r="P43" s="6"/>
      <x:c r="Q43" s="6"/>
      <x:c r="R43" s="6"/>
      <x:c r="S43" s="6"/>
      <x:c r="T43" s="6"/>
      <x:c r="U43" s="6"/>
      <x:c r="V43" s="6"/>
      <x:c r="W43" s="6"/>
      <x:c r="X43" s="6"/>
      <x:c r="Y43" s="6"/>
      <x:c r="Z43" s="6"/>
      <x:c r="AA43" s="6"/>
      <x:c r="AB43" s="6"/>
      <x:c r="AC43" s="6"/>
      <x:c r="AD43" s="6"/>
      <x:c r="AE43" s="6"/>
    </x:row>
    <x:row r="44" ht="22" customHeight="1">
      <x:c r="A44" s="6" t="str">
        <x:v>Inspection: current NC directory checked September 18, 2026 edition. Some federal records use secondary FSIS-derived directories; those are not fresh primary FSIS confirmations.</x:v>
      </x:c>
      <x:c r="B44" s="6"/>
      <x:c r="C44" s="6"/>
      <x:c r="D44" s="6"/>
      <x:c r="E44" s="6"/>
      <x:c r="F44" s="6"/>
      <x:c r="G44" s="6"/>
      <x:c r="H44" s="6"/>
      <x:c r="I44" s="6"/>
      <x:c r="J44" s="6"/>
      <x:c r="K44" s="6"/>
      <x:c r="L44" s="6"/>
      <x:c r="M44" s="6"/>
      <x:c r="N44" s="6"/>
      <x:c r="O44" s="6"/>
      <x:c r="P44" s="6"/>
      <x:c r="Q44" s="6"/>
      <x:c r="R44" s="6"/>
      <x:c r="S44" s="6"/>
      <x:c r="T44" s="6"/>
      <x:c r="U44" s="6"/>
      <x:c r="V44" s="6"/>
      <x:c r="W44" s="6"/>
      <x:c r="X44" s="6"/>
      <x:c r="Y44" s="6"/>
      <x:c r="Z44" s="6"/>
      <x:c r="AA44" s="6"/>
      <x:c r="AB44" s="6"/>
      <x:c r="AC44" s="6"/>
      <x:c r="AD44" s="6"/>
      <x:c r="AE44" s="6"/>
    </x:row>
  </x:sheetData>
  <x:conditionalFormatting sqref="G8:G37">
    <x:cfRule type="containsText" dxfId="0" priority="1" operator="containsText" text="Near limit"/>
    <x:cfRule type="containsText" dxfId="1" priority="2" operator="containsText" text="Over 120"/>
  </x:conditionalFormatting>
  <x:pageMargins left="0.7" right="0.7" top="0.75" bottom="0.75" header="0.3" footer="0.3"/>
  <x:tableParts count="1">
    <x:tablePart xmlns:r="http://schemas.openxmlformats.org/officeDocument/2006/relationships" r:id="Rde23ef3b3bd24e77"/>
  </x:tableParts>
</x:worksheet>
</file>

<file path=xl/worksheets/sheet3.xml><?xml version="1.0" encoding="utf-8"?>
<x:worksheet xmlns:x="http://schemas.openxmlformats.org/spreadsheetml/2006/main">
  <x:sheetPr>
    <x:tabColor rgb="FF213B5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8" hidden="0" customWidth="1"/>
    <x:col min="2" max="2" width="32" hidden="0" customWidth="1"/>
    <x:col min="3" max="3" width="9" hidden="0" customWidth="1"/>
    <x:col min="4" max="4" width="15" hidden="0" customWidth="1"/>
    <x:col min="5" max="5" width="22" hidden="0" customWidth="1"/>
    <x:col min="6" max="6" width="15" hidden="0" customWidth="1"/>
    <x:col min="7" max="7" width="15" hidden="0" customWidth="1"/>
    <x:col min="8" max="8" width="16" hidden="0" customWidth="1"/>
    <x:col min="9" max="9" width="16" hidden="0" customWidth="1"/>
    <x:col min="10" max="10" width="19" hidden="0" customWidth="1"/>
    <x:col min="11" max="11" width="20" hidden="0" customWidth="1"/>
    <x:col min="12" max="12" width="20" hidden="0" customWidth="1"/>
    <x:col min="13" max="13" width="25" hidden="0" customWidth="1"/>
    <x:col min="14" max="14" width="29" hidden="0" customWidth="1"/>
    <x:col min="15" max="15" width="29" hidden="0" customWidth="1"/>
    <x:col min="16" max="16" width="39" hidden="0" customWidth="1"/>
    <x:col min="17" max="17" width="18" hidden="0" customWidth="1"/>
    <x:col min="18" max="18" width="16" hidden="0" customWidth="1"/>
    <x:col min="19" max="19" width="52" hidden="0" customWidth="1"/>
    <x:col min="20" max="20" width="4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4" t="str">
        <x:v>Eight-week call tracker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</x:row>
    <x:row r="3" ht="22" customHeight="1">
      <x:c r="A3" s="6" t="str">
        <x:v>Weeks 1–2: first 10. Weeks 3–4: existing suppliers and remaining inspected leads. Weeks 5–6: custom plants and sourcing contacts.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4" ht="22" customHeight="1">
      <x:c r="A4" s="6" t="str">
        <x:v>Weeks 7–8: callbacks, visits, pilot collections and review of accepted tissue yield. Move referral calls earlier if plant discovery stalls.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 ht="22" customHeight="1">
      <x:c r="A5" s="6" t="str">
        <x:v>Start:</x:v>
      </x:c>
      <x:c r="B5" s="26" t="n">
        <x:v>46293.5</x:v>
      </x:c>
      <x:c r="C5" s="6"/>
      <x:c r="D5" s="6" t="str">
        <x:v>Amber cells are for call results. Blank volume cells mean not yet confirmed, not zero.</x:v>
      </x:c>
      <x:c r="E5" s="6"/>
      <x:c r="F5" s="6"/>
      <x:c r="G5" s="6"/>
      <x:c r="H5" s="6"/>
      <x:c r="I5" s="6"/>
      <x:c r="J5" s="6"/>
      <x:c r="K5" s="6"/>
      <x:c r="L5" s="6"/>
      <x:c r="M5" s="6"/>
      <x:c r="N5" s="6"/>
      <x:c r="O5" s="6"/>
      <x:c r="P5" s="6"/>
      <x:c r="Q5" s="6"/>
      <x:c r="R5" s="6"/>
      <x:c r="S5" s="6"/>
      <x:c r="T5" s="6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</x:row>
    <x:row r="7" ht="34" customHeight="1">
      <x:c r="A7" s="10" t="str">
        <x:v>Priority</x:v>
      </x:c>
      <x:c r="B7" s="10" t="str">
        <x:v>Supplier / contact</x:v>
      </x:c>
      <x:c r="C7" s="10" t="str">
        <x:v>Week</x:v>
      </x:c>
      <x:c r="D7" s="10" t="str">
        <x:v>Week of</x:v>
      </x:c>
      <x:c r="E7" s="10" t="str">
        <x:v>Call status</x:v>
      </x:c>
      <x:c r="F7" s="10" t="str">
        <x:v>Last call date</x:v>
      </x:c>
      <x:c r="G7" s="10" t="str">
        <x:v>Actual pigs/week</x:v>
      </x:c>
      <x:c r="H7" s="10" t="str">
        <x:v>Sustainable capacity/week</x:v>
      </x:c>
      <x:c r="I7" s="10" t="str">
        <x:v>Suitable pigs/week</x:v>
      </x:c>
      <x:c r="J7" s="10" t="str">
        <x:v>140–220 lb live fit</x:v>
      </x:c>
      <x:c r="K7" s="10" t="str">
        <x:v>Space for our crew</x:v>
      </x:c>
      <x:c r="L7" s="10" t="str">
        <x:v>Supplier can harvest</x:v>
      </x:c>
      <x:c r="M7" s="10" t="str">
        <x:v>Decision-maker</x:v>
      </x:c>
      <x:c r="N7" s="10" t="str">
        <x:v>Direct contact / email</x:v>
      </x:c>
      <x:c r="O7" s="10" t="str">
        <x:v>Available tissue blocks</x:v>
      </x:c>
      <x:c r="P7" s="10" t="str">
        <x:v>Agreed next action</x:v>
      </x:c>
      <x:c r="Q7" s="10" t="str">
        <x:v>Follow-up date</x:v>
      </x:c>
      <x:c r="R7" s="10" t="str">
        <x:v>Call owner</x:v>
      </x:c>
      <x:c r="S7" s="10" t="str">
        <x:v>Quality / handling notes</x:v>
      </x:c>
      <x:c r="T7" s="10" t="str">
        <x:v>Evidence / who confirmed</x:v>
      </x:c>
    </x:row>
    <x:row r="8" ht="54" customHeight="1">
      <x:c r="A8" s="13" t="n">
        <x:v>1</x:v>
      </x:c>
      <x:c r="B8" s="14" t="str">
        <x:f>INDEX('30 Call Targets'!$B$8:$B$37,MATCH($A8,'30 Call Targets'!$A$8:$A$37,0))</x:f>
        <x:v>Piedmont Custom Meats</x:v>
      </x:c>
      <x:c r="C8" s="13" t="n">
        <x:f>INDEX('30 Call Targets'!$D$8:$D$37,MATCH($A8,'30 Call Targets'!$A$8:$A$37,0))</x:f>
        <x:v>1</x:v>
      </x:c>
      <x:c r="D8" s="29" t="n">
        <x:f>$B$5+7*(C8-1)</x:f>
        <x:v>46293.5</x:v>
      </x:c>
      <x:c r="E8" s="31" t="str">
        <x:v>Not called</x:v>
      </x:c>
      <x:c r="F8" s="32"/>
      <x:c r="G8" s="33"/>
      <x:c r="H8" s="33"/>
      <x:c r="I8" s="33"/>
      <x:c r="J8" s="31" t="str">
        <x:v>Unknown</x:v>
      </x:c>
      <x:c r="K8" s="31" t="str">
        <x:v>Unknown</x:v>
      </x:c>
      <x:c r="L8" s="31" t="str">
        <x:v>Unknown</x:v>
      </x:c>
      <x:c r="M8" s="31" t="str"/>
      <x:c r="N8" s="31" t="str"/>
      <x:c r="O8" s="31" t="str"/>
      <x:c r="P8" s="31" t="str"/>
      <x:c r="Q8" s="32"/>
      <x:c r="R8" s="31" t="str"/>
      <x:c r="S8" s="31" t="str"/>
      <x:c r="T8" s="31" t="str"/>
    </x:row>
    <x:row r="9" ht="54" customHeight="1">
      <x:c r="A9" s="12" t="n">
        <x:v>2</x:v>
      </x:c>
      <x:c r="B9" s="11" t="str">
        <x:f>INDEX('30 Call Targets'!$B$8:$B$37,MATCH($A9,'30 Call Targets'!$A$8:$A$37,0))</x:f>
        <x:v>McLamb's Abattoir / Lee's Fresh Market</x:v>
      </x:c>
      <x:c r="C9" s="12" t="n">
        <x:f>INDEX('30 Call Targets'!$D$8:$D$37,MATCH($A9,'30 Call Targets'!$A$8:$A$37,0))</x:f>
        <x:v>1</x:v>
      </x:c>
      <x:c r="D9" s="30" t="n">
        <x:f>$B$5+7*(C9-1)</x:f>
        <x:v>46293.5</x:v>
      </x:c>
      <x:c r="E9" s="31" t="str">
        <x:v>Not called</x:v>
      </x:c>
      <x:c r="F9" s="32"/>
      <x:c r="G9" s="33"/>
      <x:c r="H9" s="33"/>
      <x:c r="I9" s="33"/>
      <x:c r="J9" s="31" t="str">
        <x:v>Unknown</x:v>
      </x:c>
      <x:c r="K9" s="31" t="str">
        <x:v>Unknown</x:v>
      </x:c>
      <x:c r="L9" s="31" t="str">
        <x:v>Unknown</x:v>
      </x:c>
      <x:c r="M9" s="31" t="str"/>
      <x:c r="N9" s="31" t="str"/>
      <x:c r="O9" s="31" t="str"/>
      <x:c r="P9" s="31" t="str"/>
      <x:c r="Q9" s="32"/>
      <x:c r="R9" s="31" t="str"/>
      <x:c r="S9" s="31" t="str"/>
      <x:c r="T9" s="31" t="str"/>
    </x:row>
    <x:row r="10" ht="54" customHeight="1">
      <x:c r="A10" s="13" t="n">
        <x:v>3</x:v>
      </x:c>
      <x:c r="B10" s="14" t="str">
        <x:f>INDEX('30 Call Targets'!$B$8:$B$37,MATCH($A10,'30 Call Targets'!$A$8:$A$37,0))</x:f>
        <x:v>Flowers Slaughter House</x:v>
      </x:c>
      <x:c r="C10" s="13" t="n">
        <x:f>INDEX('30 Call Targets'!$D$8:$D$37,MATCH($A10,'30 Call Targets'!$A$8:$A$37,0))</x:f>
        <x:v>1</x:v>
      </x:c>
      <x:c r="D10" s="29" t="n">
        <x:f>$B$5+7*(C10-1)</x:f>
        <x:v>46293.5</x:v>
      </x:c>
      <x:c r="E10" s="31" t="str">
        <x:v>Not called</x:v>
      </x:c>
      <x:c r="F10" s="32"/>
      <x:c r="G10" s="33"/>
      <x:c r="H10" s="33"/>
      <x:c r="I10" s="33"/>
      <x:c r="J10" s="31" t="str">
        <x:v>Unknown</x:v>
      </x:c>
      <x:c r="K10" s="31" t="str">
        <x:v>Unknown</x:v>
      </x:c>
      <x:c r="L10" s="31" t="str">
        <x:v>Unknown</x:v>
      </x:c>
      <x:c r="M10" s="31" t="str"/>
      <x:c r="N10" s="31" t="str"/>
      <x:c r="O10" s="31" t="str"/>
      <x:c r="P10" s="31" t="str"/>
      <x:c r="Q10" s="32"/>
      <x:c r="R10" s="31" t="str"/>
      <x:c r="S10" s="31" t="str"/>
      <x:c r="T10" s="31" t="str"/>
    </x:row>
    <x:row r="11" ht="54" customHeight="1">
      <x:c r="A11" s="12" t="n">
        <x:v>4</x:v>
      </x:c>
      <x:c r="B11" s="11" t="str">
        <x:f>INDEX('30 Call Targets'!$B$8:$B$37,MATCH($A11,'30 Call Targets'!$A$8:$A$37,0))</x:f>
        <x:v>Contentnea Farms</x:v>
      </x:c>
      <x:c r="C11" s="12" t="n">
        <x:f>INDEX('30 Call Targets'!$D$8:$D$37,MATCH($A11,'30 Call Targets'!$A$8:$A$37,0))</x:f>
        <x:v>1</x:v>
      </x:c>
      <x:c r="D11" s="30" t="n">
        <x:f>$B$5+7*(C11-1)</x:f>
        <x:v>46293.5</x:v>
      </x:c>
      <x:c r="E11" s="31" t="str">
        <x:v>Not called</x:v>
      </x:c>
      <x:c r="F11" s="32"/>
      <x:c r="G11" s="33"/>
      <x:c r="H11" s="33"/>
      <x:c r="I11" s="33"/>
      <x:c r="J11" s="31" t="str">
        <x:v>Unknown</x:v>
      </x:c>
      <x:c r="K11" s="31" t="str">
        <x:v>Unknown</x:v>
      </x:c>
      <x:c r="L11" s="31" t="str">
        <x:v>Unknown</x:v>
      </x:c>
      <x:c r="M11" s="31" t="str"/>
      <x:c r="N11" s="31" t="str"/>
      <x:c r="O11" s="31" t="str"/>
      <x:c r="P11" s="31" t="str"/>
      <x:c r="Q11" s="32"/>
      <x:c r="R11" s="31" t="str"/>
      <x:c r="S11" s="31" t="str"/>
      <x:c r="T11" s="31" t="str"/>
    </x:row>
    <x:row r="12" ht="54" customHeight="1">
      <x:c r="A12" s="13" t="n">
        <x:v>5</x:v>
      </x:c>
      <x:c r="B12" s="14" t="str">
        <x:f>INDEX('30 Call Targets'!$B$8:$B$37,MATCH($A12,'30 Call Targets'!$A$8:$A$37,0))</x:f>
        <x:v>Gale McLamb Meats</x:v>
      </x:c>
      <x:c r="C12" s="13" t="n">
        <x:f>INDEX('30 Call Targets'!$D$8:$D$37,MATCH($A12,'30 Call Targets'!$A$8:$A$37,0))</x:f>
        <x:v>1</x:v>
      </x:c>
      <x:c r="D12" s="29" t="n">
        <x:f>$B$5+7*(C12-1)</x:f>
        <x:v>46293.5</x:v>
      </x:c>
      <x:c r="E12" s="31" t="str">
        <x:v>Not called</x:v>
      </x:c>
      <x:c r="F12" s="32"/>
      <x:c r="G12" s="33"/>
      <x:c r="H12" s="33"/>
      <x:c r="I12" s="33"/>
      <x:c r="J12" s="31" t="str">
        <x:v>Unknown</x:v>
      </x:c>
      <x:c r="K12" s="31" t="str">
        <x:v>Unknown</x:v>
      </x:c>
      <x:c r="L12" s="31" t="str">
        <x:v>Unknown</x:v>
      </x:c>
      <x:c r="M12" s="31" t="str"/>
      <x:c r="N12" s="31" t="str"/>
      <x:c r="O12" s="31" t="str"/>
      <x:c r="P12" s="31" t="str"/>
      <x:c r="Q12" s="32"/>
      <x:c r="R12" s="31" t="str"/>
      <x:c r="S12" s="31" t="str"/>
      <x:c r="T12" s="31" t="str"/>
    </x:row>
    <x:row r="13" ht="54" customHeight="1">
      <x:c r="A13" s="12" t="n">
        <x:v>6</x:v>
      </x:c>
      <x:c r="B13" s="11" t="str">
        <x:f>INDEX('30 Call Targets'!$B$8:$B$37,MATCH($A13,'30 Call Targets'!$A$8:$A$37,0))</x:f>
        <x:v>Key Packing Company</x:v>
      </x:c>
      <x:c r="C13" s="12" t="n">
        <x:f>INDEX('30 Call Targets'!$D$8:$D$37,MATCH($A13,'30 Call Targets'!$A$8:$A$37,0))</x:f>
        <x:v>2</x:v>
      </x:c>
      <x:c r="D13" s="30" t="n">
        <x:f>$B$5+7*(C13-1)</x:f>
        <x:v>46300.5</x:v>
      </x:c>
      <x:c r="E13" s="31" t="str">
        <x:v>Not called</x:v>
      </x:c>
      <x:c r="F13" s="32"/>
      <x:c r="G13" s="33"/>
      <x:c r="H13" s="33"/>
      <x:c r="I13" s="33"/>
      <x:c r="J13" s="31" t="str">
        <x:v>Unknown</x:v>
      </x:c>
      <x:c r="K13" s="31" t="str">
        <x:v>Unknown</x:v>
      </x:c>
      <x:c r="L13" s="31" t="str">
        <x:v>Unknown</x:v>
      </x:c>
      <x:c r="M13" s="31" t="str"/>
      <x:c r="N13" s="31" t="str"/>
      <x:c r="O13" s="31" t="str"/>
      <x:c r="P13" s="31" t="str"/>
      <x:c r="Q13" s="32"/>
      <x:c r="R13" s="31" t="str"/>
      <x:c r="S13" s="31" t="str"/>
      <x:c r="T13" s="31" t="str"/>
    </x:row>
    <x:row r="14" ht="54" customHeight="1">
      <x:c r="A14" s="13" t="n">
        <x:v>7</x:v>
      </x:c>
      <x:c r="B14" s="14" t="str">
        <x:f>INDEX('30 Call Targets'!$B$8:$B$37,MATCH($A14,'30 Call Targets'!$A$8:$A$37,0))</x:f>
        <x:v>Quaqua Creek Farm</x:v>
      </x:c>
      <x:c r="C14" s="13" t="n">
        <x:f>INDEX('30 Call Targets'!$D$8:$D$37,MATCH($A14,'30 Call Targets'!$A$8:$A$37,0))</x:f>
        <x:v>2</x:v>
      </x:c>
      <x:c r="D14" s="29" t="n">
        <x:f>$B$5+7*(C14-1)</x:f>
        <x:v>46300.5</x:v>
      </x:c>
      <x:c r="E14" s="31" t="str">
        <x:v>Not called</x:v>
      </x:c>
      <x:c r="F14" s="32"/>
      <x:c r="G14" s="33"/>
      <x:c r="H14" s="33"/>
      <x:c r="I14" s="33"/>
      <x:c r="J14" s="31" t="str">
        <x:v>Unknown</x:v>
      </x:c>
      <x:c r="K14" s="31" t="str">
        <x:v>Unknown</x:v>
      </x:c>
      <x:c r="L14" s="31" t="str">
        <x:v>Unknown</x:v>
      </x:c>
      <x:c r="M14" s="31" t="str"/>
      <x:c r="N14" s="31" t="str"/>
      <x:c r="O14" s="31" t="str"/>
      <x:c r="P14" s="31" t="str"/>
      <x:c r="Q14" s="32"/>
      <x:c r="R14" s="31" t="str"/>
      <x:c r="S14" s="31" t="str"/>
      <x:c r="T14" s="31" t="str"/>
    </x:row>
    <x:row r="15" ht="54" customHeight="1">
      <x:c r="A15" s="12" t="n">
        <x:v>8</x:v>
      </x:c>
      <x:c r="B15" s="11" t="str">
        <x:f>INDEX('30 Call Targets'!$B$8:$B$37,MATCH($A15,'30 Call Targets'!$A$8:$A$37,0))</x:f>
        <x:v>Cool Springs Farm and Meat</x:v>
      </x:c>
      <x:c r="C15" s="12" t="n">
        <x:f>INDEX('30 Call Targets'!$D$8:$D$37,MATCH($A15,'30 Call Targets'!$A$8:$A$37,0))</x:f>
        <x:v>2</x:v>
      </x:c>
      <x:c r="D15" s="30" t="n">
        <x:f>$B$5+7*(C15-1)</x:f>
        <x:v>46300.5</x:v>
      </x:c>
      <x:c r="E15" s="31" t="str">
        <x:v>Not called</x:v>
      </x:c>
      <x:c r="F15" s="32"/>
      <x:c r="G15" s="33"/>
      <x:c r="H15" s="33"/>
      <x:c r="I15" s="33"/>
      <x:c r="J15" s="31" t="str">
        <x:v>Unknown</x:v>
      </x:c>
      <x:c r="K15" s="31" t="str">
        <x:v>Unknown</x:v>
      </x:c>
      <x:c r="L15" s="31" t="str">
        <x:v>Unknown</x:v>
      </x:c>
      <x:c r="M15" s="31" t="str"/>
      <x:c r="N15" s="31" t="str"/>
      <x:c r="O15" s="31" t="str"/>
      <x:c r="P15" s="31" t="str"/>
      <x:c r="Q15" s="32"/>
      <x:c r="R15" s="31" t="str"/>
      <x:c r="S15" s="31" t="str"/>
      <x:c r="T15" s="31" t="str"/>
    </x:row>
    <x:row r="16" ht="54" customHeight="1">
      <x:c r="A16" s="13" t="n">
        <x:v>9</x:v>
      </x:c>
      <x:c r="B16" s="14" t="str">
        <x:f>INDEX('30 Call Targets'!$B$8:$B$37,MATCH($A16,'30 Call Targets'!$A$8:$A$37,0))</x:f>
        <x:v>Mitchell's Meat Processing</x:v>
      </x:c>
      <x:c r="C16" s="13" t="n">
        <x:f>INDEX('30 Call Targets'!$D$8:$D$37,MATCH($A16,'30 Call Targets'!$A$8:$A$37,0))</x:f>
        <x:v>2</x:v>
      </x:c>
      <x:c r="D16" s="29" t="n">
        <x:f>$B$5+7*(C16-1)</x:f>
        <x:v>46300.5</x:v>
      </x:c>
      <x:c r="E16" s="31" t="str">
        <x:v>Not called</x:v>
      </x:c>
      <x:c r="F16" s="32"/>
      <x:c r="G16" s="33"/>
      <x:c r="H16" s="33"/>
      <x:c r="I16" s="33"/>
      <x:c r="J16" s="31" t="str">
        <x:v>Unknown</x:v>
      </x:c>
      <x:c r="K16" s="31" t="str">
        <x:v>Unknown</x:v>
      </x:c>
      <x:c r="L16" s="31" t="str">
        <x:v>Unknown</x:v>
      </x:c>
      <x:c r="M16" s="31" t="str"/>
      <x:c r="N16" s="31" t="str"/>
      <x:c r="O16" s="31" t="str"/>
      <x:c r="P16" s="31" t="str"/>
      <x:c r="Q16" s="32"/>
      <x:c r="R16" s="31" t="str"/>
      <x:c r="S16" s="31" t="str"/>
      <x:c r="T16" s="31" t="str"/>
    </x:row>
    <x:row r="17" ht="54" customHeight="1">
      <x:c r="A17" s="12" t="n">
        <x:v>10</x:v>
      </x:c>
      <x:c r="B17" s="11" t="str">
        <x:f>INDEX('30 Call Targets'!$B$8:$B$37,MATCH($A17,'30 Call Targets'!$A$8:$A$37,0))</x:f>
        <x:v>Schrock's Slaughter House</x:v>
      </x:c>
      <x:c r="C17" s="12" t="n">
        <x:f>INDEX('30 Call Targets'!$D$8:$D$37,MATCH($A17,'30 Call Targets'!$A$8:$A$37,0))</x:f>
        <x:v>2</x:v>
      </x:c>
      <x:c r="D17" s="30" t="n">
        <x:f>$B$5+7*(C17-1)</x:f>
        <x:v>46300.5</x:v>
      </x:c>
      <x:c r="E17" s="31" t="str">
        <x:v>Not called</x:v>
      </x:c>
      <x:c r="F17" s="32"/>
      <x:c r="G17" s="33"/>
      <x:c r="H17" s="33"/>
      <x:c r="I17" s="33"/>
      <x:c r="J17" s="31" t="str">
        <x:v>Unknown</x:v>
      </x:c>
      <x:c r="K17" s="31" t="str">
        <x:v>Unknown</x:v>
      </x:c>
      <x:c r="L17" s="31" t="str">
        <x:v>Unknown</x:v>
      </x:c>
      <x:c r="M17" s="31" t="str"/>
      <x:c r="N17" s="31" t="str"/>
      <x:c r="O17" s="31" t="str"/>
      <x:c r="P17" s="31" t="str"/>
      <x:c r="Q17" s="32"/>
      <x:c r="R17" s="31" t="str"/>
      <x:c r="S17" s="31" t="str"/>
      <x:c r="T17" s="31" t="str"/>
    </x:row>
    <x:row r="18" ht="54" customHeight="1">
      <x:c r="A18" s="13" t="n">
        <x:v>11</x:v>
      </x:c>
      <x:c r="B18" s="14" t="str">
        <x:f>INDEX('30 Call Targets'!$B$8:$B$37,MATCH($A18,'30 Call Targets'!$A$8:$A$37,0))</x:f>
        <x:v>Martin's Pork Products</x:v>
      </x:c>
      <x:c r="C18" s="13" t="n">
        <x:f>INDEX('30 Call Targets'!$D$8:$D$37,MATCH($A18,'30 Call Targets'!$A$8:$A$37,0))</x:f>
        <x:v>3</x:v>
      </x:c>
      <x:c r="D18" s="29" t="n">
        <x:f>$B$5+7*(C18-1)</x:f>
        <x:v>46307.5</x:v>
      </x:c>
      <x:c r="E18" s="31" t="str">
        <x:v>Not called</x:v>
      </x:c>
      <x:c r="F18" s="32"/>
      <x:c r="G18" s="33"/>
      <x:c r="H18" s="33"/>
      <x:c r="I18" s="33"/>
      <x:c r="J18" s="31" t="str">
        <x:v>Unknown</x:v>
      </x:c>
      <x:c r="K18" s="31" t="str">
        <x:v>Unknown</x:v>
      </x:c>
      <x:c r="L18" s="31" t="str">
        <x:v>Unknown</x:v>
      </x:c>
      <x:c r="M18" s="31" t="str"/>
      <x:c r="N18" s="31" t="str"/>
      <x:c r="O18" s="31" t="str"/>
      <x:c r="P18" s="31" t="str"/>
      <x:c r="Q18" s="32"/>
      <x:c r="R18" s="31" t="str"/>
      <x:c r="S18" s="31" t="str"/>
      <x:c r="T18" s="31" t="str"/>
    </x:row>
    <x:row r="19" ht="54" customHeight="1">
      <x:c r="A19" s="12" t="n">
        <x:v>12</x:v>
      </x:c>
      <x:c r="B19" s="11" t="str">
        <x:f>INDEX('30 Call Targets'!$B$8:$B$37,MATCH($A19,'30 Call Targets'!$A$8:$A$37,0))</x:f>
        <x:v>Custom Quality Packers</x:v>
      </x:c>
      <x:c r="C19" s="12" t="n">
        <x:f>INDEX('30 Call Targets'!$D$8:$D$37,MATCH($A19,'30 Call Targets'!$A$8:$A$37,0))</x:f>
        <x:v>3</x:v>
      </x:c>
      <x:c r="D19" s="30" t="n">
        <x:f>$B$5+7*(C19-1)</x:f>
        <x:v>46307.5</x:v>
      </x:c>
      <x:c r="E19" s="31" t="str">
        <x:v>Not called</x:v>
      </x:c>
      <x:c r="F19" s="32"/>
      <x:c r="G19" s="33"/>
      <x:c r="H19" s="33"/>
      <x:c r="I19" s="33"/>
      <x:c r="J19" s="31" t="str">
        <x:v>Unknown</x:v>
      </x:c>
      <x:c r="K19" s="31" t="str">
        <x:v>Unknown</x:v>
      </x:c>
      <x:c r="L19" s="31" t="str">
        <x:v>Unknown</x:v>
      </x:c>
      <x:c r="M19" s="31" t="str"/>
      <x:c r="N19" s="31" t="str"/>
      <x:c r="O19" s="31" t="str"/>
      <x:c r="P19" s="31" t="str"/>
      <x:c r="Q19" s="32"/>
      <x:c r="R19" s="31" t="str"/>
      <x:c r="S19" s="31" t="str"/>
      <x:c r="T19" s="31" t="str"/>
    </x:row>
    <x:row r="20" ht="54" customHeight="1">
      <x:c r="A20" s="13" t="n">
        <x:v>13</x:v>
      </x:c>
      <x:c r="B20" s="14" t="str">
        <x:f>INDEX('30 Call Targets'!$B$8:$B$37,MATCH($A20,'30 Call Targets'!$A$8:$A$37,0))</x:f>
        <x:v>Nahunta Slaughter House / Pork Center</x:v>
      </x:c>
      <x:c r="C20" s="13" t="n">
        <x:f>INDEX('30 Call Targets'!$D$8:$D$37,MATCH($A20,'30 Call Targets'!$A$8:$A$37,0))</x:f>
        <x:v>3</x:v>
      </x:c>
      <x:c r="D20" s="29" t="n">
        <x:f>$B$5+7*(C20-1)</x:f>
        <x:v>46307.5</x:v>
      </x:c>
      <x:c r="E20" s="31" t="str">
        <x:v>Not called</x:v>
      </x:c>
      <x:c r="F20" s="32"/>
      <x:c r="G20" s="33"/>
      <x:c r="H20" s="33"/>
      <x:c r="I20" s="33"/>
      <x:c r="J20" s="31" t="str">
        <x:v>Unknown</x:v>
      </x:c>
      <x:c r="K20" s="31" t="str">
        <x:v>Unknown</x:v>
      </x:c>
      <x:c r="L20" s="31" t="str">
        <x:v>Unknown</x:v>
      </x:c>
      <x:c r="M20" s="31" t="str"/>
      <x:c r="N20" s="31" t="str"/>
      <x:c r="O20" s="31" t="str"/>
      <x:c r="P20" s="31" t="str"/>
      <x:c r="Q20" s="32"/>
      <x:c r="R20" s="31" t="str"/>
      <x:c r="S20" s="31" t="str"/>
      <x:c r="T20" s="31" t="str"/>
    </x:row>
    <x:row r="21" ht="54" customHeight="1">
      <x:c r="A21" s="12" t="n">
        <x:v>14</x:v>
      </x:c>
      <x:c r="B21" s="11" t="str">
        <x:f>INDEX('30 Call Targets'!$B$8:$B$37,MATCH($A21,'30 Call Targets'!$A$8:$A$37,0))</x:f>
        <x:v>Parks Family Meats</x:v>
      </x:c>
      <x:c r="C21" s="12" t="n">
        <x:f>INDEX('30 Call Targets'!$D$8:$D$37,MATCH($A21,'30 Call Targets'!$A$8:$A$37,0))</x:f>
        <x:v>3</x:v>
      </x:c>
      <x:c r="D21" s="30" t="n">
        <x:f>$B$5+7*(C21-1)</x:f>
        <x:v>46307.5</x:v>
      </x:c>
      <x:c r="E21" s="31" t="str">
        <x:v>Not called</x:v>
      </x:c>
      <x:c r="F21" s="32"/>
      <x:c r="G21" s="33"/>
      <x:c r="H21" s="33"/>
      <x:c r="I21" s="33"/>
      <x:c r="J21" s="31" t="str">
        <x:v>Unknown</x:v>
      </x:c>
      <x:c r="K21" s="31" t="str">
        <x:v>Unknown</x:v>
      </x:c>
      <x:c r="L21" s="31" t="str">
        <x:v>Unknown</x:v>
      </x:c>
      <x:c r="M21" s="31" t="str"/>
      <x:c r="N21" s="31" t="str"/>
      <x:c r="O21" s="31" t="str"/>
      <x:c r="P21" s="31" t="str"/>
      <x:c r="Q21" s="32"/>
      <x:c r="R21" s="31" t="str"/>
      <x:c r="S21" s="31" t="str"/>
      <x:c r="T21" s="31" t="str"/>
    </x:row>
    <x:row r="22" ht="54" customHeight="1">
      <x:c r="A22" s="13" t="n">
        <x:v>15</x:v>
      </x:c>
      <x:c r="B22" s="14" t="str">
        <x:f>INDEX('30 Call Targets'!$B$8:$B$37,MATCH($A22,'30 Call Targets'!$A$8:$A$37,0))</x:f>
        <x:v>Villari / The Pork Company</x:v>
      </x:c>
      <x:c r="C22" s="13" t="n">
        <x:f>INDEX('30 Call Targets'!$D$8:$D$37,MATCH($A22,'30 Call Targets'!$A$8:$A$37,0))</x:f>
        <x:v>3</x:v>
      </x:c>
      <x:c r="D22" s="29" t="n">
        <x:f>$B$5+7*(C22-1)</x:f>
        <x:v>46307.5</x:v>
      </x:c>
      <x:c r="E22" s="31" t="str">
        <x:v>Not called</x:v>
      </x:c>
      <x:c r="F22" s="32"/>
      <x:c r="G22" s="33"/>
      <x:c r="H22" s="33"/>
      <x:c r="I22" s="33"/>
      <x:c r="J22" s="31" t="str">
        <x:v>Unknown</x:v>
      </x:c>
      <x:c r="K22" s="31" t="str">
        <x:v>Unknown</x:v>
      </x:c>
      <x:c r="L22" s="31" t="str">
        <x:v>Unknown</x:v>
      </x:c>
      <x:c r="M22" s="31" t="str"/>
      <x:c r="N22" s="31" t="str"/>
      <x:c r="O22" s="31" t="str"/>
      <x:c r="P22" s="31" t="str"/>
      <x:c r="Q22" s="32"/>
      <x:c r="R22" s="31" t="str"/>
      <x:c r="S22" s="31" t="str"/>
      <x:c r="T22" s="31" t="str"/>
    </x:row>
    <x:row r="23" ht="54" customHeight="1">
      <x:c r="A23" s="12" t="n">
        <x:v>16</x:v>
      </x:c>
      <x:c r="B23" s="11" t="str">
        <x:f>INDEX('30 Call Targets'!$B$8:$B$37,MATCH($A23,'30 Call Targets'!$A$8:$A$37,0))</x:f>
        <x:v>Bass Farms</x:v>
      </x:c>
      <x:c r="C23" s="12" t="n">
        <x:f>INDEX('30 Call Targets'!$D$8:$D$37,MATCH($A23,'30 Call Targets'!$A$8:$A$37,0))</x:f>
        <x:v>4</x:v>
      </x:c>
      <x:c r="D23" s="30" t="n">
        <x:f>$B$5+7*(C23-1)</x:f>
        <x:v>46314.5</x:v>
      </x:c>
      <x:c r="E23" s="31" t="str">
        <x:v>Not called</x:v>
      </x:c>
      <x:c r="F23" s="32"/>
      <x:c r="G23" s="33"/>
      <x:c r="H23" s="33"/>
      <x:c r="I23" s="33"/>
      <x:c r="J23" s="31" t="str">
        <x:v>Unknown</x:v>
      </x:c>
      <x:c r="K23" s="31" t="str">
        <x:v>Unknown</x:v>
      </x:c>
      <x:c r="L23" s="31" t="str">
        <x:v>Unknown</x:v>
      </x:c>
      <x:c r="M23" s="31" t="str"/>
      <x:c r="N23" s="31" t="str"/>
      <x:c r="O23" s="31" t="str"/>
      <x:c r="P23" s="31" t="str"/>
      <x:c r="Q23" s="32"/>
      <x:c r="R23" s="31" t="str"/>
      <x:c r="S23" s="31" t="str"/>
      <x:c r="T23" s="31" t="str"/>
    </x:row>
    <x:row r="24" ht="54" customHeight="1">
      <x:c r="A24" s="13" t="n">
        <x:v>17</x:v>
      </x:c>
      <x:c r="B24" s="14" t="str">
        <x:f>INDEX('30 Call Targets'!$B$8:$B$37,MATCH($A24,'30 Call Targets'!$A$8:$A$37,0))</x:f>
        <x:v>Select Meats</x:v>
      </x:c>
      <x:c r="C24" s="13" t="n">
        <x:f>INDEX('30 Call Targets'!$D$8:$D$37,MATCH($A24,'30 Call Targets'!$A$8:$A$37,0))</x:f>
        <x:v>4</x:v>
      </x:c>
      <x:c r="D24" s="29" t="n">
        <x:f>$B$5+7*(C24-1)</x:f>
        <x:v>46314.5</x:v>
      </x:c>
      <x:c r="E24" s="31" t="str">
        <x:v>Not called</x:v>
      </x:c>
      <x:c r="F24" s="32"/>
      <x:c r="G24" s="33"/>
      <x:c r="H24" s="33"/>
      <x:c r="I24" s="33"/>
      <x:c r="J24" s="31" t="str">
        <x:v>Unknown</x:v>
      </x:c>
      <x:c r="K24" s="31" t="str">
        <x:v>Unknown</x:v>
      </x:c>
      <x:c r="L24" s="31" t="str">
        <x:v>Unknown</x:v>
      </x:c>
      <x:c r="M24" s="31" t="str"/>
      <x:c r="N24" s="31" t="str"/>
      <x:c r="O24" s="31" t="str"/>
      <x:c r="P24" s="31" t="str"/>
      <x:c r="Q24" s="32"/>
      <x:c r="R24" s="31" t="str"/>
      <x:c r="S24" s="31" t="str"/>
      <x:c r="T24" s="31" t="str"/>
    </x:row>
    <x:row r="25" ht="54" customHeight="1">
      <x:c r="A25" s="12" t="n">
        <x:v>18</x:v>
      </x:c>
      <x:c r="B25" s="11" t="str">
        <x:f>INDEX('30 Call Targets'!$B$8:$B$37,MATCH($A25,'30 Call Targets'!$A$8:$A$37,0))</x:f>
        <x:v>Cruse Meat Processing</x:v>
      </x:c>
      <x:c r="C25" s="12" t="n">
        <x:f>INDEX('30 Call Targets'!$D$8:$D$37,MATCH($A25,'30 Call Targets'!$A$8:$A$37,0))</x:f>
        <x:v>4</x:v>
      </x:c>
      <x:c r="D25" s="30" t="n">
        <x:f>$B$5+7*(C25-1)</x:f>
        <x:v>46314.5</x:v>
      </x:c>
      <x:c r="E25" s="31" t="str">
        <x:v>Not called</x:v>
      </x:c>
      <x:c r="F25" s="32"/>
      <x:c r="G25" s="33"/>
      <x:c r="H25" s="33"/>
      <x:c r="I25" s="33"/>
      <x:c r="J25" s="31" t="str">
        <x:v>Unknown</x:v>
      </x:c>
      <x:c r="K25" s="31" t="str">
        <x:v>Unknown</x:v>
      </x:c>
      <x:c r="L25" s="31" t="str">
        <x:v>Unknown</x:v>
      </x:c>
      <x:c r="M25" s="31" t="str"/>
      <x:c r="N25" s="31" t="str"/>
      <x:c r="O25" s="31" t="str"/>
      <x:c r="P25" s="31" t="str"/>
      <x:c r="Q25" s="32"/>
      <x:c r="R25" s="31" t="str"/>
      <x:c r="S25" s="31" t="str"/>
      <x:c r="T25" s="31" t="str"/>
    </x:row>
    <x:row r="26" ht="54" customHeight="1">
      <x:c r="A26" s="13" t="n">
        <x:v>19</x:v>
      </x:c>
      <x:c r="B26" s="14" t="str">
        <x:f>INDEX('30 Call Targets'!$B$8:$B$37,MATCH($A26,'30 Call Targets'!$A$8:$A$37,0))</x:f>
        <x:v>Larry's Sausage Company</x:v>
      </x:c>
      <x:c r="C26" s="13" t="n">
        <x:f>INDEX('30 Call Targets'!$D$8:$D$37,MATCH($A26,'30 Call Targets'!$A$8:$A$37,0))</x:f>
        <x:v>4</x:v>
      </x:c>
      <x:c r="D26" s="29" t="n">
        <x:f>$B$5+7*(C26-1)</x:f>
        <x:v>46314.5</x:v>
      </x:c>
      <x:c r="E26" s="31" t="str">
        <x:v>Not called</x:v>
      </x:c>
      <x:c r="F26" s="32"/>
      <x:c r="G26" s="33"/>
      <x:c r="H26" s="33"/>
      <x:c r="I26" s="33"/>
      <x:c r="J26" s="31" t="str">
        <x:v>Unknown</x:v>
      </x:c>
      <x:c r="K26" s="31" t="str">
        <x:v>Unknown</x:v>
      </x:c>
      <x:c r="L26" s="31" t="str">
        <x:v>Unknown</x:v>
      </x:c>
      <x:c r="M26" s="31" t="str"/>
      <x:c r="N26" s="31" t="str"/>
      <x:c r="O26" s="31" t="str"/>
      <x:c r="P26" s="31" t="str"/>
      <x:c r="Q26" s="32"/>
      <x:c r="R26" s="31" t="str"/>
      <x:c r="S26" s="31" t="str"/>
      <x:c r="T26" s="31" t="str"/>
    </x:row>
    <x:row r="27" ht="54" customHeight="1">
      <x:c r="A27" s="12" t="n">
        <x:v>20</x:v>
      </x:c>
      <x:c r="B27" s="11" t="str">
        <x:f>INDEX('30 Call Targets'!$B$8:$B$37,MATCH($A27,'30 Call Targets'!$A$8:$A$37,0))</x:f>
        <x:v>Neese Country Sausage, Burlington plant</x:v>
      </x:c>
      <x:c r="C27" s="12" t="n">
        <x:f>INDEX('30 Call Targets'!$D$8:$D$37,MATCH($A27,'30 Call Targets'!$A$8:$A$37,0))</x:f>
        <x:v>4</x:v>
      </x:c>
      <x:c r="D27" s="30" t="n">
        <x:f>$B$5+7*(C27-1)</x:f>
        <x:v>46314.5</x:v>
      </x:c>
      <x:c r="E27" s="31" t="str">
        <x:v>Not called</x:v>
      </x:c>
      <x:c r="F27" s="32"/>
      <x:c r="G27" s="33"/>
      <x:c r="H27" s="33"/>
      <x:c r="I27" s="33"/>
      <x:c r="J27" s="31" t="str">
        <x:v>Unknown</x:v>
      </x:c>
      <x:c r="K27" s="31" t="str">
        <x:v>Unknown</x:v>
      </x:c>
      <x:c r="L27" s="31" t="str">
        <x:v>Unknown</x:v>
      </x:c>
      <x:c r="M27" s="31" t="str"/>
      <x:c r="N27" s="31" t="str"/>
      <x:c r="O27" s="31" t="str"/>
      <x:c r="P27" s="31" t="str"/>
      <x:c r="Q27" s="32"/>
      <x:c r="R27" s="31" t="str"/>
      <x:c r="S27" s="31" t="str"/>
      <x:c r="T27" s="31" t="str"/>
    </x:row>
    <x:row r="28" ht="54" customHeight="1">
      <x:c r="A28" s="13" t="n">
        <x:v>21</x:v>
      </x:c>
      <x:c r="B28" s="14" t="str">
        <x:f>INDEX('30 Call Targets'!$B$8:$B$37,MATCH($A28,'30 Call Targets'!$A$8:$A$37,0))</x:f>
        <x:v>AAA Abattoir</x:v>
      </x:c>
      <x:c r="C28" s="13" t="n">
        <x:f>INDEX('30 Call Targets'!$D$8:$D$37,MATCH($A28,'30 Call Targets'!$A$8:$A$37,0))</x:f>
        <x:v>5</x:v>
      </x:c>
      <x:c r="D28" s="29" t="n">
        <x:f>$B$5+7*(C28-1)</x:f>
        <x:v>46321.5</x:v>
      </x:c>
      <x:c r="E28" s="31" t="str">
        <x:v>Not called</x:v>
      </x:c>
      <x:c r="F28" s="32"/>
      <x:c r="G28" s="33"/>
      <x:c r="H28" s="33"/>
      <x:c r="I28" s="33"/>
      <x:c r="J28" s="31" t="str">
        <x:v>Unknown</x:v>
      </x:c>
      <x:c r="K28" s="31" t="str">
        <x:v>Unknown</x:v>
      </x:c>
      <x:c r="L28" s="31" t="str">
        <x:v>Unknown</x:v>
      </x:c>
      <x:c r="M28" s="31" t="str"/>
      <x:c r="N28" s="31" t="str"/>
      <x:c r="O28" s="31" t="str"/>
      <x:c r="P28" s="31" t="str"/>
      <x:c r="Q28" s="32"/>
      <x:c r="R28" s="31" t="str"/>
      <x:c r="S28" s="31" t="str"/>
      <x:c r="T28" s="31" t="str"/>
    </x:row>
    <x:row r="29" ht="54" customHeight="1">
      <x:c r="A29" s="12" t="n">
        <x:v>22</x:v>
      </x:c>
      <x:c r="B29" s="11" t="str">
        <x:f>INDEX('30 Call Targets'!$B$8:$B$37,MATCH($A29,'30 Call Targets'!$A$8:$A$37,0))</x:f>
        <x:v>Coletown</x:v>
      </x:c>
      <x:c r="C29" s="12" t="n">
        <x:f>INDEX('30 Call Targets'!$D$8:$D$37,MATCH($A29,'30 Call Targets'!$A$8:$A$37,0))</x:f>
        <x:v>5</x:v>
      </x:c>
      <x:c r="D29" s="30" t="n">
        <x:f>$B$5+7*(C29-1)</x:f>
        <x:v>46321.5</x:v>
      </x:c>
      <x:c r="E29" s="31" t="str">
        <x:v>Not called</x:v>
      </x:c>
      <x:c r="F29" s="32"/>
      <x:c r="G29" s="33"/>
      <x:c r="H29" s="33"/>
      <x:c r="I29" s="33"/>
      <x:c r="J29" s="31" t="str">
        <x:v>Unknown</x:v>
      </x:c>
      <x:c r="K29" s="31" t="str">
        <x:v>Unknown</x:v>
      </x:c>
      <x:c r="L29" s="31" t="str">
        <x:v>Unknown</x:v>
      </x:c>
      <x:c r="M29" s="31" t="str"/>
      <x:c r="N29" s="31" t="str"/>
      <x:c r="O29" s="31" t="str"/>
      <x:c r="P29" s="31" t="str"/>
      <x:c r="Q29" s="32"/>
      <x:c r="R29" s="31" t="str"/>
      <x:c r="S29" s="31" t="str"/>
      <x:c r="T29" s="31" t="str"/>
    </x:row>
    <x:row r="30" ht="54" customHeight="1">
      <x:c r="A30" s="13" t="n">
        <x:v>23</x:v>
      </x:c>
      <x:c r="B30" s="14" t="str">
        <x:f>INDEX('30 Call Targets'!$B$8:$B$37,MATCH($A30,'30 Call Targets'!$A$8:$A$37,0))</x:f>
        <x:v>Homestead Custom Meat Processing</x:v>
      </x:c>
      <x:c r="C30" s="13" t="n">
        <x:f>INDEX('30 Call Targets'!$D$8:$D$37,MATCH($A30,'30 Call Targets'!$A$8:$A$37,0))</x:f>
        <x:v>5</x:v>
      </x:c>
      <x:c r="D30" s="29" t="n">
        <x:f>$B$5+7*(C30-1)</x:f>
        <x:v>46321.5</x:v>
      </x:c>
      <x:c r="E30" s="31" t="str">
        <x:v>Not called</x:v>
      </x:c>
      <x:c r="F30" s="32"/>
      <x:c r="G30" s="33"/>
      <x:c r="H30" s="33"/>
      <x:c r="I30" s="33"/>
      <x:c r="J30" s="31" t="str">
        <x:v>Unknown</x:v>
      </x:c>
      <x:c r="K30" s="31" t="str">
        <x:v>Unknown</x:v>
      </x:c>
      <x:c r="L30" s="31" t="str">
        <x:v>Unknown</x:v>
      </x:c>
      <x:c r="M30" s="31" t="str"/>
      <x:c r="N30" s="31" t="str"/>
      <x:c r="O30" s="31" t="str"/>
      <x:c r="P30" s="31" t="str"/>
      <x:c r="Q30" s="32"/>
      <x:c r="R30" s="31" t="str"/>
      <x:c r="S30" s="31" t="str"/>
      <x:c r="T30" s="31" t="str"/>
    </x:row>
    <x:row r="31" ht="54" customHeight="1">
      <x:c r="A31" s="12" t="n">
        <x:v>24</x:v>
      </x:c>
      <x:c r="B31" s="11" t="str">
        <x:f>INDEX('30 Call Targets'!$B$8:$B$37,MATCH($A31,'30 Call Targets'!$A$8:$A$37,0))</x:f>
        <x:v>Miller Meat Processing</x:v>
      </x:c>
      <x:c r="C31" s="12" t="n">
        <x:f>INDEX('30 Call Targets'!$D$8:$D$37,MATCH($A31,'30 Call Targets'!$A$8:$A$37,0))</x:f>
        <x:v>5</x:v>
      </x:c>
      <x:c r="D31" s="30" t="n">
        <x:f>$B$5+7*(C31-1)</x:f>
        <x:v>46321.5</x:v>
      </x:c>
      <x:c r="E31" s="31" t="str">
        <x:v>Not called</x:v>
      </x:c>
      <x:c r="F31" s="32"/>
      <x:c r="G31" s="33"/>
      <x:c r="H31" s="33"/>
      <x:c r="I31" s="33"/>
      <x:c r="J31" s="31" t="str">
        <x:v>Unknown</x:v>
      </x:c>
      <x:c r="K31" s="31" t="str">
        <x:v>Unknown</x:v>
      </x:c>
      <x:c r="L31" s="31" t="str">
        <x:v>Unknown</x:v>
      </x:c>
      <x:c r="M31" s="31" t="str"/>
      <x:c r="N31" s="31" t="str"/>
      <x:c r="O31" s="31" t="str"/>
      <x:c r="P31" s="31" t="str"/>
      <x:c r="Q31" s="32"/>
      <x:c r="R31" s="31" t="str"/>
      <x:c r="S31" s="31" t="str"/>
      <x:c r="T31" s="31" t="str"/>
    </x:row>
    <x:row r="32" ht="54" customHeight="1">
      <x:c r="A32" s="13" t="n">
        <x:v>25</x:v>
      </x:c>
      <x:c r="B32" s="14" t="str">
        <x:f>INDEX('30 Call Targets'!$B$8:$B$37,MATCH($A32,'30 Call Targets'!$A$8:$A$37,0))</x:f>
        <x:v>Smithfield Fresh Meats, Clinton plant</x:v>
      </x:c>
      <x:c r="C32" s="13" t="n">
        <x:f>INDEX('30 Call Targets'!$D$8:$D$37,MATCH($A32,'30 Call Targets'!$A$8:$A$37,0))</x:f>
        <x:v>5</x:v>
      </x:c>
      <x:c r="D32" s="29" t="n">
        <x:f>$B$5+7*(C32-1)</x:f>
        <x:v>46321.5</x:v>
      </x:c>
      <x:c r="E32" s="31" t="str">
        <x:v>Not called</x:v>
      </x:c>
      <x:c r="F32" s="32"/>
      <x:c r="G32" s="33"/>
      <x:c r="H32" s="33"/>
      <x:c r="I32" s="33"/>
      <x:c r="J32" s="31" t="str">
        <x:v>Unknown</x:v>
      </x:c>
      <x:c r="K32" s="31" t="str">
        <x:v>Unknown</x:v>
      </x:c>
      <x:c r="L32" s="31" t="str">
        <x:v>Unknown</x:v>
      </x:c>
      <x:c r="M32" s="31" t="str"/>
      <x:c r="N32" s="31" t="str"/>
      <x:c r="O32" s="31" t="str"/>
      <x:c r="P32" s="31" t="str"/>
      <x:c r="Q32" s="32"/>
      <x:c r="R32" s="31" t="str"/>
      <x:c r="S32" s="31" t="str"/>
      <x:c r="T32" s="31" t="str"/>
    </x:row>
    <x:row r="33" ht="54" customHeight="1">
      <x:c r="A33" s="12" t="n">
        <x:v>26</x:v>
      </x:c>
      <x:c r="B33" s="11" t="str">
        <x:f>INDEX('30 Call Targets'!$B$8:$B$37,MATCH($A33,'30 Call Targets'!$A$8:$A$37,0))</x:f>
        <x:v>Firsthand Foods</x:v>
      </x:c>
      <x:c r="C33" s="12" t="n">
        <x:f>INDEX('30 Call Targets'!$D$8:$D$37,MATCH($A33,'30 Call Targets'!$A$8:$A$37,0))</x:f>
        <x:v>6</x:v>
      </x:c>
      <x:c r="D33" s="30" t="n">
        <x:f>$B$5+7*(C33-1)</x:f>
        <x:v>46328.5</x:v>
      </x:c>
      <x:c r="E33" s="31" t="str">
        <x:v>Not called</x:v>
      </x:c>
      <x:c r="F33" s="32"/>
      <x:c r="G33" s="33"/>
      <x:c r="H33" s="33"/>
      <x:c r="I33" s="33"/>
      <x:c r="J33" s="31" t="str">
        <x:v>Unknown</x:v>
      </x:c>
      <x:c r="K33" s="31" t="str">
        <x:v>Unknown</x:v>
      </x:c>
      <x:c r="L33" s="31" t="str">
        <x:v>Unknown</x:v>
      </x:c>
      <x:c r="M33" s="31" t="str"/>
      <x:c r="N33" s="31" t="str"/>
      <x:c r="O33" s="31" t="str"/>
      <x:c r="P33" s="31" t="str"/>
      <x:c r="Q33" s="32"/>
      <x:c r="R33" s="31" t="str"/>
      <x:c r="S33" s="31" t="str"/>
      <x:c r="T33" s="31" t="str"/>
    </x:row>
    <x:row r="34" ht="54" customHeight="1">
      <x:c r="A34" s="13" t="n">
        <x:v>27</x:v>
      </x:c>
      <x:c r="B34" s="14" t="str">
        <x:f>INDEX('30 Call Targets'!$B$8:$B$37,MATCH($A34,'30 Call Targets'!$A$8:$A$37,0))</x:f>
        <x:v>Heritage Farms Cheshire Pork</x:v>
      </x:c>
      <x:c r="C34" s="13" t="n">
        <x:f>INDEX('30 Call Targets'!$D$8:$D$37,MATCH($A34,'30 Call Targets'!$A$8:$A$37,0))</x:f>
        <x:v>6</x:v>
      </x:c>
      <x:c r="D34" s="29" t="n">
        <x:f>$B$5+7*(C34-1)</x:f>
        <x:v>46328.5</x:v>
      </x:c>
      <x:c r="E34" s="31" t="str">
        <x:v>Not called</x:v>
      </x:c>
      <x:c r="F34" s="32"/>
      <x:c r="G34" s="33"/>
      <x:c r="H34" s="33"/>
      <x:c r="I34" s="33"/>
      <x:c r="J34" s="31" t="str">
        <x:v>Unknown</x:v>
      </x:c>
      <x:c r="K34" s="31" t="str">
        <x:v>Unknown</x:v>
      </x:c>
      <x:c r="L34" s="31" t="str">
        <x:v>Unknown</x:v>
      </x:c>
      <x:c r="M34" s="31" t="str"/>
      <x:c r="N34" s="31" t="str"/>
      <x:c r="O34" s="31" t="str"/>
      <x:c r="P34" s="31" t="str"/>
      <x:c r="Q34" s="32"/>
      <x:c r="R34" s="31" t="str"/>
      <x:c r="S34" s="31" t="str"/>
      <x:c r="T34" s="31" t="str"/>
    </x:row>
    <x:row r="35" ht="54" customHeight="1">
      <x:c r="A35" s="12" t="n">
        <x:v>28</x:v>
      </x:c>
      <x:c r="B35" s="11" t="str">
        <x:f>INDEX('30 Call Targets'!$B$8:$B$37,MATCH($A35,'30 Call Targets'!$A$8:$A$37,0))</x:f>
        <x:v>Carolina Packers</x:v>
      </x:c>
      <x:c r="C35" s="12" t="n">
        <x:f>INDEX('30 Call Targets'!$D$8:$D$37,MATCH($A35,'30 Call Targets'!$A$8:$A$37,0))</x:f>
        <x:v>6</x:v>
      </x:c>
      <x:c r="D35" s="30" t="n">
        <x:f>$B$5+7*(C35-1)</x:f>
        <x:v>46328.5</x:v>
      </x:c>
      <x:c r="E35" s="31" t="str">
        <x:v>Not called</x:v>
      </x:c>
      <x:c r="F35" s="32"/>
      <x:c r="G35" s="33"/>
      <x:c r="H35" s="33"/>
      <x:c r="I35" s="33"/>
      <x:c r="J35" s="31" t="str">
        <x:v>Unknown</x:v>
      </x:c>
      <x:c r="K35" s="31" t="str">
        <x:v>Unknown</x:v>
      </x:c>
      <x:c r="L35" s="31" t="str">
        <x:v>Unknown</x:v>
      </x:c>
      <x:c r="M35" s="31" t="str"/>
      <x:c r="N35" s="31" t="str"/>
      <x:c r="O35" s="31" t="str"/>
      <x:c r="P35" s="31" t="str"/>
      <x:c r="Q35" s="32"/>
      <x:c r="R35" s="31" t="str"/>
      <x:c r="S35" s="31" t="str"/>
      <x:c r="T35" s="31" t="str"/>
    </x:row>
    <x:row r="36" ht="54" customHeight="1">
      <x:c r="A36" s="13" t="n">
        <x:v>29</x:v>
      </x:c>
      <x:c r="B36" s="14" t="str">
        <x:f>INDEX('30 Call Targets'!$B$8:$B$37,MATCH($A36,'30 Call Targets'!$A$8:$A$37,0))</x:f>
        <x:v>NC Choices, Sarah Blacklin</x:v>
      </x:c>
      <x:c r="C36" s="13" t="n">
        <x:f>INDEX('30 Call Targets'!$D$8:$D$37,MATCH($A36,'30 Call Targets'!$A$8:$A$37,0))</x:f>
        <x:v>6</x:v>
      </x:c>
      <x:c r="D36" s="29" t="n">
        <x:f>$B$5+7*(C36-1)</x:f>
        <x:v>46328.5</x:v>
      </x:c>
      <x:c r="E36" s="31" t="str">
        <x:v>Not called</x:v>
      </x:c>
      <x:c r="F36" s="32"/>
      <x:c r="G36" s="33"/>
      <x:c r="H36" s="33"/>
      <x:c r="I36" s="33"/>
      <x:c r="J36" s="31" t="str">
        <x:v>Unknown</x:v>
      </x:c>
      <x:c r="K36" s="31" t="str">
        <x:v>Unknown</x:v>
      </x:c>
      <x:c r="L36" s="31" t="str">
        <x:v>Unknown</x:v>
      </x:c>
      <x:c r="M36" s="31" t="str"/>
      <x:c r="N36" s="31" t="str"/>
      <x:c r="O36" s="31" t="str"/>
      <x:c r="P36" s="31" t="str"/>
      <x:c r="Q36" s="32"/>
      <x:c r="R36" s="31" t="str"/>
      <x:c r="S36" s="31" t="str"/>
      <x:c r="T36" s="31" t="str"/>
    </x:row>
    <x:row r="37" ht="54" customHeight="1">
      <x:c r="A37" s="12" t="n">
        <x:v>30</x:v>
      </x:c>
      <x:c r="B37" s="11" t="str">
        <x:f>INDEX('30 Call Targets'!$B$8:$B$37,MATCH($A37,'30 Call Targets'!$A$8:$A$37,0))</x:f>
        <x:v>NC Meat and Poultry Inspection Division</x:v>
      </x:c>
      <x:c r="C37" s="12" t="n">
        <x:f>INDEX('30 Call Targets'!$D$8:$D$37,MATCH($A37,'30 Call Targets'!$A$8:$A$37,0))</x:f>
        <x:v>6</x:v>
      </x:c>
      <x:c r="D37" s="30" t="n">
        <x:f>$B$5+7*(C37-1)</x:f>
        <x:v>46328.5</x:v>
      </x:c>
      <x:c r="E37" s="31" t="str">
        <x:v>Not called</x:v>
      </x:c>
      <x:c r="F37" s="32"/>
      <x:c r="G37" s="33"/>
      <x:c r="H37" s="33"/>
      <x:c r="I37" s="33"/>
      <x:c r="J37" s="31" t="str">
        <x:v>Unknown</x:v>
      </x:c>
      <x:c r="K37" s="31" t="str">
        <x:v>Unknown</x:v>
      </x:c>
      <x:c r="L37" s="31" t="str">
        <x:v>Unknown</x:v>
      </x:c>
      <x:c r="M37" s="31" t="str"/>
      <x:c r="N37" s="31" t="str"/>
      <x:c r="O37" s="31" t="str"/>
      <x:c r="P37" s="31" t="str"/>
      <x:c r="Q37" s="32"/>
      <x:c r="R37" s="31" t="str"/>
      <x:c r="S37" s="31" t="str"/>
      <x:c r="T37" s="31" t="str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2" customHeight="1">
      <x:c r="A39" s="6" t="str">
        <x:v>Before advancing: verify the actual route, suitable animals, tissue ownership, collection timing, and a workable space or supplier-harvest arrangement.</x:v>
      </x:c>
      <x:c r="B39" s="6"/>
      <x:c r="C39" s="6"/>
      <x:c r="D39" s="6"/>
      <x:c r="E39" s="6"/>
      <x:c r="F39" s="6"/>
      <x:c r="G39" s="6"/>
      <x:c r="H39" s="6"/>
      <x:c r="I39" s="6"/>
      <x:c r="J39" s="6"/>
      <x:c r="K39" s="6"/>
      <x:c r="L39" s="6"/>
      <x:c r="M39" s="6"/>
      <x:c r="N39" s="6"/>
      <x:c r="O39" s="6"/>
      <x:c r="P39" s="6"/>
      <x:c r="Q39" s="6"/>
      <x:c r="R39" s="6"/>
      <x:c r="S39" s="6"/>
      <x:c r="T39" s="6"/>
    </x:row>
    <x:row r="40" ht="22" customHeight="1">
      <x:c r="A40" s="6" t="str">
        <x:v>Confirm weekly pig throughput separately from maximum capacity and from the number of pigs in the target weight range.</x:v>
      </x:c>
      <x:c r="B40" s="6"/>
      <x:c r="C40" s="6"/>
      <x:c r="D40" s="6"/>
      <x:c r="E40" s="6"/>
      <x:c r="F40" s="6"/>
      <x:c r="G40" s="6"/>
      <x:c r="H40" s="6"/>
      <x:c r="I40" s="6"/>
      <x:c r="J40" s="6"/>
      <x:c r="K40" s="6"/>
      <x:c r="L40" s="6"/>
      <x:c r="M40" s="6"/>
      <x:c r="N40" s="6"/>
      <x:c r="O40" s="6"/>
      <x:c r="P40" s="6"/>
      <x:c r="Q40" s="6"/>
      <x:c r="R40" s="6"/>
      <x:c r="S40" s="6"/>
      <x:c r="T40" s="6"/>
    </x:row>
    <x:row r="41" ht="22" customHeight="1">
      <x:c r="A41" s="6" t="str">
        <x:v>For custom-only operators, establish whether they can supply specimens for your intended use. Ask the state inspection division when needed.</x:v>
      </x:c>
      <x:c r="B41" s="6"/>
      <x:c r="C41" s="6"/>
      <x:c r="D41" s="6"/>
      <x:c r="E41" s="6"/>
      <x:c r="F41" s="6"/>
      <x:c r="G41" s="6"/>
      <x:c r="H41" s="6"/>
      <x:c r="I41" s="6"/>
      <x:c r="J41" s="6"/>
      <x:c r="K41" s="6"/>
      <x:c r="L41" s="6"/>
      <x:c r="M41" s="6"/>
      <x:c r="N41" s="6"/>
      <x:c r="O41" s="6"/>
      <x:c r="P41" s="6"/>
      <x:c r="Q41" s="6"/>
      <x:c r="R41" s="6"/>
      <x:c r="S41" s="6"/>
      <x:c r="T41" s="6"/>
    </x:row>
    <x:row r="42" ht="22" customHeight="1">
      <x:c r="A42" s="6" t="str">
        <x:v>During a pilot, record intact-block yield, time from slaughter to collection, chilling, damage and acceptance rate before negotiating recurring supply.</x:v>
      </x:c>
      <x:c r="B42" s="6"/>
      <x:c r="C42" s="6"/>
      <x:c r="D42" s="6"/>
      <x:c r="E42" s="6"/>
      <x:c r="F42" s="6"/>
      <x:c r="G42" s="6"/>
      <x:c r="H42" s="6"/>
      <x:c r="I42" s="6"/>
      <x:c r="J42" s="6"/>
      <x:c r="K42" s="6"/>
      <x:c r="L42" s="6"/>
      <x:c r="M42" s="6"/>
      <x:c r="N42" s="6"/>
      <x:c r="O42" s="6"/>
      <x:c r="P42" s="6"/>
      <x:c r="Q42" s="6"/>
      <x:c r="R42" s="6"/>
      <x:c r="S42" s="6"/>
      <x:c r="T42" s="6"/>
    </x:row>
  </x:sheetData>
  <x:conditionalFormatting sqref="E8:E37">
    <x:cfRule type="containsText" dxfId="2" priority="1" operator="containsText" text="Disqualified"/>
  </x:conditionalFormatting>
  <x:dataValidations count="3">
    <x:dataValidation type="list" sqref="E8:E37">
      <x:formula1>"Not called,Message left,Spoke with plant,Follow-up needed,Visit planned,Pilot planned,Qualified,Disqualified,Referral obtained"</x:formula1>
    </x:dataValidation>
    <x:dataValidation type="list" sqref="J8:L37">
      <x:formula1>"Unknown,Yes,No,Conditional"</x:formula1>
    </x:dataValidation>
    <x:dataValidation type="whole" operator="greaterThanOrEqual" sqref="G8:I37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4e122dc3fb48f4"/>
  </x:tableParts>
</x:worksheet>
</file>

<file path=xl/worksheets/sheet4.xml><?xml version="1.0" encoding="utf-8"?>
<x:worksheet xmlns:x="http://schemas.openxmlformats.org/spreadsheetml/2006/main">
  <x:sheetPr>
    <x:tabColor rgb="FF213B55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9" hidden="0" customWidth="1"/>
    <x:col min="2" max="2" width="32" hidden="0" customWidth="1"/>
    <x:col min="3" max="3" width="25" hidden="0" customWidth="1"/>
    <x:col min="4" max="4" width="21" hidden="0" customWidth="1"/>
    <x:col min="5" max="5" width="29" hidden="0" customWidth="1"/>
    <x:col min="6" max="6" width="57" hidden="0" customWidth="1"/>
    <x:col min="7" max="7" width="62" hidden="0" customWidth="1"/>
    <x:col min="8" max="8" width="56" hidden="0" customWidth="1"/>
    <x:col min="9" max="9" width="47" hidden="0" customWidth="1"/>
    <x:col min="10" max="10" width="48" hidden="0" customWidth="1"/>
    <x:col min="11" max="11" width="48" hidden="0" customWidth="1"/>
    <x:col min="12" max="12" width="48" hidden="0" customWidth="1"/>
    <x:col min="13" max="13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4" t="str">
        <x:v>Social evidence and inspection cross-checks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2" customHeight="1">
      <x:c r="A3" s="6" t="str">
        <x:v>Facebook, Instagram, Nextdoor and mirrored social posts are used as discovery signals. Public access was often limited to indexed excerpts.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2" customHeight="1">
      <x:c r="A4" s="6" t="str">
        <x:v>Post dates are separate from the research date. An inspection identity match does not independently verify the social claim.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2" customHeight="1">
      <x:c r="A5" s="6" t="str">
        <x:v>Cross-checks use the current NC inspection directory or explicitly identified FSIS-derived secondary records. No reviewed social signal establishes 2,000–5,000 pigs/week or room rental.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  <x:c r="M5" s="6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4" customHeight="1">
      <x:c r="A7" s="10" t="str">
        <x:v>Call priority</x:v>
      </x:c>
      <x:c r="B7" s="10" t="str">
        <x:v>Supplier</x:v>
      </x:c>
      <x:c r="C7" s="10" t="str">
        <x:v>Platform</x:v>
      </x:c>
      <x:c r="D7" s="10" t="str">
        <x:v>Post date / status</x:v>
      </x:c>
      <x:c r="E7" s="10" t="str">
        <x:v>Evidence access</x:v>
      </x:c>
      <x:c r="F7" s="10" t="str">
        <x:v>Signal found</x:v>
      </x:c>
      <x:c r="G7" s="10" t="str">
        <x:v>Identity and inspection match</x:v>
      </x:c>
      <x:c r="H7" s="10" t="str">
        <x:v>Implication for call</x:v>
      </x:c>
      <x:c r="I7" s="10" t="str">
        <x:v>Evidence limits</x:v>
      </x:c>
      <x:c r="J7" s="10" t="str">
        <x:v>Social link</x:v>
      </x:c>
      <x:c r="K7" s="10" t="str">
        <x:v>Inspection source</x:v>
      </x:c>
      <x:c r="L7" s="10" t="str">
        <x:v>Supporting link</x:v>
      </x:c>
      <x:c r="M7" s="10" t="str">
        <x:v>Checked</x:v>
      </x:c>
    </x:row>
    <x:row r="8" ht="122" customHeight="1">
      <x:c r="A8" s="13" t="n">
        <x:v>1</x:v>
      </x:c>
      <x:c r="B8" s="14" t="str">
        <x:v>Piedmont Custom Meats</x:v>
      </x:c>
      <x:c r="C8" s="14" t="str">
        <x:v>Facebook</x:v>
      </x:c>
      <x:c r="D8" s="14" t="str">
        <x:v>Post date unavailable; indexed excerpt reviewed</x:v>
      </x:c>
      <x:c r="E8" s="14" t="str">
        <x:v>Company post; indexed excerpt</x:v>
      </x:c>
      <x:c r="F8" s="14" t="str">
        <x:v>Describes processing animals raised by customers. Supports a service-processing model, not plant ownership of all organs.</x:v>
      </x:c>
      <x:c r="G8" s="14" t="str">
        <x:v>Company name matches M7975. Company site identifies the Gibsonville harvest address; secondary FSIS-derived directory matches it.</x:v>
      </x:c>
      <x:c r="H8" s="14" t="str">
        <x:v>Ask who must authorize organ diversion: plant, livestock owner, or both. Confirm weekly pig count separately.</x:v>
      </x:c>
      <x:c r="I8" s="14" t="str">
        <x:v>No weekly count, spare room or tissue program established.</x:v>
      </x:c>
      <x:c r="J8" s="14" t="str">
        <x:v>https://www.facebook.com/PiedmontCustomMeatsNC/videos/you-raise-it-we-process-it-you-bring-it-to-market-thats-the-whole-model-piedmont/1637823381097926/</x:v>
      </x:c>
      <x:c r="K8" s="14" t="str">
        <x:v>https://localmeat.org/processors/north-carolina/piedmont-custom-meats-inc-gibsonville-m7975</x:v>
      </x:c>
      <x:c r="L8" s="14" t="str">
        <x:v>https://www.piedmontcustommeats.com/</x:v>
      </x:c>
      <x:c r="M8" s="19" t="n">
        <x:v>46293.5</x:v>
      </x:c>
    </x:row>
    <x:row r="9" ht="122" customHeight="1">
      <x:c r="A9" s="12" t="n">
        <x:v>1</x:v>
      </x:c>
      <x:c r="B9" s="11" t="str">
        <x:v>Piedmont Custom Meats</x:v>
      </x:c>
      <x:c r="C9" s="11" t="str">
        <x:v>Facebook</x:v>
      </x:c>
      <x:c r="D9" s="11" t="str">
        <x:v>Publication date unavailable; historical signal</x:v>
      </x:c>
      <x:c r="E9" s="11" t="str">
        <x:v>Industry organization video; indexed title/excerpt</x:v>
      </x:c>
      <x:c r="F9" s="11" t="str">
        <x:v>NC Farm Bureau published a video about a grant to increase processing capacity at Piedmont.</x:v>
      </x:c>
      <x:c r="G9" s="11" t="str">
        <x:v>Names Piedmont in Gibsonville; matches the M7975 harvest business. Full video was not accessible.</x:v>
      </x:c>
      <x:c r="H9" s="11" t="str">
        <x:v>Ask what expansion is now operating and whether any dedicated harvest workspace is possible.</x:v>
      </x:c>
      <x:c r="I9" s="11" t="str">
        <x:v>A grant/expansion signal does not establish current hog throughput or space to rent.</x:v>
      </x:c>
      <x:c r="J9" s="11" t="str">
        <x:v>https://www.facebook.com/northcarolinafarmbureau/videos/increasing-meat-processing-capacity-at-piedmont-custom-meats/235909158270778/</x:v>
      </x:c>
      <x:c r="K9" s="11" t="str">
        <x:v>https://localmeat.org/processors/north-carolina/piedmont-custom-meats-inc-gibsonville-m7975</x:v>
      </x:c>
      <x:c r="L9" s="11" t="str">
        <x:v>https://www.piedmontcustommeats.com/contact-us</x:v>
      </x:c>
      <x:c r="M9" s="20" t="n">
        <x:v>46293.5</x:v>
      </x:c>
    </x:row>
    <x:row r="10" ht="122" customHeight="1">
      <x:c r="A10" s="13" t="n">
        <x:v>2</x:v>
      </x:c>
      <x:c r="B10" s="14" t="str">
        <x:v>McLamb's Abattoir / Lee's Fresh Market</x:v>
      </x:c>
      <x:c r="C10" s="14" t="str">
        <x:v>Facebook</x:v>
      </x:c>
      <x:c r="D10" s="14" t="str">
        <x:v>Page description undated</x:v>
      </x:c>
      <x:c r="E10" s="14" t="str">
        <x:v>Company page; indexed excerpt</x:v>
      </x:c>
      <x:c r="F10" s="14" t="str">
        <x:v>Advertises custom processing and family operation. A separate indexed post gives 623 Benson Hardee Road and 919-894-2587.</x:v>
      </x:c>
      <x:c r="G10" s="14" t="str">
        <x:v>Address and phone match state directory McLamb's Abattoir, P-247. Lee's is the public-facing name; confirm contracting entity.</x:v>
      </x:c>
      <x:c r="H10" s="14" t="str">
        <x:v>Ask to speak with the slaughter operation's owner or manager about tissue recovery and work space.</x:v>
      </x:c>
      <x:c r="I10" s="14" t="str">
        <x:v>Retail promotions do not establish kill rate, pig weights or tissue experience.</x:v>
      </x:c>
      <x:c r="J10" s="14" t="str">
        <x:v>https://www.facebook.com/leesfreshmarket/</x:v>
      </x:c>
      <x:c r="K10" s="14" t="str">
        <x:v>https://www.ncagr.gov/divisions/meat-poultry-inspection/wplants/download?attachment=</x:v>
      </x:c>
      <x:c r="L10" s="14" t="str">
        <x:v>https://www.facebook.com/leesfreshmarket/posts/1720826206712885/</x:v>
      </x:c>
      <x:c r="M10" s="19" t="n">
        <x:v>46293.5</x:v>
      </x:c>
    </x:row>
    <x:row r="11" ht="122" customHeight="1">
      <x:c r="A11" s="12" t="n">
        <x:v>2</x:v>
      </x:c>
      <x:c r="B11" s="11" t="str">
        <x:v>McLamb's Abattoir / Lee's Fresh Market</x:v>
      </x:c>
      <x:c r="C11" s="11" t="str">
        <x:v>Instagram</x:v>
      </x:c>
      <x:c r="D11" s="11" t="str">
        <x:v>Profile date unavailable</x:v>
      </x:c>
      <x:c r="E11" s="11" t="str">
        <x:v>Business profile; indexed excerpt</x:v>
      </x:c>
      <x:c r="F11" s="11" t="str">
        <x:v>Matching Lee's Fresh Market name and handle provide an additional public information channel.</x:v>
      </x:c>
      <x:c r="G11" s="11" t="str">
        <x:v>Handle matches the Facebook business name. Facility identity is supported by the Facebook address/phone and P-247; Instagram alone is only a brand match.</x:v>
      </x:c>
      <x:c r="H11" s="11" t="str">
        <x:v>Monitor for closure notices or contact changes. Use the listed telephone for qualification.</x:v>
      </x:c>
      <x:c r="I11" s="11" t="str">
        <x:v>No operational throughput claim was verified from this profile.</x:v>
      </x:c>
      <x:c r="J11" s="11" t="str">
        <x:v>https://www.instagram.com/leesfreshmarket/</x:v>
      </x:c>
      <x:c r="K11" s="11" t="str">
        <x:v>https://www.ncagr.gov/divisions/meat-poultry-inspection/wplants/download?attachment=</x:v>
      </x:c>
      <x:c r="L11" s="11" t="str">
        <x:v>https://www.facebook.com/leesfreshmarket/posts/1720826206712885/</x:v>
      </x:c>
      <x:c r="M11" s="20" t="n">
        <x:v>46293.5</x:v>
      </x:c>
    </x:row>
    <x:row r="12" ht="122" customHeight="1">
      <x:c r="A12" s="13" t="n">
        <x:v>3</x:v>
      </x:c>
      <x:c r="B12" s="14" t="str">
        <x:v>Flowers Slaughter House</x:v>
      </x:c>
      <x:c r="C12" s="14" t="str">
        <x:v>Facebook</x:v>
      </x:c>
      <x:c r="D12" s="14" t="str">
        <x:v>Page description undated</x:v>
      </x:c>
      <x:c r="E12" s="14" t="str">
        <x:v>Company page; indexed excerpt</x:v>
      </x:c>
      <x:c r="F12" s="14" t="str">
        <x:v>Page advertises custom swine and beef processing. A secondary directory also reports BBQ hog-order posts.</x:v>
      </x:c>
      <x:c r="G12" s="14" t="str">
        <x:v>Flowers name and Sims location match M21747. Secondary FSIS-derived directory associates this page with 5154-A St. Rose Church Road and 252-237-2982; direct page address match remains incomplete.</x:v>
      </x:c>
      <x:c r="H12" s="14" t="str">
        <x:v>Confirm the page belongs to this plant, then ask about pig kill days, live weights and reserving intact organs.</x:v>
      </x:c>
      <x:c r="I12" s="14" t="str">
        <x:v>Swine-service signal supports a call; it does not verify volume or room availability.</x:v>
      </x:c>
      <x:c r="J12" s="14" t="str">
        <x:v>https://www.facebook.com/100063690244587/about/</x:v>
      </x:c>
      <x:c r="K12" s="14" t="str">
        <x:v>https://localmeat.org/processors/north-carolina/flowers-slaughter-house-sims-m21747</x:v>
      </x:c>
      <x:c r="L12" s="14" t="str">
        <x:v>https://www.bbb.org/us/nc/sims/profile/meat-retail/flowers-beef-slaughter-llc-0593-90184804</x:v>
      </x:c>
      <x:c r="M12" s="19" t="n">
        <x:v>46293.5</x:v>
      </x:c>
    </x:row>
    <x:row r="13" ht="122" customHeight="1">
      <x:c r="A13" s="12" t="n">
        <x:v>4</x:v>
      </x:c>
      <x:c r="B13" s="11" t="str">
        <x:v>Contentnea Farms</x:v>
      </x:c>
      <x:c r="C13" s="11" t="str">
        <x:v>Facebook</x:v>
      </x:c>
      <x:c r="D13" s="11" t="str">
        <x:v>Post date unavailable</x:v>
      </x:c>
      <x:c r="E13" s="11" t="str">
        <x:v>Company post; indexed excerpt</x:v>
      </x:c>
      <x:c r="F13" s="11" t="str">
        <x:v>Promotes a tour of the Walstonburg retail location and behind-the-scenes cutting content.</x:v>
      </x:c>
      <x:c r="G13" s="11" t="str">
        <x:v>Company website links the ContentneaFarms page. State directory TA-2583 lists the Walstonburg slaughter facility; retail branding alone does not prove the video is at the kill floor.</x:v>
      </x:c>
      <x:c r="H13" s="11" t="str">
        <x:v>Clarify exactly where slaughter and tissue recovery would occur. Discuss custom blocks with the processing manager.</x:v>
      </x:c>
      <x:c r="I13" s="11" t="str">
        <x:v>Retail tour is not evidence of spare harvest space or target weekly volume.</x:v>
      </x:c>
      <x:c r="J13" s="11" t="str">
        <x:v>https://www.facebook.com/ContentneaFarms/posts/take-a-quick-tour-of-our-walstonburg-retail-location-this-is-where-the-magic-hap/122227399094321770/</x:v>
      </x:c>
      <x:c r="K13" s="11" t="str">
        <x:v>https://www.ncagr.gov/divisions/meat-poultry-inspection/wplants/download?attachment=</x:v>
      </x:c>
      <x:c r="L13" s="11" t="str">
        <x:v>https://contentneafarms.com/processing/</x:v>
      </x:c>
      <x:c r="M13" s="20" t="n">
        <x:v>46293.5</x:v>
      </x:c>
    </x:row>
    <x:row r="14" ht="122" customHeight="1">
      <x:c r="A14" s="13" t="n">
        <x:v>8</x:v>
      </x:c>
      <x:c r="B14" s="14" t="str">
        <x:v>Cool Springs Farm and Meat</x:v>
      </x:c>
      <x:c r="C14" s="14" t="str">
        <x:v>Nextdoor</x:v>
      </x:c>
      <x:c r="D14" s="14" t="str">
        <x:v>Profile undated; separate visible activity is Jan 18, 2021</x:v>
      </x:c>
      <x:c r="E14" s="14" t="str">
        <x:v>Business profile; public text read</x:v>
      </x:c>
      <x:c r="F14" s="14" t="str">
        <x:v>Business story advertises whole/half hogs and customized processing for families.</x:v>
      </x:c>
      <x:c r="G14" s="14" t="str">
        <x:v>1041 Disher Road and 336-835-5377 match TA-1041 in current state directory and company website.</x:v>
      </x:c>
      <x:c r="H14" s="14" t="str">
        <x:v>Ask about present hog bookings and whether their harvest process can preserve intact tissue blocks.</x:v>
      </x:c>
      <x:c r="I14" s="14" t="str">
        <x:v>Historical profile; quoted turnaround is not treated as current availability or weekly throughput.</x:v>
      </x:c>
      <x:c r="J14" s="14" t="str">
        <x:v>https://nextdoor.com/pages/cool-springs-meat-processing-elkin-nc/</x:v>
      </x:c>
      <x:c r="K14" s="14" t="str">
        <x:v>https://www.ncagr.gov/divisions/meat-poultry-inspection/wplants/download?attachment=</x:v>
      </x:c>
      <x:c r="L14" s="14" t="str">
        <x:v>https://www.csmpfarmstore.com/service-page/hog-slaughter-custom</x:v>
      </x:c>
      <x:c r="M14" s="19" t="n">
        <x:v>46293.5</x:v>
      </x:c>
    </x:row>
    <x:row r="15" ht="122" customHeight="1">
      <x:c r="A15" s="12" t="n">
        <x:v>9</x:v>
      </x:c>
      <x:c r="B15" s="11" t="str">
        <x:v>Mitchell's Meat Processing</x:v>
      </x:c>
      <x:c r="C15" s="11" t="str">
        <x:v>Instagram</x:v>
      </x:c>
      <x:c r="D15" s="11" t="str">
        <x:v>Profile undated</x:v>
      </x:c>
      <x:c r="E15" s="11" t="str">
        <x:v>Company profile; indexed excerpt</x:v>
      </x:c>
      <x:c r="F15" s="11" t="str">
        <x:v>Publishes text as the preferred contact: 336-310-9538, plus office 336-591-7420 and data@mitchellsmeatnc.com.</x:v>
      </x:c>
      <x:c r="G15" s="11" t="str">
        <x:v>Office phone matches TA-46822; both phone and text match the company's 401 Mitchell Street website.</x:v>
      </x:c>
      <x:c r="H15" s="11" t="str">
        <x:v>Use the office number first; the text number is an alternate route to arrange a manager call. Ask for suitable-pig volume.</x:v>
      </x:c>
      <x:c r="I15" s="11" t="str">
        <x:v>Contact-route evidence only; no claim about available room or scale.</x:v>
      </x:c>
      <x:c r="J15" s="11" t="str">
        <x:v>https://www.instagram.com/mitchellsmeatnc/</x:v>
      </x:c>
      <x:c r="K15" s="11" t="str">
        <x:v>https://www.ncagr.gov/divisions/meat-poultry-inspection/wplants/download?attachment=</x:v>
      </x:c>
      <x:c r="L15" s="11" t="str">
        <x:v>https://www.mitchellsmeatnc.com/</x:v>
      </x:c>
      <x:c r="M15" s="20" t="n">
        <x:v>46293.5</x:v>
      </x:c>
    </x:row>
    <x:row r="16" ht="122" customHeight="1">
      <x:c r="A16" s="13" t="n">
        <x:v>9</x:v>
      </x:c>
      <x:c r="B16" s="14" t="str">
        <x:v>Mitchell's Meat Processing</x:v>
      </x:c>
      <x:c r="C16" s="14" t="str">
        <x:v>Instagram / Facebook</x:v>
      </x:c>
      <x:c r="D16" s="19" t="n">
        <x:v>46266.5</x:v>
      </x:c>
      <x:c r="E16" s="14" t="str">
        <x:v>Company post; indexed caption</x:v>
      </x:c>
      <x:c r="F16" s="14" t="str">
        <x:v>Promotes a meat-safety/workflow explanation. A matching Facebook video is indexed on the company page.</x:v>
      </x:c>
      <x:c r="G16" s="14" t="str">
        <x:v>Same account as the matching telephone profile; company website links MitchellsMeatNC. Cross-check is TA-46822.</x:v>
      </x:c>
      <x:c r="H16" s="14" t="str">
        <x:v>Useful opening for discussing training, handling steps and a supervised tissue pilot.</x:v>
      </x:c>
      <x:c r="I16" s="14" t="str">
        <x:v>Caption reviewed; full video not inspected. This is not a hygiene audit or proof of compliance.</x:v>
      </x:c>
      <x:c r="J16" s="14" t="str">
        <x:v>https://www.instagram.com/reel/DcwwDNPlE-3/</x:v>
      </x:c>
      <x:c r="K16" s="14" t="str">
        <x:v>https://www.ncagr.gov/divisions/meat-poultry-inspection/wplants/download?attachment=</x:v>
      </x:c>
      <x:c r="L16" s="14" t="str">
        <x:v>https://www.facebook.com/MitchellsMeatNC/videos/safe-meat-it-is-what-we-docome-with-us-for-a-little-learning-on-how-we-work-at-m/1008750858880932/</x:v>
      </x:c>
      <x:c r="M16" s="19" t="n">
        <x:v>46293.5</x:v>
      </x:c>
    </x:row>
    <x:row r="17" ht="122" customHeight="1">
      <x:c r="A17" s="12" t="n">
        <x:v>22</x:v>
      </x:c>
      <x:c r="B17" s="11" t="str">
        <x:v>Coletown</x:v>
      </x:c>
      <x:c r="C17" s="11" t="str">
        <x:v>Facebook</x:v>
      </x:c>
      <x:c r="D17" s="11" t="str">
        <x:v>Page description undated</x:v>
      </x:c>
      <x:c r="E17" s="11" t="str">
        <x:v>Company page; indexed excerpt</x:v>
      </x:c>
      <x:c r="F17" s="11" t="str">
        <x:v>Lists pork alongside beef, small ruminants and game processing.</x:v>
      </x:c>
      <x:c r="G17" s="11" t="str">
        <x:v>Company website links this exact Facebook page. Current state custom directory lists Coletown at 4611 NC Highway 47 with swine slaughter.</x:v>
      </x:c>
      <x:c r="H17" s="11" t="str">
        <x:v>Ask whether domestic pig slaughter is regular through deer season and who owns the specimens.</x:v>
      </x:c>
      <x:c r="I17" s="11" t="str">
        <x:v>Custom-only prospect; listing does not establish commercial tissue-supply arrangements or volume.</x:v>
      </x:c>
      <x:c r="J17" s="11" t="str">
        <x:v>https://www.facebook.com/coletown-deer-processing-103814394366421/</x:v>
      </x:c>
      <x:c r="K17" s="11" t="str">
        <x:v>https://www.ncagr.gov/divisions/meat-poultry-inspection/wplants/download?attachment=</x:v>
      </x:c>
      <x:c r="L17" s="11" t="str">
        <x:v>https://www.coletowndeerprocessing.com/</x:v>
      </x:c>
      <x:c r="M17" s="20" t="n">
        <x:v>46293.5</x:v>
      </x:c>
    </x:row>
    <x:row r="18" ht="122" customHeight="1">
      <x:c r="A18" s="13" t="n">
        <x:v>23</x:v>
      </x:c>
      <x:c r="B18" s="14" t="str">
        <x:v>Homestead Custom Meat Processing</x:v>
      </x:c>
      <x:c r="C18" s="14" t="str">
        <x:v>Facebook</x:v>
      </x:c>
      <x:c r="D18" s="14" t="str">
        <x:v>Page description undated</x:v>
      </x:c>
      <x:c r="E18" s="14" t="str">
        <x:v>Company page; indexed excerpt</x:v>
      </x:c>
      <x:c r="F18" s="14" t="str">
        <x:v>Describes a mobile service that travels to customers' farms.</x:v>
      </x:c>
      <x:c r="G18" s="14" t="str">
        <x:v>Name and Archdale location match the state custom listing. Mirror page phone 336-689-6232 matches the official directory.</x:v>
      </x:c>
      <x:c r="H18" s="14" t="str">
        <x:v>Treat as a mobile pilot/referral possibility; ask whether a fixed site exists before discussing room rental.</x:v>
      </x:c>
      <x:c r="I18" s="14" t="str">
        <x:v>Listed address is a business base, not a verified staffed slaughter room.</x:v>
      </x:c>
      <x:c r="J18" s="14" t="str">
        <x:v>https://www.facebook.com/p/Homestead-Custom-Meat-Processing-100076254697818/</x:v>
      </x:c>
      <x:c r="K18" s="14" t="str">
        <x:v>https://www.ncagr.gov/divisions/meat-poultry-inspection/wplants/download?attachment=</x:v>
      </x:c>
      <x:c r="L18" s="14" t="str">
        <x:v>https://www.findglocal.com/US/Archdale/106758341737041/Homestead-Custom-Meat-Processing</x:v>
      </x:c>
      <x:c r="M18" s="19" t="n">
        <x:v>46293.5</x:v>
      </x:c>
    </x:row>
    <x:row r="19" ht="122" customHeight="1">
      <x:c r="A19" s="12" t="n">
        <x:v>23</x:v>
      </x:c>
      <x:c r="B19" s="11" t="str">
        <x:v>Homestead Custom Meat Processing</x:v>
      </x:c>
      <x:c r="C19" s="11" t="str">
        <x:v>Facebook post mirror / YouTube link</x:v>
      </x:c>
      <x:c r="D19" s="20" t="n">
        <x:v>46084.5</x:v>
      </x:c>
      <x:c r="E19" s="11" t="str">
        <x:v>Social post mirror; public text read</x:v>
      </x:c>
      <x:c r="F19" s="11" t="str">
        <x:v>Describes one customer pig at 440 lb live weight and links a processing video. Other March posts mention pig work.</x:v>
      </x:c>
      <x:c r="G19" s="11" t="str">
        <x:v>Mirror phone 336-689-6232 and Archdale match current state custom listing, which includes swine. Linked YouTube video itself was not accessible.</x:v>
      </x:c>
      <x:c r="H19" s="11" t="str">
        <x:v>Supports real pig work but highlights the need to request 140–220 lb live animals specifically.</x:v>
      </x:c>
      <x:c r="I19" s="11" t="str">
        <x:v>One pig is not a weekly slaughter rate. The example animal is outside the requested weight range.</x:v>
      </x:c>
      <x:c r="J19" s="11" t="str">
        <x:v>https://www.findglocal.com/US/Archdale/106758341737041/Homestead-Custom-Meat-Processing</x:v>
      </x:c>
      <x:c r="K19" s="11" t="str">
        <x:v>https://www.ncagr.gov/divisions/meat-poultry-inspection/wplants/download?attachment=</x:v>
      </x:c>
      <x:c r="L19" s="11" t="str">
        <x:v>https://www.youtube.com/watch?v=0sRUUTFoqqA</x:v>
      </x:c>
      <x:c r="M19" s="20" t="n">
        <x:v>46293.5</x:v>
      </x:c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2" customHeight="1">
      <x:c r="A21" s="6" t="str">
        <x:v>Ranking effect: Mitchell’s moved into The First 10; its company site confirms hog harvesting and its social contact details match. Schrock’s remains a species-confirmation call.</x:v>
      </x:c>
      <x:c r="B21" s="6"/>
      <x:c r="C21" s="6"/>
      <x:c r="D21" s="6"/>
      <x:c r="E21" s="6"/>
      <x:c r="F21" s="6"/>
      <x:c r="G21" s="6"/>
      <x:c r="H21" s="6"/>
      <x:c r="I21" s="6"/>
      <x:c r="J21" s="6"/>
      <x:c r="K21" s="6"/>
      <x:c r="L21" s="6"/>
      <x:c r="M21" s="6"/>
    </x:row>
    <x:row r="22" ht="22" customHeight="1">
      <x:c r="A22" s="6" t="str">
        <x:v>Homestead remains a later mobile-service lead; no room rental is inferred. Lee’s public name and McLamb’s directory name share an address and telephone.</x:v>
      </x:c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</x:row>
    <x:row r="23" ht="22" customHeight="1">
      <x:c r="A23" s="6" t="str">
        <x:v>Next research pass: current hog kill days, opening/expansion announcements, named operations contacts and dated quantity claims. Record corroboration before changing weekly-volume figures.</x:v>
      </x:c>
      <x:c r="B23" s="6"/>
      <x:c r="C23" s="6"/>
      <x:c r="D23" s="6"/>
      <x:c r="E23" s="6"/>
      <x:c r="F23" s="6"/>
      <x:c r="G23" s="6"/>
      <x:c r="H23" s="6"/>
      <x:c r="I23" s="6"/>
      <x:c r="J23" s="6"/>
      <x:c r="K23" s="6"/>
      <x:c r="L23" s="6"/>
      <x:c r="M23" s="6"/>
    </x:row>
  </x:sheetData>
  <x:pageMargins left="0.7" right="0.7" top="0.75" bottom="0.75" header="0.3" footer="0.3"/>
  <x:tableParts count="1">
    <x:tablePart xmlns:r="http://schemas.openxmlformats.org/officeDocument/2006/relationships" r:id="R69386976f0c14c67"/>
  </x:tableParts>
</x:worksheet>
</file>