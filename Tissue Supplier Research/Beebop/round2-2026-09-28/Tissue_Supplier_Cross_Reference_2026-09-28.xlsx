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38f2d5d00141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e First 10 Revised" sheetId="1" r:id="R94e14cf760e44278"/>
    <x:sheet xmlns:r="http://schemas.openxmlformats.org/officeDocument/2006/relationships" name="Fact Review" sheetId="2" r:id="R2ec220c5d1f741fb"/>
    <x:sheet xmlns:r="http://schemas.openxmlformats.org/officeDocument/2006/relationships" name="Previous 30 Crosscheck" sheetId="3" r:id="R6f32501d64cd452e"/>
    <x:sheet xmlns:r="http://schemas.openxmlformats.org/officeDocument/2006/relationships" name="Additional Leads" sheetId="4" r:id="R1c6b315190eb40a7"/>
    <x:sheet xmlns:r="http://schemas.openxmlformats.org/officeDocument/2006/relationships" name="Other Tissue Providers" sheetId="5" r:id="R79e5130b08c943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5">
    <x:font>
      <x:sz val="11"/>
      <x:name val="Carlito"/>
    </x:font>
    <x:font>
      <x:sz val="10"/>
      <x:color rgb="FF203446"/>
      <x:name val="Arial"/>
    </x:font>
    <x:font>
      <x:b/>
      <x:sz val="15"/>
      <x:color rgb="FF243B53"/>
      <x:name val="Arial"/>
    </x:font>
    <x:font>
      <x:sz val="10"/>
      <x:color rgb="FF526578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3F6F9"/>
      </x:patternFill>
    </x:fill>
  </x:fills>
  <x:borders count="2">
    <x:border/>
    <x:border>
      <x:bottom style="thin">
        <x:color rgb="FF243B5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9D2626"/>
      </x:font>
      <x:fill>
        <x:patternFill patternType="solid">
          <x:bgColor rgb="FFFCE5E5"/>
        </x:patternFill>
      </x:fill>
    </x:dxf>
    <x:dxf>
      <x:font>
        <x:b/>
        <x:color rgb="FF9D2626"/>
      </x:font>
      <x:fill>
        <x:patternFill patternType="solid">
          <x:bgColor rgb="FFFCE5E5"/>
        </x:patternFill>
      </x:fill>
    </x:dxf>
    <x:dxf>
      <x:font>
        <x:b/>
        <x:color rgb="FF825400"/>
      </x:font>
      <x:fill>
        <x:patternFill patternType="solid">
          <x:bgColor rgb="FFFFF1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d687500faf4691" /><Relationship Type="http://schemas.openxmlformats.org/officeDocument/2006/relationships/theme" Target="/xl/theme/theme1.xml" Id="R9ee345e7545943f6" /><Relationship Type="http://schemas.openxmlformats.org/officeDocument/2006/relationships/sharedStrings" Target="/xl/sharedStrings.xml" Id="Rce09a7af4b8a4f4f" /><Relationship Type="http://schemas.openxmlformats.org/officeDocument/2006/relationships/worksheet" Target="/xl/worksheets/sheet1.xml" Id="R94e14cf760e44278" /><Relationship Type="http://schemas.openxmlformats.org/officeDocument/2006/relationships/worksheet" Target="/xl/worksheets/sheet2.xml" Id="R2ec220c5d1f741fb" /><Relationship Type="http://schemas.openxmlformats.org/officeDocument/2006/relationships/worksheet" Target="/xl/worksheets/sheet3.xml" Id="R6f32501d64cd452e" /><Relationship Type="http://schemas.openxmlformats.org/officeDocument/2006/relationships/worksheet" Target="/xl/worksheets/sheet4.xml" Id="R1c6b315190eb40a7" /><Relationship Type="http://schemas.openxmlformats.org/officeDocument/2006/relationships/worksheet" Target="/xl/worksheets/sheet5.xml" Id="R79e5130b08c94320" /></Relationships>
</file>

<file path=xl/tables/table1.xml><?xml version="1.0" encoding="utf-8"?>
<x:table xmlns:x="http://schemas.openxmlformats.org/spreadsheetml/2006/main" id="5" name="RevisedFirstTen" displayName="RevisedFirstTen" ref="A7:H17" headerRowCount="1" totalsRowCount="0" totalsRowShown="0">
  <x:autoFilter ref="A7:H17"/>
  <x:tableColumns count="8">
    <x:tableColumn id="1" name="Order"/>
    <x:tableColumn id="2" name="Supplier"/>
    <x:tableColumn id="3" name="Road miles"/>
    <x:tableColumn id="4" name="Radial miles"/>
    <x:tableColumn id="5" name="Phone"/>
    <x:tableColumn id="6" name="Why in the first 10"/>
    <x:tableColumn id="7" name="Pigs/week and room"/>
    <x:tableColumn id="8" name="Website / public p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FactReview" displayName="FactReview" ref="A7:H30" headerRowCount="1" totalsRowCount="0" totalsRowShown="0">
  <x:autoFilter ref="A7:H30"/>
  <x:tableColumns count="8">
    <x:tableColumn id="1" name="ID"/>
    <x:tableColumn id="2" name="Topic"/>
    <x:tableColumn id="3" name="Claude location"/>
    <x:tableColumn id="4" name="Claim / assumption reviewed"/>
    <x:tableColumn id="5" name="Finding"/>
    <x:tableColumn id="6" name="Effect on supplier assessment"/>
    <x:tableColumn id="7" name="Disposition"/>
    <x:tableColumn id="8" name="Sourc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PreviousContacts" displayName="PreviousContacts" ref="A7:L37" headerRowCount="1" totalsRowCount="0" totalsRowShown="0">
  <x:autoFilter ref="A7:L37"/>
  <x:tableColumns count="12">
    <x:tableColumn id="1" name="Supplier"/>
    <x:tableColumn id="2" name="Prior rank"/>
    <x:tableColumn id="3" name="Claude location"/>
    <x:tableColumn id="4" name="Road miles"/>
    <x:tableColumn id="5" name="Radial miles"/>
    <x:tableColumn id="6" name="Claude distance claim"/>
    <x:tableColumn id="7" name="Claude weekly volume claim"/>
    <x:tableColumn id="8" name="Review status"/>
    <x:tableColumn id="9" name="Review finding"/>
    <x:tableColumn id="10" name="Phone"/>
    <x:tableColumn id="11" name="Website / public page"/>
    <x:tableColumn id="12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AdditionalPlants" displayName="AdditionalPlants" ref="A7:R30" headerRowCount="1" totalsRowCount="0" totalsRowShown="0">
  <x:autoFilter ref="A7:R30"/>
  <x:tableColumns count="18">
    <x:tableColumn id="1" name="Supplier / plant"/>
    <x:tableColumn id="2" name="Priority / disposition"/>
    <x:tableColumn id="3" name="Road miles"/>
    <x:tableColumn id="4" name="Radial miles"/>
    <x:tableColumn id="5" name="120-mile radius"/>
    <x:tableColumn id="6" name="120-mile drive"/>
    <x:tableColumn id="7" name="Inspection / identity"/>
    <x:tableColumn id="8" name="Weekly pig evidence"/>
    <x:tableColumn id="9" name="Phone"/>
    <x:tableColumn id="10" name="Website / public page"/>
    <x:tableColumn id="11" name="Claude comparison"/>
    <x:tableColumn id="12" name="New corroboration"/>
    <x:tableColumn id="13" name="Remaining limitation"/>
    <x:tableColumn id="14" name="Source 1"/>
    <x:tableColumn id="15" name="Source 2"/>
    <x:tableColumn id="16" name="Physical address"/>
    <x:tableColumn id="17" name="Geocoding source"/>
    <x:tableColumn id="18" name="Routing 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OtherProviders" displayName="OtherProviders" ref="A7:I11" headerRowCount="1" totalsRowCount="0" totalsRowShown="0">
  <x:autoFilter ref="A7:I11"/>
  <x:tableColumns count="9">
    <x:tableColumn id="1" name="Provider"/>
    <x:tableColumn id="2" name="Disposition"/>
    <x:tableColumn id="3" name="Documented offering"/>
    <x:tableColumn id="4" name="Collection geography"/>
    <x:tableColumn id="5" name="Unconfirmed details"/>
    <x:tableColumn id="6" name="Phone"/>
    <x:tableColumn id="7" name="Website"/>
    <x:tableColumn id="8" name="Source 2"/>
    <x:tableColumn id="9" name="Claude lo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df91b764c74f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4582331c5d48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20698fb910f40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04c37cfd34342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8bec7a11d83442d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8" hidden="0" customWidth="1"/>
    <x:col min="2" max="2" width="33" hidden="0" customWidth="1"/>
    <x:col min="3" max="3" width="12" hidden="0" customWidth="1"/>
    <x:col min="4" max="4" width="12" hidden="0" customWidth="1"/>
    <x:col min="5" max="5" width="20" hidden="0" customWidth="1"/>
    <x:col min="6" max="6" width="62" hidden="0" customWidth="1"/>
    <x:col min="7" max="7" width="25" hidden="0" customWidth="1"/>
    <x:col min="8" max="8" width="4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4" t="str">
        <x:v>The First 10: revised qualification priorities</x:v>
      </x:c>
      <x:c r="B2" s="5"/>
      <x:c r="C2" s="5"/>
      <x:c r="D2" s="5"/>
      <x:c r="E2" s="5"/>
      <x:c r="F2" s="5"/>
      <x:c r="G2" s="5"/>
      <x:c r="H2" s="5"/>
    </x:row>
    <x:row r="3" ht="22" customHeight="1">
      <x:c r="A3" s="6" t="str">
        <x:v>No new supplier is confirmed at 2,000–5,000 pigs/week, 140–220 lb live weight, with tissue access or room.</x:v>
      </x:c>
      <x:c r="B3" s="2"/>
      <x:c r="C3" s="2"/>
      <x:c r="D3" s="2"/>
      <x:c r="E3" s="2"/>
      <x:c r="F3" s="2"/>
      <x:c r="G3" s="2"/>
      <x:c r="H3" s="2"/>
    </x:row>
    <x:row r="4" ht="22" customHeight="1">
      <x:c r="A4" s="6" t="str">
        <x:v>Checked September 28, 2026, including Claude’s concurrent update. Unknown means unconfirmed, not zero.</x:v>
      </x:c>
      <x:c r="B4" s="2"/>
      <x:c r="C4" s="2"/>
      <x:c r="D4" s="2"/>
      <x:c r="E4" s="2"/>
      <x:c r="F4" s="2"/>
      <x:c r="G4" s="2"/>
      <x:c r="H4" s="2"/>
    </x:row>
    <x:row r="5" ht="22" customHeight="1">
      <x:c r="A5" s="6" t="str">
        <x:v>Distance origin: Durham City Hall. These are qualification calls, not verified Martin’s-scale replacements.</x:v>
      </x:c>
      <x:c r="B5" s="2"/>
      <x:c r="C5" s="2"/>
      <x:c r="D5" s="2"/>
      <x:c r="E5" s="2"/>
      <x:c r="F5" s="2"/>
      <x:c r="G5" s="2"/>
      <x:c r="H5" s="2"/>
    </x:row>
    <x:row r="6" ht="22" customHeight="1">
      <x:c r="A6" s="2"/>
      <x:c r="B6" s="2"/>
      <x:c r="C6" s="2"/>
      <x:c r="D6" s="2"/>
      <x:c r="E6" s="2"/>
      <x:c r="F6" s="2"/>
      <x:c r="G6" s="2"/>
      <x:c r="H6" s="2"/>
    </x:row>
    <x:row r="7" ht="38" customHeight="1">
      <x:c r="A7" s="10" t="str">
        <x:v>Order</x:v>
      </x:c>
      <x:c r="B7" s="10" t="str">
        <x:v>Supplier</x:v>
      </x:c>
      <x:c r="C7" s="10" t="str">
        <x:v>Road miles</x:v>
      </x:c>
      <x:c r="D7" s="10" t="str">
        <x:v>Radial miles</x:v>
      </x:c>
      <x:c r="E7" s="10" t="str">
        <x:v>Phone</x:v>
      </x:c>
      <x:c r="F7" s="10" t="str">
        <x:v>Why in the first 10</x:v>
      </x:c>
      <x:c r="G7" s="10" t="str">
        <x:v>Pigs/week and room</x:v>
      </x:c>
      <x:c r="H7" s="10" t="str">
        <x:v>Website / public page</x:v>
      </x:c>
    </x:row>
    <x:row r="8" ht="45" customHeight="1">
      <x:c r="A8" s="17" t="n">
        <x:v>1</x:v>
      </x:c>
      <x:c r="B8" s="12" t="str">
        <x:v>Piedmont Custom Meats</x:v>
      </x:c>
      <x:c r="C8" s="16" t="n">
        <x:f>INDEX('Previous 30 Crosscheck'!$D$8:$D$37,MATCH($B8,'Previous 30 Crosscheck'!$A$8:$A$37,0))</x:f>
        <x:v>47.81109570110554</x:v>
      </x:c>
      <x:c r="D8" s="16" t="n">
        <x:f>INDEX('Previous 30 Crosscheck'!$E$8:$E$37,MATCH($B8,'Previous 30 Crosscheck'!$A$8:$A$37,0))</x:f>
        <x:v>39.43729827224922</x:v>
      </x:c>
      <x:c r="E8" s="17" t="str">
        <x:f>INDEX('Previous 30 Crosscheck'!$J$8:$J$37,MATCH($B8,'Previous 30 Crosscheck'!$A$8:$A$37,0))</x:f>
        <x:v>336-628-4949</x:v>
      </x:c>
      <x:c r="F8" s="12" t="str">
        <x:v>Published 150 lb live minimum overlaps the target; custom processing structure.</x:v>
      </x:c>
      <x:c r="G8" s="12" t="str">
        <x:v>Both unknown</x:v>
      </x:c>
      <x:c r="H8" s="12" t="str">
        <x:v>https://www.piedmontcustommeats.com/</x:v>
      </x:c>
    </x:row>
    <x:row r="9" ht="45" customHeight="1">
      <x:c r="A9" s="19" t="n">
        <x:v>2</x:v>
      </x:c>
      <x:c r="B9" s="11" t="str">
        <x:v>McLamb's Abattoir / Lee's Fresh Market</x:v>
      </x:c>
      <x:c r="C9" s="18" t="n">
        <x:f>INDEX('Previous 30 Crosscheck'!$D$8:$D$37,MATCH($B9,'Previous 30 Crosscheck'!$A$8:$A$37,0))</x:f>
        <x:v>57.702890121689336</x:v>
      </x:c>
      <x:c r="D9" s="18" t="n">
        <x:f>INDEX('Previous 30 Crosscheck'!$E$8:$E$37,MATCH($B9,'Previous 30 Crosscheck'!$A$8:$A$37,0))</x:f>
        <x:v>45.41836162197026</x:v>
      </x:c>
      <x:c r="E9" s="19" t="str">
        <x:f>INDEX('Previous 30 Crosscheck'!$J$8:$J$37,MATCH($B9,'Previous 30 Crosscheck'!$A$8:$A$37,0))</x:f>
        <x:v>919-894-2587</x:v>
      </x:c>
      <x:c r="F9" s="11" t="str">
        <x:v>Nearby inspected swine plant; Lee’s website and contact identity match.</x:v>
      </x:c>
      <x:c r="G9" s="11" t="str">
        <x:v>Both unknown</x:v>
      </x:c>
      <x:c r="H9" s="11" t="str">
        <x:v>https://leesfreshmarketnc.com/</x:v>
      </x:c>
    </x:row>
    <x:row r="10" ht="45" customHeight="1">
      <x:c r="A10" s="17" t="n">
        <x:v>3</x:v>
      </x:c>
      <x:c r="B10" s="12" t="str">
        <x:v>Flowers Slaughter House</x:v>
      </x:c>
      <x:c r="C10" s="16" t="n">
        <x:f>INDEX('Previous 30 Crosscheck'!$D$8:$D$37,MATCH($B10,'Previous 30 Crosscheck'!$A$8:$A$37,0))</x:f>
        <x:v>63.30834178398154</x:v>
      </x:c>
      <x:c r="D10" s="16" t="n">
        <x:f>INDEX('Previous 30 Crosscheck'!$E$8:$E$37,MATCH($B10,'Previous 30 Crosscheck'!$A$8:$A$37,0))</x:f>
        <x:v>51.63749846644421</x:v>
      </x:c>
      <x:c r="E10" s="17" t="str">
        <x:f>INDEX('Previous 30 Crosscheck'!$J$8:$J$37,MATCH($B10,'Previous 30 Crosscheck'!$A$8:$A$37,0))</x:f>
        <x:v>252-237-2982</x:v>
      </x:c>
      <x:c r="F10" s="12" t="str">
        <x:v>Nearby hog slaughter lead; duplicate George Flowers entry counted once.</x:v>
      </x:c>
      <x:c r="G10" s="12" t="str">
        <x:v>Both unknown</x:v>
      </x:c>
      <x:c r="H10" s="12" t="str">
        <x:v>https://www.facebook.com/p/Flowers-Slaughterhouse-Page-100063690244587/</x:v>
      </x:c>
    </x:row>
    <x:row r="11" ht="45" customHeight="1">
      <x:c r="A11" s="19" t="n">
        <x:v>4</x:v>
      </x:c>
      <x:c r="B11" s="11" t="str">
        <x:v>Contentnea Farms</x:v>
      </x:c>
      <x:c r="C11" s="18" t="n">
        <x:f>INDEX('Previous 30 Crosscheck'!$D$8:$D$37,MATCH($B11,'Previous 30 Crosscheck'!$A$8:$A$37,0))</x:f>
        <x:v>90.29008092738407</x:v>
      </x:c>
      <x:c r="D11" s="18" t="n">
        <x:f>INDEX('Previous 30 Crosscheck'!$E$8:$E$37,MATCH($B11,'Previous 30 Crosscheck'!$A$8:$A$37,0))</x:f>
        <x:v>72.64760579541328</x:v>
      </x:c>
      <x:c r="E11" s="19" t="str">
        <x:f>INDEX('Previous 30 Crosscheck'!$J$8:$J$37,MATCH($B11,'Previous 30 Crosscheck'!$A$8:$A$37,0))</x:f>
        <x:v>252-289-3083</x:v>
      </x:c>
      <x:c r="F11" s="11" t="str">
        <x:v>Current state listing plus company pork-processing evidence.</x:v>
      </x:c>
      <x:c r="G11" s="11" t="str">
        <x:v>Both unknown</x:v>
      </x:c>
      <x:c r="H11" s="11" t="str">
        <x:v>https://contentneafarms.com/</x:v>
      </x:c>
    </x:row>
    <x:row r="12" ht="45" customHeight="1">
      <x:c r="A12" s="17" t="n">
        <x:v>5</x:v>
      </x:c>
      <x:c r="B12" s="12" t="str">
        <x:v>Farmington Meat Processing</x:v>
      </x:c>
      <x:c r="C12" s="16" t="n">
        <x:f>INDEX('Additional Leads'!$C$8:$C$30,MATCH($B12,'Additional Leads'!$A$8:$A$30,0))</x:f>
        <x:v>102.58086524695776</x:v>
      </x:c>
      <x:c r="D12" s="16" t="n">
        <x:f>INDEX('Additional Leads'!$D$8:$D$30,MATCH($B12,'Additional Leads'!$A$8:$A$30,0))</x:f>
        <x:v>91.65576089158736</x:v>
      </x:c>
      <x:c r="E12" s="17" t="str">
        <x:f>INDEX('Additional Leads'!$I$8:$I$30,MATCH($B12,'Additional Leads'!$A$8:$A$30,0))</x:f>
        <x:v>336-998-7092</x:v>
      </x:c>
      <x:c r="F12" s="12" t="str">
        <x:v>Promoted from Claude’s grouped row; state and social evidence agree on pigs.</x:v>
      </x:c>
      <x:c r="G12" s="12" t="str">
        <x:v>Both unknown</x:v>
      </x:c>
      <x:c r="H12" s="12" t="str">
        <x:v>https://www.facebook.com/FarmingtonMeat/</x:v>
      </x:c>
    </x:row>
    <x:row r="13" ht="45" customHeight="1">
      <x:c r="A13" s="19" t="n">
        <x:v>6</x:v>
      </x:c>
      <x:c r="B13" s="11" t="str">
        <x:v>Easternview Farms</x:v>
      </x:c>
      <x:c r="C13" s="18" t="n">
        <x:f>INDEX('Additional Leads'!$C$8:$C$30,MATCH($B13,'Additional Leads'!$A$8:$A$30,0))</x:f>
        <x:v>75.973440109759</x:v>
      </x:c>
      <x:c r="D13" s="18" t="n">
        <x:f>INDEX('Additional Leads'!$D$8:$D$30,MATCH($B13,'Additional Leads'!$A$8:$A$30,0))</x:f>
        <x:v>65.18257538646907</x:v>
      </x:c>
      <x:c r="E13" s="19" t="str">
        <x:f>INDEX('Additional Leads'!$I$8:$I$30,MATCH($B13,'Additional Leads'!$A$8:$A$30,0))</x:f>
        <x:v>434-208-8602</x:v>
      </x:c>
      <x:c r="F13" s="11" t="str">
        <x:v>New individual lead; own site offers pork processing and animal sourcing.</x:v>
      </x:c>
      <x:c r="G13" s="11" t="str">
        <x:v>Both unknown</x:v>
      </x:c>
      <x:c r="H13" s="11" t="str">
        <x:v>https://easternviewfarmsllc.com/</x:v>
      </x:c>
    </x:row>
    <x:row r="14" ht="45" customHeight="1">
      <x:c r="A14" s="17" t="n">
        <x:v>7</x:v>
      </x:c>
      <x:c r="B14" s="12" t="str">
        <x:v>Gale McLamb Meats</x:v>
      </x:c>
      <x:c r="C14" s="16" t="n">
        <x:f>INDEX('Previous 30 Crosscheck'!$D$8:$D$37,MATCH($B14,'Previous 30 Crosscheck'!$A$8:$A$37,0))</x:f>
        <x:v>59.73757009067048</x:v>
      </x:c>
      <x:c r="D14" s="16" t="n">
        <x:f>INDEX('Previous 30 Crosscheck'!$E$8:$E$37,MATCH($B14,'Previous 30 Crosscheck'!$A$8:$A$37,0))</x:f>
        <x:v>48.036921080446234</x:v>
      </x:c>
      <x:c r="E14" s="17" t="str">
        <x:f>INDEX('Previous 30 Crosscheck'!$J$8:$J$37,MATCH($B14,'Previous 30 Crosscheck'!$A$8:$A$37,0))</x:f>
        <x:v>910-892-7279</x:v>
      </x:c>
      <x:c r="F14" s="12" t="str">
        <x:v>Nearby state-inspected cattle and swine slaughter.</x:v>
      </x:c>
      <x:c r="G14" s="12" t="str">
        <x:v>Both unknown</x:v>
      </x:c>
      <x:c r="H14" s="12" t="str">
        <x:v>No company website confirmed</x:v>
      </x:c>
    </x:row>
    <x:row r="15" ht="45" customHeight="1">
      <x:c r="A15" s="19" t="n">
        <x:v>8</x:v>
      </x:c>
      <x:c r="B15" s="11" t="str">
        <x:v>Key Packing Company</x:v>
      </x:c>
      <x:c r="C15" s="18" t="n">
        <x:f>INDEX('Previous 30 Crosscheck'!$D$8:$D$37,MATCH($B15,'Previous 30 Crosscheck'!$A$8:$A$37,0))</x:f>
        <x:v>69.72269446432833</x:v>
      </x:c>
      <x:c r="D15" s="18" t="n">
        <x:f>INDEX('Previous 30 Crosscheck'!$E$8:$E$37,MATCH($B15,'Previous 30 Crosscheck'!$A$8:$A$37,0))</x:f>
        <x:v>52.88887432349344</x:v>
      </x:c>
      <x:c r="E15" s="19" t="str">
        <x:f>INDEX('Previous 30 Crosscheck'!$J$8:$J$37,MATCH($B15,'Previous 30 Crosscheck'!$A$8:$A$37,0))</x:f>
        <x:v>910-464-3507</x:v>
      </x:c>
      <x:c r="F15" s="11" t="str">
        <x:v>State-inspected multi-species plant within practical driving distance.</x:v>
      </x:c>
      <x:c r="G15" s="11" t="str">
        <x:v>Both unknown</x:v>
      </x:c>
      <x:c r="H15" s="11" t="str">
        <x:v>No company website confirmed</x:v>
      </x:c>
    </x:row>
    <x:row r="16" ht="45" customHeight="1">
      <x:c r="A16" s="17" t="n">
        <x:v>9</x:v>
      </x:c>
      <x:c r="B16" s="12" t="str">
        <x:v>Quaqua Creek Farm</x:v>
      </x:c>
      <x:c r="C16" s="16" t="n">
        <x:f>INDEX('Previous 30 Crosscheck'!$D$8:$D$37,MATCH($B16,'Previous 30 Crosscheck'!$A$8:$A$37,0))</x:f>
        <x:v>67.20309641692515</x:v>
      </x:c>
      <x:c r="D16" s="16" t="n">
        <x:f>INDEX('Previous 30 Crosscheck'!$E$8:$E$37,MATCH($B16,'Previous 30 Crosscheck'!$A$8:$A$37,0))</x:f>
        <x:v>48.35204925832898</x:v>
      </x:c>
      <x:c r="E16" s="17" t="str">
        <x:f>INDEX('Previous 30 Crosscheck'!$J$8:$J$37,MATCH($B16,'Previous 30 Crosscheck'!$A$8:$A$37,0))</x:f>
        <x:v>336-939-2656</x:v>
      </x:c>
      <x:c r="F16" s="12" t="str">
        <x:v>State-inspected swine listing; closer than many western candidates.</x:v>
      </x:c>
      <x:c r="G16" s="12" t="str">
        <x:v>Both unknown</x:v>
      </x:c>
      <x:c r="H16" s="12" t="str">
        <x:v>No company website confirmed</x:v>
      </x:c>
    </x:row>
    <x:row r="17" ht="45" customHeight="1">
      <x:c r="A17" s="19" t="n">
        <x:v>10</x:v>
      </x:c>
      <x:c r="B17" s="11" t="str">
        <x:v>Cool Springs Farm and Meat</x:v>
      </x:c>
      <x:c r="C17" s="18" t="n">
        <x:f>INDEX('Previous 30 Crosscheck'!$D$8:$D$37,MATCH($B17,'Previous 30 Crosscheck'!$A$8:$A$37,0))</x:f>
        <x:v>106.77114401892945</x:v>
      </x:c>
      <x:c r="D17" s="18" t="n">
        <x:f>INDEX('Previous 30 Crosscheck'!$E$8:$E$37,MATCH($B17,'Previous 30 Crosscheck'!$A$8:$A$37,0))</x:f>
        <x:v>98.31805633055046</x:v>
      </x:c>
      <x:c r="E17" s="19" t="str">
        <x:f>INDEX('Previous 30 Crosscheck'!$J$8:$J$37,MATCH($B17,'Previous 30 Crosscheck'!$A$8:$A$37,0))</x:f>
        <x:v>336-835-5377</x:v>
      </x:c>
      <x:c r="F17" s="11" t="str">
        <x:v>Inspected hog slaughter with a public booking page.</x:v>
      </x:c>
      <x:c r="G17" s="11" t="str">
        <x:v>Both unknown</x:v>
      </x:c>
      <x:c r="H17" s="11" t="str">
        <x:v>https://www.csmpfarmstore.com/</x:v>
      </x:c>
    </x:row>
  </x:sheetData>
  <x:pageMargins left="0.7" right="0.7" top="0.75" bottom="0.75" header="0.3" footer="0.3"/>
  <x:tableParts count="1">
    <x:tablePart xmlns:r="http://schemas.openxmlformats.org/officeDocument/2006/relationships" r:id="R91df91b764c74fe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8" hidden="0" customWidth="1"/>
    <x:col min="2" max="2" width="32" hidden="0" customWidth="1"/>
    <x:col min="3" max="3" width="36" hidden="0" customWidth="1"/>
    <x:col min="4" max="4" width="51" hidden="0" customWidth="1"/>
    <x:col min="5" max="5" width="78" hidden="0" customWidth="1"/>
    <x:col min="6" max="6" width="65" hidden="0" customWidth="1"/>
    <x:col min="7" max="7" width="36" hidden="0" customWidth="1"/>
    <x:col min="8" max="8" width="7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4" t="str">
        <x:v>Fact review against Claude’s current study</x:v>
      </x:c>
      <x:c r="B2" s="5"/>
      <x:c r="C2" s="5"/>
      <x:c r="D2" s="5"/>
      <x:c r="E2" s="5"/>
      <x:c r="F2" s="5"/>
      <x:c r="G2" s="5"/>
      <x:c r="H2" s="5"/>
    </x:row>
    <x:row r="3" ht="22" customHeight="1">
      <x:c r="A3" s="6" t="str">
        <x:v>Food Safety and Inspection Service (FSIS) categories describe historical aggregate slaughter, not current pig capacity.</x:v>
      </x:c>
      <x:c r="B3" s="2"/>
      <x:c r="C3" s="2"/>
      <x:c r="D3" s="2"/>
      <x:c r="E3" s="2"/>
      <x:c r="F3" s="2"/>
      <x:c r="G3" s="2"/>
      <x:c r="H3" s="2"/>
    </x:row>
    <x:row r="4" ht="22" customHeight="1">
      <x:c r="A4" s="6" t="str">
        <x:v>Checked September 28, 2026, including Claude’s concurrent update. Unknown means unconfirmed, not zero.</x:v>
      </x:c>
      <x:c r="B4" s="2"/>
      <x:c r="C4" s="2"/>
      <x:c r="D4" s="2"/>
      <x:c r="E4" s="2"/>
      <x:c r="F4" s="2"/>
      <x:c r="G4" s="2"/>
      <x:c r="H4" s="2"/>
    </x:row>
    <x:row r="5" ht="22" customHeight="1">
      <x:c r="A5" s="2"/>
      <x:c r="B5" s="2"/>
      <x:c r="C5" s="2"/>
      <x:c r="D5" s="2"/>
      <x:c r="E5" s="2"/>
      <x:c r="F5" s="2"/>
      <x:c r="G5" s="2"/>
      <x:c r="H5" s="2"/>
    </x:row>
    <x:row r="6" ht="22" customHeight="1">
      <x:c r="A6" s="2"/>
      <x:c r="B6" s="2"/>
      <x:c r="C6" s="2"/>
      <x:c r="D6" s="2"/>
      <x:c r="E6" s="2"/>
      <x:c r="F6" s="2"/>
      <x:c r="G6" s="2"/>
      <x:c r="H6" s="2"/>
    </x:row>
    <x:row r="7" ht="38" customHeight="1">
      <x:c r="A7" s="10" t="str">
        <x:v>ID</x:v>
      </x:c>
      <x:c r="B7" s="10" t="str">
        <x:v>Topic</x:v>
      </x:c>
      <x:c r="C7" s="10" t="str">
        <x:v>Claude location</x:v>
      </x:c>
      <x:c r="D7" s="10" t="str">
        <x:v>Claim / assumption reviewed</x:v>
      </x:c>
      <x:c r="E7" s="10" t="str">
        <x:v>Finding</x:v>
      </x:c>
      <x:c r="F7" s="10" t="str">
        <x:v>Effect on supplier assessment</x:v>
      </x:c>
      <x:c r="G7" s="10" t="str">
        <x:v>Disposition</x:v>
      </x:c>
      <x:c r="H7" s="10" t="str">
        <x:v>Sources</x:v>
      </x:c>
    </x:row>
    <x:row r="8" ht="55.5" customHeight="1">
      <x:c r="A8" s="12" t="str">
        <x:v>F01</x:v>
      </x:c>
      <x:c r="B8" s="12" t="str">
        <x:v>Distance origin</x:v>
      </x:c>
      <x:c r="C8" s="12" t="str">
        <x:v>Instructions row 17; Supplier Roster E; Sources rows 9/39/46</x:v>
      </x:c>
      <x:c r="D8" s="12" t="str">
        <x:v>Initial snapshot used Pikeville; September 28 update changes principal distance fields to Durham.</x:v>
      </x:c>
      <x:c r="E8" s="12" t="str">
        <x:v>Resolved in current roster: Durham City Hall is now the origin. Sources rows 9 and 39 still contain old Pikeville language; row 46 carries the new method.</x:v>
      </x:c>
      <x:c r="F8" s="12" t="str">
        <x:v>Main distance mismatch resolved during this pass. Historical synthesis is expressly superseded by the workbook. Some narrative cells remain stale.</x:v>
      </x:c>
      <x:c r="G8" s="12" t="str">
        <x:v>Resolved in current fields; stale notes remain</x:v>
      </x:c>
      <x:c r="H8" s="12" t="str">
        <x:v>https://github.com/naviero1/Claude-Works/blob/claude/tissue-supplier-research-vm6uxg/Tissue%20Supplier%20Research/Deep_Study_Synthesis.md</x:v>
      </x:c>
    </x:row>
    <x:row r="9" ht="45" customHeight="1">
      <x:c r="A9" s="11" t="str">
        <x:v>F02</x:v>
      </x:c>
      <x:c r="B9" s="11" t="str">
        <x:v>Radius versus driving distance</x:v>
      </x:c>
      <x:c r="C9" s="11" t="str">
        <x:v>Supplier Roster column E; earlier Beebop screen</x:v>
      </x:c>
      <x:c r="D9" s="11" t="str">
        <x:v>120 miles used as a road-distance gate.</x:v>
      </x:c>
      <x:c r="E9" s="11" t="str">
        <x:v>Literal 120-mile radius and a 120-mile drive are different. Both are now shown.</x:v>
      </x:c>
      <x:c r="F9" s="11" t="str">
        <x:v>EcoFriendly: 92.6 radial / 120.4 road. Acre: 119.7 / 141.1; boundary depends on actual base.</x:v>
      </x:c>
      <x:c r="G9" s="11" t="str">
        <x:v>Clarified definition</x:v>
      </x:c>
      <x:c r="H9" s="11" t="str">
        <x:v>https://project-osrm.org/</x:v>
      </x:c>
    </x:row>
    <x:row r="10" ht="45" customHeight="1">
      <x:c r="A10" s="12" t="str">
        <x:v>F03</x:v>
      </x:c>
      <x:c r="B10" s="12" t="str">
        <x:v>Animal weight</x:v>
      </x:c>
      <x:c r="C10" s="12" t="str">
        <x:v>Instructions row 17; Rated Candidates anatomy scores</x:v>
      </x:c>
      <x:c r="D10" s="12" t="str">
        <x:v>Initial snapshot emphasized larger market animals and mature sows.</x:v>
      </x:c>
      <x:c r="E10" s="12" t="str">
        <x:v>September 28 update explicitly adopts 140–220 lb live weight and lowers sow-only anatomy scores.</x:v>
      </x:c>
      <x:c r="F10" s="12" t="str">
        <x:v>Scope mismatch resolved. Individual animal availability and target-weight weekly counts remain unconfirmed.</x:v>
      </x:c>
      <x:c r="G10" s="12" t="str">
        <x:v>Resolved by concurrent Claude update</x:v>
      </x:c>
      <x:c r="H10" s="12" t="str">
        <x:v>User-stated requirements / research scope</x:v>
      </x:c>
    </x:row>
    <x:row r="11" ht="55.5" customHeight="1">
      <x:c r="A11" s="11" t="str">
        <x:v>F04</x:v>
      </x:c>
      <x:c r="B11" s="11" t="str">
        <x:v>Volume preference</x:v>
      </x:c>
      <x:c r="C11" s="11" t="str">
        <x:v>Instructions row 17; README client parameters</x:v>
      </x:c>
      <x:c r="D11" s="11" t="str">
        <x:v>Updated workbook adopts 2,000–5,000 pigs/week but says no new in-radius plant meets it.</x:v>
      </x:c>
      <x:c r="E11" s="11" t="str">
        <x:v>Preferred scale is now aligned. No new fully qualified in-band plant was established by either review. That is weaker than proof that no qualifying plant can exist.</x:v>
      </x:c>
      <x:c r="F11" s="11" t="str">
        <x:v>Small hosts can supplement supply; the research does not establish a Martin’s-scale replacement or a definitive regional absence.</x:v>
      </x:c>
      <x:c r="G11" s="11" t="str">
        <x:v>Preference aligned; absence not proven</x:v>
      </x:c>
      <x:c r="H11" s="11" t="str">
        <x:v>User-stated requirements / research scope</x:v>
      </x:c>
    </x:row>
    <x:row r="12" ht="55.5" customHeight="1">
      <x:c r="A12" s="12" t="str">
        <x:v>F05</x:v>
      </x:c>
      <x:c r="B12" s="12" t="str">
        <x:v>Slaughter categories</x:v>
      </x:c>
      <x:c r="C12" s="12" t="str">
        <x:v>Sources &amp; Confidence row 7; Supplier Roster D</x:v>
      </x:c>
      <x:c r="D12" s="12" t="str">
        <x:v>Categories converted into hard weekly ceilings.</x:v>
      </x:c>
      <x:c r="E12" s="12" t="str">
        <x:v>Federal March 24, 2026 notice confirms categories based on aggregated heads over the prior 360 days. They describe historic slaughter, not rated capacity or each week’s pig count.</x:v>
      </x:c>
      <x:c r="F12" s="12" t="str">
        <x:v>Keep category separate from actual pigs/week, maximum sustainable pigs/week and suitable-weight pigs/week.</x:v>
      </x:c>
      <x:c r="G12" s="12" t="str">
        <x:v>Partly corroborated; interpretation corrected</x:v>
      </x:c>
      <x:c r="H12" s="12" t="str">
        <x:v>https://www.federalregister.gov/documents/2026/03/24/2026-05746/revising-establishment-size-definitions</x:v>
      </x:c>
    </x:row>
    <x:row r="13" ht="55.5" customHeight="1">
      <x:c r="A13" s="11" t="str">
        <x:v>F06</x:v>
      </x:c>
      <x:c r="B13" s="11" t="str">
        <x:v>Weekly arithmetic</x:v>
      </x:c>
      <x:c r="C13" s="11" t="str">
        <x:v>Sources &amp; Confidence row 7</x:v>
      </x:c>
      <x:c r="D13" s="11" t="str">
        <x:v>Category 3 upper ceiling ~1,917/week.</x:v>
      </x:c>
      <x:c r="E13" s="11" t="str">
        <x:v>A 360-day interval contains 360/7 weeks. 100,000 * 7/360 = 1,944.4 total heads/week at the exclusive boundary. Category 1 boundary 19.4; category 2 194.4.</x:v>
      </x:c>
      <x:c r="F13" s="11" t="str">
        <x:v>Even corrected average bounds cannot cap current capacity or quantify pigs at a multi-species plant.</x:v>
      </x:c>
      <x:c r="G13" s="11" t="str">
        <x:v>Corrected calculation</x:v>
      </x:c>
      <x:c r="H13" s="11" t="str">
        <x:v>https://www.federalregister.gov/documents/2026/03/24/2026-05746/revising-establishment-size-definitions</x:v>
      </x:c>
    </x:row>
    <x:row r="14" ht="45" customHeight="1">
      <x:c r="A14" s="12" t="str">
        <x:v>F07</x:v>
      </x:c>
      <x:c r="B14" s="12" t="str">
        <x:v>Category 4 is not open-ended</x:v>
      </x:c>
      <x:c r="C14" s="12" t="str">
        <x:v>Sources &amp; Confidence row 7</x:v>
      </x:c>
      <x:c r="D14" s="12" t="str">
        <x:v>Category 4 means all volumes above 100,000 heads.</x:v>
      </x:c>
      <x:c r="E14" s="12" t="str">
        <x:v>Federal notice lists category 4 as 100,000 to under 10,000,000; category 5 starts at 10,000,000 in 360 days.</x:v>
      </x:c>
      <x:c r="F14" s="12" t="str">
        <x:v>An annual/category sweep alone cannot identify all current 2,000–5,000 pig/week opportunities.</x:v>
      </x:c>
      <x:c r="G14" s="12" t="str">
        <x:v>Corrected category boundary</x:v>
      </x:c>
      <x:c r="H14" s="12" t="str">
        <x:v>https://www.federalregister.gov/documents/2026/03/24/2026-05746/revising-establishment-size-definitions</x:v>
      </x:c>
    </x:row>
    <x:row r="15" ht="55.5" customHeight="1">
      <x:c r="A15" s="11" t="str">
        <x:v>F08</x:v>
      </x:c>
      <x:c r="B15" s="11" t="str">
        <x:v>Prior Beebop caution</x:v>
      </x:c>
      <x:c r="C15" s="11" t="str">
        <x:v>Earlier research review</x:v>
      </x:c>
      <x:c r="D15" s="11" t="str">
        <x:v>Any implication that numeric category ranges are invalid.</x:v>
      </x:c>
      <x:c r="E15" s="11" t="str">
        <x:v>The category ranges are real and officially documented. The invalid step is calling historical aggregate averages hard weekly pig/capacity ceilings.</x:v>
      </x:c>
      <x:c r="F15" s="11" t="str">
        <x:v>This pass narrows our earlier criticism and preserves useful category evidence.</x:v>
      </x:c>
      <x:c r="G15" s="11" t="str">
        <x:v>Correction to our earlier interpretation</x:v>
      </x:c>
      <x:c r="H15" s="11" t="str">
        <x:v>https://www.federalregister.gov/documents/2026/03/24/2026-05746/revising-establishment-size-definitions</x:v>
      </x:c>
    </x:row>
    <x:row r="16" ht="45" customHeight="1">
      <x:c r="A16" s="12" t="str">
        <x:v>F09</x:v>
      </x:c>
      <x:c r="B16" s="12" t="str">
        <x:v>Piedmont minimum and economics</x:v>
      </x:c>
      <x:c r="C16" s="12" t="str">
        <x:v>Supplier Roster row 9; Beebop rank 1</x:v>
      </x:c>
      <x:c r="D16" s="12" t="str">
        <x:v>150 lb minimum; disposal charge proves target viscera are discarded.</x:v>
      </x:c>
      <x:c r="E16" s="12" t="str">
        <x:v>Own terms give a 150 lb hog minimum. A disposal fee does not identify which organs are discarded, who owns them or their opportunity cost.</x:v>
      </x:c>
      <x:c r="F16" s="12" t="str">
        <x:v>150–220 lb overlaps user target; 140–149 lb falls below published minimum. Economics remain a hypothesis.</x:v>
      </x:c>
      <x:c r="G16" s="12" t="str">
        <x:v>Minimum corroborated; inference unsupported</x:v>
      </x:c>
      <x:c r="H16" s="12" t="str">
        <x:v>https://www.piedmontcustommeats.com/terms-of-service/</x:v>
      </x:c>
    </x:row>
    <x:row r="17" ht="55.5" customHeight="1">
      <x:c r="A17" s="11" t="str">
        <x:v>F10</x:v>
      </x:c>
      <x:c r="B17" s="11" t="str">
        <x:v>Nahunta specimen pathway</x:v>
      </x:c>
      <x:c r="C17" s="11" t="str">
        <x:v>Supplier Roster row 6</x:v>
      </x:c>
      <x:c r="D17" s="11" t="str">
        <x:v>Research specimens available; organs without catalogue entries have no competing use.</x:v>
      </x:c>
      <x:c r="E17" s="11" t="str">
        <x:v>Own specimen-permits page supports a research pathway. Missing retail listings cannot rule out wholesale, rendering, pet-food or private specimen uses.</x:v>
      </x:c>
      <x:c r="F17" s="11" t="str">
        <x:v>Existing supplier remains valuable benchmark; zero competing value is not established.</x:v>
      </x:c>
      <x:c r="G17" s="11" t="str">
        <x:v>Partly corroborated</x:v>
      </x:c>
      <x:c r="H17" s="11" t="str">
        <x:v>https://www.nahuntapork.com/specimen-permits1</x:v>
      </x:c>
    </x:row>
    <x:row r="18" ht="55.5" customHeight="1">
      <x:c r="A18" s="12" t="str">
        <x:v>F11</x:v>
      </x:c>
      <x:c r="B18" s="12" t="str">
        <x:v>Farmington visibility</x:v>
      </x:c>
      <x:c r="C18" s="12" t="str">
        <x:v>Supplier Roster row 74; absent from Beebop 30</x:v>
      </x:c>
      <x:c r="D18" s="12" t="str">
        <x:v>Only buried in state-plant group.</x:v>
      </x:c>
      <x:c r="E18" s="12" t="str">
        <x:v>State P-381 includes swine slaughter; Facebook and Instagram describe pig processing. 102.6 road miles from Durham.</x:v>
      </x:c>
      <x:c r="F18" s="12" t="str">
        <x:v>Elevated to an individually documented qualification prospect. Not a newly discovered company relative to Claude.</x:v>
      </x:c>
      <x:c r="G18" s="12" t="str">
        <x:v>Expanded known lead</x:v>
      </x:c>
      <x:c r="H18" s="12" t="str">
        <x:v>https://www.ncagr.gov/divisions/meat-poultry-inspection/wplants/download?attachment=
https://www.facebook.com/FarmingtonMeat/
https://www.instagram.com/farmington_meat_processing/</x:v>
      </x:c>
    </x:row>
    <x:row r="19" ht="55.5" customHeight="1">
      <x:c r="A19" s="11" t="str">
        <x:v>F12</x:v>
      </x:c>
      <x:c r="B19" s="11" t="str">
        <x:v>Easternview and Butcher’s Block</x:v>
      </x:c>
      <x:c r="C19" s="11" t="str">
        <x:v>Not named in reviewed Claude roster</x:v>
      </x:c>
      <x:c r="D19" s="11" t="str">
        <x:v>No individual records.</x:v>
      </x:c>
      <x:c r="E19" s="11" t="str">
        <x:v>Two additional Virginia candidates within 76 road miles. Easternview has direct company corroboration; Butcher’s Block has directory mirror plus Virginia processor listing.</x:v>
      </x:c>
      <x:c r="F19" s="11" t="str">
        <x:v>Potential small-scale supplements. Current pig volume and research operations remain unverified.</x:v>
      </x:c>
      <x:c r="G19" s="11" t="str">
        <x:v>New documented leads</x:v>
      </x:c>
      <x:c r="H19" s="11" t="str">
        <x:v>https://easternviewfarmsllc.com/
https://localmeat.org/processors/virginia/the-butchers-block-dry-fork-m763
https://www.vabeef.org/Media/VABeef/Docs/virginia-processors-2024.pdf</x:v>
      </x:c>
    </x:row>
    <x:row r="20" ht="69" customHeight="1">
      <x:c r="A20" s="12" t="str">
        <x:v>F13</x:v>
      </x:c>
      <x:c r="B20" s="12" t="str">
        <x:v>Neese Burlington status</x:v>
      </x:c>
      <x:c r="C20" s="12" t="str">
        <x:v>Supplier Roster rows 86 and 135 versus Beebop rank 20</x:v>
      </x:c>
      <x:c r="D20" s="12" t="str">
        <x:v>Claude: M8341 inactive July 2, 2026. Earlier Beebop: active secondary listing.</x:v>
      </x:c>
      <x:c r="E20" s="12" t="str">
        <x:v>Conflicting plant-status records. June brand acquisition and later production changes support caution. No current Burlington slaughter confirmed.</x:v>
      </x:c>
      <x:c r="F20" s="12" t="str">
        <x:v>Hold as a supplier prospect. Do not infer a plant reopened because branded sausage returned to stores.</x:v>
      </x:c>
      <x:c r="G20" s="12" t="str">
        <x:v>Unresolved; earlier Beebop confidence reduced</x:v>
      </x:c>
      <x:c r="H20" s="12" t="str">
        <x:v>https://www.meatpoultry.com/articles/33655-neeses-country-sausage-to-return-under-new-ownership
https://openagriculturetechnology.com/resources/processors/nc/neese-country-sausage-inc-alamance-county-nc/</x:v>
      </x:c>
    </x:row>
    <x:row r="21" ht="69" customHeight="1">
      <x:c r="A21" s="11" t="str">
        <x:v>F14</x:v>
      </x:c>
      <x:c r="B21" s="11" t="str">
        <x:v>Godwin closure claim</x:v>
      </x:c>
      <x:c r="C21" s="11" t="str">
        <x:v>Supplier Roster row 122</x:v>
      </x:c>
      <x:c r="D21" s="11" t="str">
        <x:v>Inactive Altoona, Iowa M760A used alongside directory absence to declare Godwin closed.</x:v>
      </x:c>
      <x:c r="E21" s="11" t="str">
        <x:v>Claude’s latest workbook retains the Godwin closure conclusion. Iowa M760A cannot establish North Carolina site closure. Carrier and association listings cannot prove current slaughter either.</x:v>
      </x:c>
      <x:c r="F21" s="11" t="str">
        <x:v>Godwin remains unresolved and outside the priority shortlist; no reopening or closure conclusion in this pass.</x:v>
      </x:c>
      <x:c r="G21" s="11" t="str">
        <x:v>Unsupported cross-site inference</x:v>
      </x:c>
      <x:c r="H21" s="11" t="str">
        <x:v>https://www.ncmpa.com/associate-members/
https://safer.fmcsa.dot.gov/query.asp?original_query_param=NAME&amp;original_query_string=COASTAL+PROTEIN&amp;query_param=USDOT&amp;query_string=2484052&amp;query_type=queryCarrierSnapshot&amp;searchtype=ANY</x:v>
      </x:c>
    </x:row>
    <x:row r="22" ht="55.5" customHeight="1">
      <x:c r="A22" s="12" t="str">
        <x:v>F15</x:v>
      </x:c>
      <x:c r="B22" s="12" t="str">
        <x:v>Mitchell facility identity</x:v>
      </x:c>
      <x:c r="C22" s="12" t="str">
        <x:v>Supplier Roster rows 14 and 86</x:v>
      </x:c>
      <x:c r="D22" s="12" t="str">
        <x:v>King M46822B inactive and Walnut Cove historical concern.</x:v>
      </x:c>
      <x:c r="E22" s="12" t="str">
        <x:v>September state directory lists Walnut Cove TA-46822. King and Walnut Cove are separate establishment identities. Historical handling allegation not independently revalidated.</x:v>
      </x:c>
      <x:c r="F22" s="12" t="str">
        <x:v>Separate current plant status from other-site closure and from unresolved historical quality evidence.</x:v>
      </x:c>
      <x:c r="G22" s="12" t="str">
        <x:v>Identity clarified; concern unresolved</x:v>
      </x:c>
      <x:c r="H22" s="12" t="str">
        <x:v>https://www.ncagr.gov/divisions/meat-poultry-inspection/wplants/download?attachment=
https://www.mitchellsmeatnc.com/</x:v>
      </x:c>
    </x:row>
    <x:row r="23" ht="45" customHeight="1">
      <x:c r="A23" s="11" t="str">
        <x:v>F16</x:v>
      </x:c>
      <x:c r="B23" s="11" t="str">
        <x:v>Bass internal inconsistency</x:v>
      </x:c>
      <x:c r="C23" s="11" t="str">
        <x:v>Supplier Roster row 23 D/F; Rated Candidates row 12</x:v>
      </x:c>
      <x:c r="D23" s="11" t="str">
        <x:v>Both category 1 and category 2 appear; grant date treated as new kill floor.</x:v>
      </x:c>
      <x:c r="E23" s="11" t="str">
        <x:v>Current state directory confirms slaughter only. Category change not independently verified. Grant dates may reflect administrative changes.</x:v>
      </x:c>
      <x:c r="F23" s="11" t="str">
        <x:v>No verified growth rate, new floor date or current weekly count.</x:v>
      </x:c>
      <x:c r="G23" s="11" t="str">
        <x:v>Workbook conflict unresolved</x:v>
      </x:c>
      <x:c r="H23" s="11" t="str">
        <x:v>https://www.ncagr.gov/divisions/meat-poultry-inspection/wplants/download?attachment=</x:v>
      </x:c>
    </x:row>
    <x:row r="24" ht="45" customHeight="1">
      <x:c r="A24" s="12" t="str">
        <x:v>F17</x:v>
      </x:c>
      <x:c r="B24" s="12" t="str">
        <x:v>Larry’s staff retention</x:v>
      </x:c>
      <x:c r="C24" s="12" t="str">
        <x:v>Rated Candidates row 6</x:v>
      </x:c>
      <x:c r="D24" s="12" t="str">
        <x:v>90% of staff employed over a decade supports training fit.</x:v>
      </x:c>
      <x:c r="E24" s="12" t="str">
        <x:v>Company site corroborates the 90% statement and custom sausage flexibility. It does not advertise tissue-block harvest or room rental.</x:v>
      </x:c>
      <x:c r="F24" s="12" t="str">
        <x:v>Useful workforce signal; commercial and anatomical fit still open.</x:v>
      </x:c>
      <x:c r="G24" s="12" t="str">
        <x:v>Business claim corroborated</x:v>
      </x:c>
      <x:c r="H24" s="12" t="str">
        <x:v>https://larryssausage.com/</x:v>
      </x:c>
    </x:row>
    <x:row r="25" ht="55.5" customHeight="1">
      <x:c r="A25" s="11" t="str">
        <x:v>F18</x:v>
      </x:c>
      <x:c r="B25" s="11" t="str">
        <x:v>Smithfield tissue channel</x:v>
      </x:c>
      <x:c r="C25" s="11" t="str">
        <x:v>National Direct Suppliers row 10; Beebop rank 25</x:v>
      </x:c>
      <x:c r="D25" s="11" t="str">
        <x:v>Dedicated porcine tissue supplier.</x:v>
      </x:c>
      <x:c r="E25" s="11" t="str">
        <x:v>Own site offers custom fresh/frozen organs from market hogs or sows, collected by trained specialists. Contact 800-437-2746.</x:v>
      </x:c>
      <x:c r="F25" s="11" t="str">
        <x:v>Strongest directly documented tissue channel connected to a regional packing network; Durham-radius collection site still unknown.</x:v>
      </x:c>
      <x:c r="G25" s="11" t="str">
        <x:v>Capability corroborated; local collection unknown</x:v>
      </x:c>
      <x:c r="H25" s="11" t="str">
        <x:v>https://www.smithfieldbioscience.com/products/porcine/
https://www.smithfieldbioscience.com/contact-us/</x:v>
      </x:c>
    </x:row>
    <x:row r="26" ht="45" customHeight="1">
      <x:c r="A26" s="12" t="str">
        <x:v>F19</x:v>
      </x:c>
      <x:c r="B26" s="12" t="str">
        <x:v>Carolina Biological</x:v>
      </x:c>
      <x:c r="C26" s="12" t="str">
        <x:v>No named national supplier record</x:v>
      </x:c>
      <x:c r="D26" s="12" t="str">
        <x:v>No existing comparison.</x:v>
      </x:c>
      <x:c r="E26" s="12" t="str">
        <x:v>Burlington contact is local but catalogue emphasizes fixed/preserved specimens.</x:v>
      </x:c>
      <x:c r="F26" s="12" t="str">
        <x:v>Referral or separate preserved-material use only; no verified unfixed fresh organ/block supply.</x:v>
      </x:c>
      <x:c r="G26" s="12" t="str">
        <x:v>Local contact; product mismatch</x:v>
      </x:c>
      <x:c r="H26" s="12" t="str">
        <x:v>https://www.carolina.com/null/10748.ct
https://www.carolina.com/our-company/facilities</x:v>
      </x:c>
    </x:row>
    <x:row r="27" ht="45" customHeight="1">
      <x:c r="A27" s="11" t="str">
        <x:v>F20</x:v>
      </x:c>
      <x:c r="B27" s="11" t="str">
        <x:v>National suppliers and source location</x:v>
      </x:c>
      <x:c r="C27" s="11" t="str">
        <x:v>National Direct Suppliers; README</x:v>
      </x:c>
      <x:c r="D27" s="11" t="str">
        <x:v>Ready-made tissue providers nationwide.</x:v>
      </x:c>
      <x:c r="E27" s="11" t="str">
        <x:v>A supplier’s ability to ship to Durham does not put its collection site within the radius. Animal Biotech confirms Pennsylvania processing.</x:v>
      </x:c>
      <x:c r="F27" s="11" t="str">
        <x:v>Retained as out-of-area benchmark data; not added to local qualified-supplier count.</x:v>
      </x:c>
      <x:c r="G27" s="11" t="str">
        <x:v>Geographic limit applied</x:v>
      </x:c>
      <x:c r="H27" s="11" t="str">
        <x:v>https://animalbiotech.com/industries-we-serve/medical-device-development/</x:v>
      </x:c>
    </x:row>
    <x:row r="28" ht="45" customHeight="1">
      <x:c r="A28" s="12" t="str">
        <x:v>F21</x:v>
      </x:c>
      <x:c r="B28" s="12" t="str">
        <x:v>Room rental and willingness</x:v>
      </x:c>
      <x:c r="C28" s="12" t="str">
        <x:v>Multiple plausible/yes host cells</x:v>
      </x:c>
      <x:c r="D28" s="12" t="str">
        <x:v>Custom processing presented as a host-fit signal.</x:v>
      </x:c>
      <x:c r="E28" s="12" t="str">
        <x:v>No new provider has agreed to rental, own-crew access or supplier-performed collection in this research pass.</x:v>
      </x:c>
      <x:c r="F28" s="12" t="str">
        <x:v>Unknown applies to every new lead. Processing to a cut sheet is weaker evidence than a specimen-harvesting agreement.</x:v>
      </x:c>
      <x:c r="G28" s="12" t="str">
        <x:v>Unconfirmed across new leads</x:v>
      </x:c>
      <x:c r="H28" s="12" t="str">
        <x:v>User-stated requirements / research scope</x:v>
      </x:c>
    </x:row>
    <x:row r="29" ht="55.5" customHeight="1">
      <x:c r="A29" s="11" t="str">
        <x:v>F22</x:v>
      </x:c>
      <x:c r="B29" s="11" t="str">
        <x:v>Inspection versus export claims</x:v>
      </x:c>
      <x:c r="C29" s="11" t="str">
        <x:v>APHIS &amp; EU Export; supplier export cells</x:v>
      </x:c>
      <x:c r="D29" s="11" t="str">
        <x:v>Some cells assert equivalence or exportability.</x:v>
      </x:c>
      <x:c r="E29" s="11" t="str">
        <x:v>This pass did not validate Animal and Plant Health Inspection Service approvals, European Union export eligibility or tissue-use-specific permits.</x:v>
      </x:c>
      <x:c r="F29" s="11" t="str">
        <x:v>Inspection-directory identity is not treated as proof of export eligibility. No export conclusion added.</x:v>
      </x:c>
      <x:c r="G29" s="11" t="str">
        <x:v>Outside verification scope</x:v>
      </x:c>
      <x:c r="H29" s="11" t="str">
        <x:v>User-stated requirements / research scope</x:v>
      </x:c>
    </x:row>
    <x:row r="30" ht="55.5" customHeight="1">
      <x:c r="A30" s="12" t="str">
        <x:v>F23</x:v>
      </x:c>
      <x:c r="B30" s="12" t="str">
        <x:v>EcoFriendly exact facility distance</x:v>
      </x:c>
      <x:c r="C30" s="12" t="str">
        <x:v>Supplier Roster row 41; Rated Candidates</x:v>
      </x:c>
      <x:c r="D30" s="12" t="str">
        <x:v>Updated Claude: approximately 112 road miles, city-level geocode.</x:v>
      </x:c>
      <x:c r="E30" s="12" t="str">
        <x:v>Exact address 3397 Stony Fork Road routes to 120.4 road miles and 92.6 radial miles from Durham City Hall.</x:v>
      </x:c>
      <x:c r="F30" s="12" t="str">
        <x:v>Inside literal radius; just beyond a strict 120-road-mile screen. City-level distance is not sufficient near a boundary.</x:v>
      </x:c>
      <x:c r="G30" s="12" t="str">
        <x:v>Facility-specific distance refinement</x:v>
      </x:c>
      <x:c r="H30" s="12" t="str">
        <x:v>https://www.ecofriendly.com/services</x:v>
      </x:c>
    </x:row>
  </x:sheetData>
  <x:pageMargins left="0.7" right="0.7" top="0.75" bottom="0.75" header="0.3" footer="0.3"/>
  <x:tableParts count="1">
    <x:tablePart xmlns:r="http://schemas.openxmlformats.org/officeDocument/2006/relationships" r:id="R334582331c5d480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2" hidden="0" customWidth="1"/>
    <x:col min="2" max="2" width="9" hidden="0" customWidth="1"/>
    <x:col min="3" max="3" width="26" hidden="0" customWidth="1"/>
    <x:col min="4" max="4" width="12" hidden="0" customWidth="1"/>
    <x:col min="5" max="5" width="12" hidden="0" customWidth="1"/>
    <x:col min="6" max="6" width="26" hidden="0" customWidth="1"/>
    <x:col min="7" max="7" width="37" hidden="0" customWidth="1"/>
    <x:col min="8" max="8" width="30" hidden="0" customWidth="1"/>
    <x:col min="9" max="9" width="76" hidden="0" customWidth="1"/>
    <x:col min="10" max="10" width="20" hidden="0" customWidth="1"/>
    <x:col min="11" max="11" width="47" hidden="0" customWidth="1"/>
    <x:col min="12" max="12" width="5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4" t="str">
        <x:v>Cross-reference of the previous 30 contacts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2" customHeight="1">
      <x:c r="A3" s="6" t="str">
        <x:v>Claude workbook references preserve the original claims. New review findings sit beside them.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6" t="str">
        <x:v>Checked September 28, 2026, including Claude’s concurrent update. Unknown means unconfirmed, not zero.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38" customHeight="1">
      <x:c r="A7" s="10" t="str">
        <x:v>Supplier</x:v>
      </x:c>
      <x:c r="B7" s="10" t="str">
        <x:v>Prior rank</x:v>
      </x:c>
      <x:c r="C7" s="10" t="str">
        <x:v>Claude location</x:v>
      </x:c>
      <x:c r="D7" s="10" t="str">
        <x:v>Road miles</x:v>
      </x:c>
      <x:c r="E7" s="10" t="str">
        <x:v>Radial miles</x:v>
      </x:c>
      <x:c r="F7" s="10" t="str">
        <x:v>Claude distance claim</x:v>
      </x:c>
      <x:c r="G7" s="10" t="str">
        <x:v>Claude weekly volume claim</x:v>
      </x:c>
      <x:c r="H7" s="10" t="str">
        <x:v>Review status</x:v>
      </x:c>
      <x:c r="I7" s="10" t="str">
        <x:v>Review finding</x:v>
      </x:c>
      <x:c r="J7" s="10" t="str">
        <x:v>Phone</x:v>
      </x:c>
      <x:c r="K7" s="10" t="str">
        <x:v>Website / public page</x:v>
      </x:c>
      <x:c r="L7" s="10" t="str">
        <x:v>Source</x:v>
      </x:c>
    </x:row>
    <x:row r="8" ht="55.5" customHeight="1">
      <x:c r="A8" s="12" t="str">
        <x:v>Piedmont Custom Meats</x:v>
      </x:c>
      <x:c r="B8" s="12" t="n">
        <x:v>1</x:v>
      </x:c>
      <x:c r="C8" s="12" t="str">
        <x:v>Supplier Roster, row 9</x:v>
      </x:c>
      <x:c r="D8" s="16" t="n">
        <x:v>47.81109570110554</x:v>
      </x:c>
      <x:c r="E8" s="16" t="n">
        <x:v>39.43729827224922</x:v>
      </x:c>
      <x:c r="F8" s="12" t="str">
        <x:v>YES · ~48 mi
(Pikeville: ~116 mi)</x:v>
      </x:c>
      <x:c r="G8" s="12" t="str">
        <x:v>~19-192/wk
(FSIS cat 2 ceiling)</x:v>
      </x:c>
      <x:c r="H8" s="12" t="str">
        <x:v>Retain qualification lead</x:v>
      </x:c>
      <x:c r="I8" s="12" t="str">
        <x:v>Claude’s new Durham value (~48 road miles) agrees with Beebop’s 47.8. Published 150 lb live minimum only partly overlaps target. Disposal fee does not establish ownership or availability of particular organs.</x:v>
      </x:c>
      <x:c r="J8" s="12" t="str">
        <x:v>336-628-4949</x:v>
      </x:c>
      <x:c r="K8" s="12" t="str">
        <x:v>https://www.piedmontcustommeats.com/</x:v>
      </x:c>
      <x:c r="L8" s="12" t="str">
        <x:v>https://www.piedmontcustommeats.com/terms-of-service/</x:v>
      </x:c>
    </x:row>
    <x:row r="9" ht="55.5" customHeight="1">
      <x:c r="A9" s="11" t="str">
        <x:v>McLamb's Abattoir / Lee's Fresh Market</x:v>
      </x:c>
      <x:c r="B9" s="11" t="n">
        <x:v>2</x:v>
      </x:c>
      <x:c r="C9" s="11" t="str">
        <x:v>Supplier Roster, row 79</x:v>
      </x:c>
      <x:c r="D9" s="18" t="n">
        <x:v>57.702890121689336</x:v>
      </x:c>
      <x:c r="E9" s="18" t="n">
        <x:v>45.41836162197026</x:v>
      </x:c>
      <x:c r="F9" s="11" t="str">
        <x:v>YES · ~58 mi
(Pikeville: ~37 mi)</x:v>
      </x:c>
      <x:c r="G9" s="11" t="str">
        <x:v>unknown — state plants
publish no volumes</x:v>
      </x:c>
      <x:c r="H9" s="11" t="str">
        <x:v>Retain qualification lead</x:v>
      </x:c>
      <x:c r="I9" s="11" t="str">
        <x:v>State P-247 identity, address and phone match Lee’s Fresh Market. Durham distance now agrees. Company website and social signals support processing activity; pig volume and room remain unknown.</x:v>
      </x:c>
      <x:c r="J9" s="11" t="str">
        <x:v>919-894-2587</x:v>
      </x:c>
      <x:c r="K9" s="11" t="str">
        <x:v>https://leesfreshmarketnc.com/</x:v>
      </x:c>
      <x:c r="L9" s="11" t="str">
        <x:v>https://leesfreshmarketnc.com/</x:v>
      </x:c>
    </x:row>
    <x:row r="10" ht="55.5" customHeight="1">
      <x:c r="A10" s="12" t="str">
        <x:v>Flowers Slaughter House</x:v>
      </x:c>
      <x:c r="B10" s="12" t="n">
        <x:v>3</x:v>
      </x:c>
      <x:c r="C10" s="12" t="str">
        <x:v>Supplier Roster, row 72</x:v>
      </x:c>
      <x:c r="D10" s="16" t="n">
        <x:v>63.30834178398154</x:v>
      </x:c>
      <x:c r="E10" s="16" t="n">
        <x:v>51.63749846644421</x:v>
      </x:c>
      <x:c r="F10" s="12" t="str">
        <x:v>YES · ~63 mi
(Pikeville: ~45 mi)</x:v>
      </x:c>
      <x:c r="G10" s="12" t="str">
        <x:v>~19-192/wk
(FSIS cat 2 ceiling)</x:v>
      </x:c>
      <x:c r="H10" s="12" t="str">
        <x:v>Retain qualification lead</x:v>
      </x:c>
      <x:c r="I10" s="12" t="str">
        <x:v>One Flowers establishment, M21747. Claude correctly labels its George Flowers row as duplicate. Count once. No actual weekly volume published.</x:v>
      </x:c>
      <x:c r="J10" s="12" t="str">
        <x:v>252-237-2982</x:v>
      </x:c>
      <x:c r="K10" s="12" t="str">
        <x:v>https://www.facebook.com/p/Flowers-Slaughterhouse-Page-100063690244587/</x:v>
      </x:c>
      <x:c r="L10" s="12" t="str">
        <x:v>https://localmeat.org/processors/north-carolina/flowers-slaughter-house-sims-m21747</x:v>
      </x:c>
    </x:row>
    <x:row r="11" ht="69" customHeight="1">
      <x:c r="A11" s="11" t="str">
        <x:v>Contentnea Farms</x:v>
      </x:c>
      <x:c r="B11" s="11" t="n">
        <x:v>4</x:v>
      </x:c>
      <x:c r="C11" s="11" t="str">
        <x:v>Supplier Roster, row 69</x:v>
      </x:c>
      <x:c r="D11" s="18" t="n">
        <x:v>90.29008092738407</x:v>
      </x:c>
      <x:c r="E11" s="18" t="n">
        <x:v>72.64760579541328</x:v>
      </x:c>
      <x:c r="F11" s="11" t="str">
        <x:v>YES · ~90 mi
(Pikeville: ~35 mi)</x:v>
      </x:c>
      <x:c r="G11" s="11" t="str">
        <x:v>&lt;19/wk
(FSIS cat 1)</x:v>
      </x:c>
      <x:c r="H11" s="11" t="str">
        <x:v>Retain qualification lead</x:v>
      </x:c>
      <x:c r="I11" s="11" t="str">
        <x:v>State directory corroborates TA-2583, swine and Walstonburg kill site. Company public phone differs from directory: retain 252-289-3083 and 252-717-9229. Claude category-1-derived weekly figure is historical aggregate, not current pig count.</x:v>
      </x:c>
      <x:c r="J11" s="11" t="str">
        <x:v>252-289-3083</x:v>
      </x:c>
      <x:c r="K11" s="11" t="str">
        <x:v>https://contentneafarms.com/</x:v>
      </x:c>
      <x:c r="L11" s="11" t="str">
        <x:v>https://www.ncagr.gov/divisions/meat-poultry-inspection/wplants/download?attachment=</x:v>
      </x:c>
    </x:row>
    <x:row r="12" ht="55.5" customHeight="1">
      <x:c r="A12" s="12" t="str">
        <x:v>Gale McLamb Meats</x:v>
      </x:c>
      <x:c r="B12" s="12" t="n">
        <x:v>5</x:v>
      </x:c>
      <x:c r="C12" s="12" t="str">
        <x:v>Supplier Roster, row 80</x:v>
      </x:c>
      <x:c r="D12" s="16" t="n">
        <x:v>59.73757009067048</x:v>
      </x:c>
      <x:c r="E12" s="16" t="n">
        <x:v>48.036921080446234</x:v>
      </x:c>
      <x:c r="F12" s="12" t="str">
        <x:v>YES · ~60 mi
(Pikeville: ~44 mi)</x:v>
      </x:c>
      <x:c r="G12" s="12" t="str">
        <x:v>unknown — likely small
retail-butcher scale</x:v>
      </x:c>
      <x:c r="H12" s="12" t="str">
        <x:v>Retain qualification lead</x:v>
      </x:c>
      <x:c r="I12" s="12" t="str">
        <x:v>State directory corroborates swine slaughter and identity. Claude’s updated Durham distance agrees. Exact weekly pigs, suitable weights and room remain unknown.</x:v>
      </x:c>
      <x:c r="J12" s="12" t="str">
        <x:v>910-892-7279</x:v>
      </x:c>
      <x:c r="K12" s="12" t="str"/>
      <x:c r="L12" s="12" t="str">
        <x:v>https://www.ncagr.gov/divisions/meat-poultry-inspection/wplants/download?attachment=</x:v>
      </x:c>
    </x:row>
    <x:row r="13" ht="55.5" customHeight="1">
      <x:c r="A13" s="11" t="str">
        <x:v>Key Packing Company</x:v>
      </x:c>
      <x:c r="B13" s="11" t="n">
        <x:v>6</x:v>
      </x:c>
      <x:c r="C13" s="11" t="str">
        <x:v>Supplier Roster, row 15</x:v>
      </x:c>
      <x:c r="D13" s="18" t="n">
        <x:v>69.72269446432833</x:v>
      </x:c>
      <x:c r="E13" s="18" t="n">
        <x:v>52.88887432349344</x:v>
      </x:c>
      <x:c r="F13" s="11" t="str">
        <x:v>YES · ~70 mi
(Pikeville: ~116 mi)</x:v>
      </x:c>
      <x:c r="G13" s="11" t="str">
        <x:v>unknown (small)</x:v>
      </x:c>
      <x:c r="H13" s="11" t="str">
        <x:v>Retain qualification lead</x:v>
      </x:c>
      <x:c r="I13" s="11" t="str">
        <x:v>State directory corroborates swine slaughter and identity. Claude’s updated Durham distance agrees. Exact weekly pigs, suitable weights and room remain unknown.</x:v>
      </x:c>
      <x:c r="J13" s="11" t="str">
        <x:v>910-464-3507</x:v>
      </x:c>
      <x:c r="K13" s="11" t="str"/>
      <x:c r="L13" s="11" t="str">
        <x:v>https://www.ncagr.gov/divisions/meat-poultry-inspection/wplants/download?attachment=</x:v>
      </x:c>
    </x:row>
    <x:row r="14" ht="55.5" customHeight="1">
      <x:c r="A14" s="12" t="str">
        <x:v>Quaqua Creek Farm</x:v>
      </x:c>
      <x:c r="B14" s="12" t="n">
        <x:v>7</x:v>
      </x:c>
      <x:c r="C14" s="12" t="str">
        <x:v>Supplier Roster, row 131</x:v>
      </x:c>
      <x:c r="D14" s="16" t="n">
        <x:v>67.20309641692515</x:v>
      </x:c>
      <x:c r="E14" s="16" t="n">
        <x:v>48.35204925832898</x:v>
      </x:c>
      <x:c r="F14" s="12" t="str">
        <x:v>YES · ~67 mi
(Pikeville: n/m)</x:v>
      </x:c>
      <x:c r="G14" s="12" t="str">
        <x:v>unknown — state plants publish no volumes</x:v>
      </x:c>
      <x:c r="H14" s="12" t="str">
        <x:v>Retain qualification lead</x:v>
      </x:c>
      <x:c r="I14" s="12" t="str">
        <x:v>State directory corroborates swine slaughter and identity. Claude’s updated Durham distance agrees. Exact weekly pigs, suitable weights and room remain unknown.</x:v>
      </x:c>
      <x:c r="J14" s="12" t="str">
        <x:v>336-939-2656</x:v>
      </x:c>
      <x:c r="K14" s="12" t="str"/>
      <x:c r="L14" s="12" t="str">
        <x:v>https://www.ncagr.gov/divisions/meat-poultry-inspection/wplants/download?attachment=</x:v>
      </x:c>
    </x:row>
    <x:row r="15" ht="55.5" customHeight="1">
      <x:c r="A15" s="11" t="str">
        <x:v>Cool Springs Farm and Meat</x:v>
      </x:c>
      <x:c r="B15" s="11" t="n">
        <x:v>8</x:v>
      </x:c>
      <x:c r="C15" s="11" t="str">
        <x:v>Supplier Roster, row 132</x:v>
      </x:c>
      <x:c r="D15" s="18" t="n">
        <x:v>106.77114401892945</x:v>
      </x:c>
      <x:c r="E15" s="18" t="n">
        <x:v>98.31805633055046</x:v>
      </x:c>
      <x:c r="F15" s="11" t="str">
        <x:v>YES · ~107 mi
(Pikeville: n/m)</x:v>
      </x:c>
      <x:c r="G15" s="11" t="str">
        <x:v>&lt;19/wk (FSIS cat 1)</x:v>
      </x:c>
      <x:c r="H15" s="11" t="str">
        <x:v>Retain qualification lead</x:v>
      </x:c>
      <x:c r="I15" s="11" t="str">
        <x:v>State directory corroborates swine slaughter and identity. Claude’s updated Durham distance agrees. Exact weekly pigs, suitable weights and room remain unknown.</x:v>
      </x:c>
      <x:c r="J15" s="11" t="str">
        <x:v>336-835-5377</x:v>
      </x:c>
      <x:c r="K15" s="11" t="str">
        <x:v>https://www.csmpfarmstore.com/</x:v>
      </x:c>
      <x:c r="L15" s="11" t="str">
        <x:v>https://www.ncagr.gov/divisions/meat-poultry-inspection/wplants/download?attachment=</x:v>
      </x:c>
    </x:row>
    <x:row r="16" ht="69" customHeight="1">
      <x:c r="A16" s="12" t="str">
        <x:v>Mitchell's Meat Processing</x:v>
      </x:c>
      <x:c r="B16" s="12" t="n">
        <x:v>9</x:v>
      </x:c>
      <x:c r="C16" s="12" t="str">
        <x:v>Supplier Roster, row 14</x:v>
      </x:c>
      <x:c r="D16" s="16" t="n">
        <x:v>84.99413425594527</x:v>
      </x:c>
      <x:c r="E16" s="16" t="n">
        <x:v>72.49979510609764</x:v>
      </x:c>
      <x:c r="F16" s="12" t="str">
        <x:v>YES · ~85 mi ≈
(Pikeville: ~160 mi)</x:v>
      </x:c>
      <x:c r="G16" s="12" t="str">
        <x:v>&lt;19/wk
(FSIS cat 1)</x:v>
      </x:c>
      <x:c r="H16" s="12" t="str">
        <x:v>Retain with unresolved historical concern</x:v>
      </x:c>
      <x:c r="I16" s="12" t="str">
        <x:v>Walnut Cove plant TA-46822 remains listed. Claude’s inactive King facility is M46822B, a different site. Claude also reports a 2021 handling action; primary record not re-obtained in this pass. No current clearance or adverse finding inferred.</x:v>
      </x:c>
      <x:c r="J16" s="12" t="str">
        <x:v>336-591-7420</x:v>
      </x:c>
      <x:c r="K16" s="12" t="str">
        <x:v>https://www.mitchellsmeatnc.com/</x:v>
      </x:c>
      <x:c r="L16" s="12" t="str">
        <x:v>https://www.ncagr.gov/divisions/meat-poultry-inspection/wplants/download?attachment=</x:v>
      </x:c>
    </x:row>
    <x:row r="17" ht="55.5" customHeight="1">
      <x:c r="A17" s="11" t="str">
        <x:v>Schrock's Slaughter House</x:v>
      </x:c>
      <x:c r="B17" s="11" t="n">
        <x:v>10</x:v>
      </x:c>
      <x:c r="C17" s="11" t="str">
        <x:v>Supplier Roster, row 134</x:v>
      </x:c>
      <x:c r="D17" s="18" t="n">
        <x:v>95.40930963175057</x:v>
      </x:c>
      <x:c r="E17" s="18" t="n">
        <x:v>81.31292604896112</x:v>
      </x:c>
      <x:c r="F17" s="11" t="str">
        <x:v>YES · ~95 mi
(Pikeville: n/m)</x:v>
      </x:c>
      <x:c r="G17" s="11" t="str">
        <x:v>&lt;19/wk (FSIS cat 1)</x:v>
      </x:c>
      <x:c r="H17" s="11" t="str">
        <x:v>Pork schedule unconfirmed</x:v>
      </x:c>
      <x:c r="I17" s="11" t="str">
        <x:v>Federal-derived directory lists hogs, while own website emphasizes beef. Retain as a secondary qualification lead until current pig schedule is confirmed.</x:v>
      </x:c>
      <x:c r="J17" s="11" t="str">
        <x:v>434-283-5400</x:v>
      </x:c>
      <x:c r="K17" s="11" t="str">
        <x:v>https://schrockssh.com/</x:v>
      </x:c>
      <x:c r="L17" s="11" t="str">
        <x:v>https://schrockssh.com/</x:v>
      </x:c>
    </x:row>
    <x:row r="18" ht="55.5" customHeight="1">
      <x:c r="A18" s="12" t="str">
        <x:v>Martin's Pork Products</x:v>
      </x:c>
      <x:c r="B18" s="12" t="n">
        <x:v>11</x:v>
      </x:c>
      <x:c r="C18" s="12" t="str">
        <x:v>Supplier Roster, row 7</x:v>
      </x:c>
      <x:c r="D18" s="16" t="n">
        <x:v>73.68642129961027</x:v>
      </x:c>
      <x:c r="E18" s="16" t="n">
        <x:v>57.34987195920817</x:v>
      </x:c>
      <x:c r="F18" s="12" t="str">
        <x:v>YES · ~74 mi
(Pikeville: ~45 mi)</x:v>
      </x:c>
      <x:c r="G18" s="12" t="str">
        <x:v>192–1,917/wk (FSIS cat 3 ceiling)</x:v>
      </x:c>
      <x:c r="H18" s="12" t="str">
        <x:v>Existing supplier benchmark</x:v>
      </x:c>
      <x:c r="I18" s="12" t="str">
        <x:v>Existing relationship per user. Historical or meeting-derived volumes are not new independently verified current pig counts. No new rental or supply agreement confirmed.</x:v>
      </x:c>
      <x:c r="J18" s="12" t="str">
        <x:v>910-980-1501</x:v>
      </x:c>
      <x:c r="K18" s="12" t="str"/>
      <x:c r="L18" s="12" t="str">
        <x:v>https://www.ncagr.gov/divisions/meat-poultry-inspection/wplants/download?attachment=</x:v>
      </x:c>
    </x:row>
    <x:row r="19" ht="55.5" customHeight="1">
      <x:c r="A19" s="11" t="str">
        <x:v>Custom Quality Packers</x:v>
      </x:c>
      <x:c r="B19" s="11" t="n">
        <x:v>12</x:v>
      </x:c>
      <x:c r="C19" s="11" t="str">
        <x:v>Supplier Roster, row 11</x:v>
      </x:c>
      <x:c r="D19" s="18" t="n">
        <x:v>59.83077576950608</x:v>
      </x:c>
      <x:c r="E19" s="18" t="n">
        <x:v>48.728410948565596</x:v>
      </x:c>
      <x:c r="F19" s="11" t="str">
        <x:v>YES · ~60 mi
(Pikeville: ~45 mi)</x:v>
      </x:c>
      <x:c r="G19" s="11" t="str">
        <x:v>~500/wk
(company-stated, mtg 2026-08)
FSIS cat 3 → 192-1,917/wk</x:v>
      </x:c>
      <x:c r="H19" s="11" t="str">
        <x:v>Existing supplier benchmark</x:v>
      </x:c>
      <x:c r="I19" s="11" t="str">
        <x:v>Existing relationship per user. Historical or meeting-derived volumes are not new independently verified current pig counts. No new rental or supply agreement confirmed.</x:v>
      </x:c>
      <x:c r="J19" s="11" t="str">
        <x:v>252-235-3558</x:v>
      </x:c>
      <x:c r="K19" s="11" t="str">
        <x:v>https://www.deanstreetprocessing.com/</x:v>
      </x:c>
      <x:c r="L19" s="11" t="str">
        <x:v>https://www.ncagr.gov/divisions/meat-poultry-inspection/wplants/download?attachment=</x:v>
      </x:c>
    </x:row>
    <x:row r="20" ht="55.5" customHeight="1">
      <x:c r="A20" s="12" t="str">
        <x:v>Nahunta Slaughter House / Pork Center</x:v>
      </x:c>
      <x:c r="B20" s="12" t="n">
        <x:v>13</x:v>
      </x:c>
      <x:c r="C20" s="12" t="str">
        <x:v>Supplier Roster, row 6</x:v>
      </x:c>
      <x:c r="D20" s="16" t="n">
        <x:v>72.05718603356398</x:v>
      </x:c>
      <x:c r="E20" s="16" t="n">
        <x:v>56.862944749769724</x:v>
      </x:c>
      <x:c r="F20" s="12" t="str">
        <x:v>YES · ~72 mi
(Pikeville: ~0 mi — the old anchor sat here)</x:v>
      </x:c>
      <x:c r="G20" s="12" t="str">
        <x:v>~150/day claimed peak;
500+/wk (mid-2010s figure).
Current kill UNVERIFIED — ask Brandon</x:v>
      </x:c>
      <x:c r="H20" s="12" t="str">
        <x:v>Existing supplier benchmark</x:v>
      </x:c>
      <x:c r="I20" s="12" t="str">
        <x:v>Own specimen-permits page corroborates an established research-specimen pathway. Absence of an organ from retail catalogue does not prove no competing use.</x:v>
      </x:c>
      <x:c r="J20" s="12" t="str">
        <x:v>919-242-4735</x:v>
      </x:c>
      <x:c r="K20" s="12" t="str">
        <x:v>https://www.nahuntapork.com/</x:v>
      </x:c>
      <x:c r="L20" s="12" t="str">
        <x:v>https://www.nahuntapork.com/specimen-permits1</x:v>
      </x:c>
    </x:row>
    <x:row r="21" ht="55.5" customHeight="1">
      <x:c r="A21" s="11" t="str">
        <x:v>Parks Family Meats</x:v>
      </x:c>
      <x:c r="B21" s="11" t="n">
        <x:v>14</x:v>
      </x:c>
      <x:c r="C21" s="11" t="str">
        <x:v>Supplier Roster, row 65</x:v>
      </x:c>
      <x:c r="D21" s="18" t="n">
        <x:v>97.35836465044142</x:v>
      </x:c>
      <x:c r="E21" s="18" t="n">
        <x:v>83.48656128124655</x:v>
      </x:c>
      <x:c r="F21" s="11" t="str">
        <x:v>YES · ~97 mi
(Pikeville: ~45 mi)</x:v>
      </x:c>
      <x:c r="G21" s="11" t="str">
        <x:v>~400-1,000/wk (client mtg 2026-08);
stated 400/day capacity —
cat-3 actuals confirm headroom exists</x:v>
      </x:c>
      <x:c r="H21" s="11" t="str">
        <x:v>Existing supplier benchmark</x:v>
      </x:c>
      <x:c r="I21" s="11" t="str">
        <x:v>Existing relationship per user. Historical or meeting-derived volumes are not new independently verified current pig counts. No new rental or supply agreement confirmed.</x:v>
      </x:c>
      <x:c r="J21" s="11" t="str">
        <x:v>910-293-4614</x:v>
      </x:c>
      <x:c r="K21" s="11" t="str">
        <x:v>https://parkslivestock.com/</x:v>
      </x:c>
      <x:c r="L21" s="11" t="str">
        <x:v>https://www.ncagr.gov/divisions/meat-poultry-inspection/wplants/download?attachment=</x:v>
      </x:c>
    </x:row>
    <x:row r="22" ht="55.5" customHeight="1">
      <x:c r="A22" s="12" t="str">
        <x:v>Villari / The Pork Company</x:v>
      </x:c>
      <x:c r="B22" s="12" t="n">
        <x:v>15</x:v>
      </x:c>
      <x:c r="C22" s="12" t="str">
        <x:v>Supplier Roster, row 64</x:v>
      </x:c>
      <x:c r="D22" s="16" t="n">
        <x:v>96.42773701582756</x:v>
      </x:c>
      <x:c r="E22" s="16" t="n">
        <x:v>81.15656870045446</x:v>
      </x:c>
      <x:c r="F22" s="12" t="str">
        <x:v>YES · ~96 mi
(Pikeville: ~45 mi)</x:v>
      </x:c>
      <x:c r="G22" s="12" t="str">
        <x:v>~7,500/wk (1,500 hd/day, EMI 2017)</x:v>
      </x:c>
      <x:c r="H22" s="12" t="str">
        <x:v>Existing supplier benchmark</x:v>
      </x:c>
      <x:c r="I22" s="12" t="str">
        <x:v>Existing relationship per user. Historical or meeting-derived volumes are not new independently verified current pig counts. No new rental or supply agreement confirmed.</x:v>
      </x:c>
      <x:c r="J22" s="12" t="str">
        <x:v>910-293-2157</x:v>
      </x:c>
      <x:c r="K22" s="12" t="str">
        <x:v>https://www.villarifood.com/</x:v>
      </x:c>
      <x:c r="L22" s="12" t="str">
        <x:v>https://www.ams.usda.gov/sites/default/files/media/LSOfficialListingNeverFedBetaAgonistsProgram.pdf</x:v>
      </x:c>
    </x:row>
    <x:row r="23" ht="69" customHeight="1">
      <x:c r="A23" s="11" t="str">
        <x:v>Bass Farms</x:v>
      </x:c>
      <x:c r="B23" s="11" t="n">
        <x:v>16</x:v>
      </x:c>
      <x:c r="C23" s="11" t="str">
        <x:v>Supplier Roster, row 23</x:v>
      </x:c>
      <x:c r="D23" s="18" t="n">
        <x:v>61.01827825499085</x:v>
      </x:c>
      <x:c r="E23" s="18" t="n">
        <x:v>45.8248076203723</x:v>
      </x:c>
      <x:c r="F23" s="11" t="str">
        <x:v>YES · ~61 mi
(Pikeville: ~40 mi)</x:v>
      </x:c>
      <x:c r="G23" s="11" t="str">
        <x:v>&lt;19/wk today
(FSIS cat 1) — but the GRANT IS
BRAND NEW (2/17/2026) and the
company just expanded</x:v>
      </x:c>
      <x:c r="H23" s="11" t="str">
        <x:v>Retain qualification lead</x:v>
      </x:c>
      <x:c r="I23" s="11" t="str">
        <x:v>Current state directory confirms swine slaughter. Claude row 23 says category 1 in D but category 2 in F; Rated Candidates row 12 also says category 2. Current category and pig weights unresolved. A grant date alone does not date the physical kill floor.</x:v>
      </x:c>
      <x:c r="J23" s="11" t="str">
        <x:v>252-478-4147</x:v>
      </x:c>
      <x:c r="K23" s="11" t="str">
        <x:v>https://bassfarmsausage.com/</x:v>
      </x:c>
      <x:c r="L23" s="11" t="str">
        <x:v>https://www.ncagr.gov/divisions/meat-poultry-inspection/wplants/download?attachment=</x:v>
      </x:c>
    </x:row>
    <x:row r="24" ht="55.5" customHeight="1">
      <x:c r="A24" s="12" t="str">
        <x:v>Select Meats</x:v>
      </x:c>
      <x:c r="B24" s="12" t="n">
        <x:v>17</x:v>
      </x:c>
      <x:c r="C24" s="12" t="str">
        <x:v>Supplier Roster, row 83</x:v>
      </x:c>
      <x:c r="D24" s="16" t="n">
        <x:v>114.4866479758212</x:v>
      </x:c>
      <x:c r="E24" s="16" t="n">
        <x:v>101.23457410318274</x:v>
      </x:c>
      <x:c r="F24" s="12" t="str">
        <x:v>YES · ~114 mi (borderline)
(Pikeville: ~190 mi)</x:v>
      </x:c>
      <x:c r="G24" s="12" t="str">
        <x:v>~19-192/wk all species
(FSIS cat 2)</x:v>
      </x:c>
      <x:c r="H24" s="12" t="str">
        <x:v>Retain qualification lead</x:v>
      </x:c>
      <x:c r="I24" s="12" t="str">
        <x:v>State directory corroborates swine slaughter and identity. Claude’s updated Durham distance agrees. Exact weekly pigs, suitable weights and room remain unknown.</x:v>
      </x:c>
      <x:c r="J24" s="12" t="str">
        <x:v>704-933-7550</x:v>
      </x:c>
      <x:c r="K24" s="12" t="str"/>
      <x:c r="L24" s="12" t="str">
        <x:v>https://www.ncagr.gov/divisions/meat-poultry-inspection/wplants/download?attachment=</x:v>
      </x:c>
    </x:row>
    <x:row r="25" ht="55.5" customHeight="1">
      <x:c r="A25" s="11" t="str">
        <x:v>Cruse Meat Processing</x:v>
      </x:c>
      <x:c r="B25" s="11" t="n">
        <x:v>18</x:v>
      </x:c>
      <x:c r="C25" s="11" t="str">
        <x:v>Supplier Roster, row 18</x:v>
      </x:c>
      <x:c r="D25" s="18" t="n">
        <x:v>119.63607532013044</x:v>
      </x:c>
      <x:c r="E25" s="18" t="n">
        <x:v>95.59607390627988</x:v>
      </x:c>
      <x:c r="F25" s="11" t="str">
        <x:v>YES · ~120 mi (borderline)
(Pikeville: ~168 mi)</x:v>
      </x:c>
      <x:c r="G25" s="11" t="str">
        <x:v>&lt;19/wk
(FSIS cat 1)</x:v>
      </x:c>
      <x:c r="H25" s="11" t="str">
        <x:v>Retain qualification lead</x:v>
      </x:c>
      <x:c r="I25" s="11" t="str">
        <x:v>State directory corroborates swine slaughter and identity. Claude’s updated Durham distance agrees. Exact weekly pigs, suitable weights and room remain unknown.</x:v>
      </x:c>
      <x:c r="J25" s="11" t="str">
        <x:v>704-786-8616</x:v>
      </x:c>
      <x:c r="K25" s="11" t="str"/>
      <x:c r="L25" s="11" t="str">
        <x:v>https://www.ncagr.gov/divisions/meat-poultry-inspection/wplants/download?attachment=</x:v>
      </x:c>
    </x:row>
    <x:row r="26" ht="69" customHeight="1">
      <x:c r="A26" s="12" t="str">
        <x:v>Larry's Sausage Company</x:v>
      </x:c>
      <x:c r="B26" s="12" t="n">
        <x:v>19</x:v>
      </x:c>
      <x:c r="C26" s="12" t="str">
        <x:v>Supplier Roster, row 22</x:v>
      </x:c>
      <x:c r="D26" s="16" t="n">
        <x:v>86.56931022826691</x:v>
      </x:c>
      <x:c r="E26" s="16" t="n">
        <x:v>64.710769660391</x:v>
      </x:c>
      <x:c r="F26" s="12" t="str">
        <x:v>YES · ~87 mi
(Pikeville: ~65 mi)</x:v>
      </x:c>
      <x:c r="G26" s="12" t="str">
        <x:v>~19-192/wk ceiling
(FSIS slaughter cat 2 = 1,000-9,999 hd / 360 d).
Earlier '200-800/wk' REFUTED</x:v>
      </x:c>
      <x:c r="H26" s="12" t="str">
        <x:v>Retain qualification lead</x:v>
      </x:c>
      <x:c r="I26" s="12" t="str">
        <x:v>Company corroborates long-tenured staff and custom sausage blends. Those facts do not confirm organ collection training or crew access. Claude’s sow-only classification remains a weight-fit question for 140–220 lb live pigs.</x:v>
      </x:c>
      <x:c r="J26" s="12" t="str">
        <x:v>910-483-5148</x:v>
      </x:c>
      <x:c r="K26" s="12" t="str">
        <x:v>https://larryssausage.com/</x:v>
      </x:c>
      <x:c r="L26" s="12" t="str">
        <x:v>https://larryssausage.com/</x:v>
      </x:c>
    </x:row>
    <x:row r="27" ht="82.5" customHeight="1">
      <x:c r="A27" s="11" t="str">
        <x:v>Neese Country Sausage, Burlington plant</x:v>
      </x:c>
      <x:c r="B27" s="11" t="n">
        <x:v>20</x:v>
      </x:c>
      <x:c r="C27" s="11" t="str">
        <x:v>Supplier Roster, row 135</x:v>
      </x:c>
      <x:c r="D27" s="18" t="n">
        <x:v>33.31332518094329</x:v>
      </x:c>
      <x:c r="E27" s="18" t="n">
        <x:v>30.3361605735185</x:v>
      </x:c>
      <x:c r="F27" s="11" t="str">
        <x:v>YES · ~33 mi
(Pikeville: n/m)</x:v>
      </x:c>
      <x:c r="G27" s="11" t="str">
        <x:v>n/a</x:v>
      </x:c>
      <x:c r="H27" s="11" t="str">
        <x:v>HOLD: current slaughter status unresolved</x:v>
      </x:c>
      <x:c r="I27" s="11" t="str">
        <x:v>Claude row 86 gives M8341 inactive July 2, 2026. A secondary September-labelled directory still calls it active. June acquisition and later production changes corroborate disruption, not Burlington reopening. Earlier Beebop active listing is not reliable enough for priority outreach.</x:v>
      </x:c>
      <x:c r="J27" s="11" t="str">
        <x:v>336-227-0211</x:v>
      </x:c>
      <x:c r="K27" s="11" t="str">
        <x:v>https://neesesausage.com/</x:v>
      </x:c>
      <x:c r="L27" s="11" t="str">
        <x:v>https://www.meatpoultry.com/articles/33655-neeses-country-sausage-to-return-under-new-ownership</x:v>
      </x:c>
    </x:row>
    <x:row r="28" ht="55.5" customHeight="1">
      <x:c r="A28" s="12" t="str">
        <x:v>AAA Abattoir</x:v>
      </x:c>
      <x:c r="B28" s="12" t="n">
        <x:v>21</x:v>
      </x:c>
      <x:c r="C28" s="12" t="str">
        <x:v>Supplier Roster, row 136</x:v>
      </x:c>
      <x:c r="D28" s="16" t="n">
        <x:v>31.966875944484208</x:v>
      </x:c>
      <x:c r="E28" s="16" t="n">
        <x:v>22.870929762610977</x:v>
      </x:c>
      <x:c r="F28" s="12" t="str">
        <x:v>YES · ~32 mi
(Pikeville: n/m)</x:v>
      </x:c>
      <x:c r="G28" s="12" t="str">
        <x:v>n/a</x:v>
      </x:c>
      <x:c r="H28" s="12" t="str">
        <x:v>Custom-only exploratory lead</x:v>
      </x:c>
      <x:c r="I28" s="12" t="str">
        <x:v>Now individually recorded in Claude with custom-only status and excluded by its inspection gate. Kept here as exploratory source data only; not a qualified approved supplier.</x:v>
      </x:c>
      <x:c r="J28" s="12" t="str">
        <x:v>717-405-8137</x:v>
      </x:c>
      <x:c r="K28" s="12" t="str"/>
      <x:c r="L28" s="12" t="str">
        <x:v>https://www.ncagr.gov/divisions/meat-poultry-inspection/wplants/download?attachment=</x:v>
      </x:c>
    </x:row>
    <x:row r="29" ht="55.5" customHeight="1">
      <x:c r="A29" s="11" t="str">
        <x:v>Coletown</x:v>
      </x:c>
      <x:c r="B29" s="11" t="n">
        <x:v>22</x:v>
      </x:c>
      <x:c r="C29" s="11" t="str">
        <x:v>Supplier Roster, row 137</x:v>
      </x:c>
      <x:c r="D29" s="18" t="n">
        <x:v>90.41752415891195</x:v>
      </x:c>
      <x:c r="E29" s="18" t="n">
        <x:v>74.99250042287866</x:v>
      </x:c>
      <x:c r="F29" s="11" t="str">
        <x:v>YES · ~90 mi
(Pikeville: n/m)</x:v>
      </x:c>
      <x:c r="G29" s="11" t="str">
        <x:v>n/a</x:v>
      </x:c>
      <x:c r="H29" s="11" t="str">
        <x:v>Custom-only exploratory lead</x:v>
      </x:c>
      <x:c r="I29" s="11" t="str">
        <x:v>Now individually recorded in Claude with custom-only status and excluded by its inspection gate. Kept here as exploratory source data only; not a qualified approved supplier.</x:v>
      </x:c>
      <x:c r="J29" s="11" t="str">
        <x:v>336-596-0826</x:v>
      </x:c>
      <x:c r="K29" s="11" t="str">
        <x:v>https://www.coletowndeerprocessing.com/</x:v>
      </x:c>
      <x:c r="L29" s="11" t="str">
        <x:v>https://www.ncagr.gov/divisions/meat-poultry-inspection/wplants/download?attachment=</x:v>
      </x:c>
    </x:row>
    <x:row r="30" ht="55.5" customHeight="1">
      <x:c r="A30" s="12" t="str">
        <x:v>Homestead Custom Meat Processing</x:v>
      </x:c>
      <x:c r="B30" s="12" t="n">
        <x:v>23</x:v>
      </x:c>
      <x:c r="C30" s="12" t="str">
        <x:v>Supplier Roster, row 138</x:v>
      </x:c>
      <x:c r="D30" s="16" t="n">
        <x:v>70.42782649327926</x:v>
      </x:c>
      <x:c r="E30" s="16" t="n">
        <x:v>56.12711630619734</x:v>
      </x:c>
      <x:c r="F30" s="12" t="str">
        <x:v>YES · ~70 mi
(Pikeville: n/m)</x:v>
      </x:c>
      <x:c r="G30" s="12" t="str">
        <x:v>n/a</x:v>
      </x:c>
      <x:c r="H30" s="12" t="str">
        <x:v>Custom-only exploratory lead</x:v>
      </x:c>
      <x:c r="I30" s="12" t="str">
        <x:v>Now individually recorded in Claude with custom-only status and excluded by its inspection gate. Kept here as exploratory source data only; not a qualified approved supplier.</x:v>
      </x:c>
      <x:c r="J30" s="12" t="str">
        <x:v>336-689-6232</x:v>
      </x:c>
      <x:c r="K30" s="12" t="str">
        <x:v>https://www.facebook.com/p/Homestead-Custom-Meat-Processing-100076254697818/</x:v>
      </x:c>
      <x:c r="L30" s="12" t="str">
        <x:v>https://www.ncagr.gov/divisions/meat-poultry-inspection/wplants/download?attachment=</x:v>
      </x:c>
    </x:row>
    <x:row r="31" ht="55.5" customHeight="1">
      <x:c r="A31" s="11" t="str">
        <x:v>Miller Meat Processing</x:v>
      </x:c>
      <x:c r="B31" s="11" t="n">
        <x:v>24</x:v>
      </x:c>
      <x:c r="C31" s="11" t="str">
        <x:v>Supplier Roster, row 139</x:v>
      </x:c>
      <x:c r="D31" s="18" t="n">
        <x:v>103.45376749781278</x:v>
      </x:c>
      <x:c r="E31" s="18" t="n">
        <x:v>89.85804425406907</x:v>
      </x:c>
      <x:c r="F31" s="11" t="str">
        <x:v>YES · ~103 mi
(Pikeville: n/m)</x:v>
      </x:c>
      <x:c r="G31" s="11" t="str">
        <x:v>n/a</x:v>
      </x:c>
      <x:c r="H31" s="11" t="str">
        <x:v>Custom-only exploratory lead</x:v>
      </x:c>
      <x:c r="I31" s="11" t="str">
        <x:v>Now individually recorded in Claude with custom-only status and excluded by its inspection gate. Kept here as exploratory source data only; not a qualified approved supplier.</x:v>
      </x:c>
      <x:c r="J31" s="11" t="str">
        <x:v>252-589-0004</x:v>
      </x:c>
      <x:c r="K31" s="11" t="str"/>
      <x:c r="L31" s="11" t="str">
        <x:v>https://www.ncagr.gov/divisions/meat-poultry-inspection/wplants/download?attachment=</x:v>
      </x:c>
    </x:row>
    <x:row r="32" ht="69" customHeight="1">
      <x:c r="A32" s="12" t="str">
        <x:v>Smithfield Fresh Meats, Clinton plant</x:v>
      </x:c>
      <x:c r="B32" s="12" t="n">
        <x:v>25</x:v>
      </x:c>
      <x:c r="C32" s="12" t="str">
        <x:v>Supplier Roster, row 133</x:v>
      </x:c>
      <x:c r="D32" s="16" t="n">
        <x:v>88.86683021156445</x:v>
      </x:c>
      <x:c r="E32" s="16" t="n">
        <x:v>76.71971443873406</x:v>
      </x:c>
      <x:c r="F32" s="12" t="str">
        <x:v>YES · ~89 mi
(Pikeville: n/m)</x:v>
      </x:c>
      <x:c r="G32" s="12" t="str">
        <x:v>&gt;5,000/wk (FSIS cat 4; plant scale far above the band floor)</x:v>
      </x:c>
      <x:c r="H32" s="12" t="str">
        <x:v>Industrial / tissue-channel lead</x:v>
      </x:c>
      <x:c r="I32" s="12" t="str">
        <x:v>Local slaughter site, but preferred 2,000–5,000/week scale is unconfirmed and likely not the appropriate comparison. Smithfield BioScience is the more directly evidenced tissue channel; a local collection site is not established.</x:v>
      </x:c>
      <x:c r="J32" s="12" t="str">
        <x:v>910-592-2104</x:v>
      </x:c>
      <x:c r="K32" s="12" t="str">
        <x:v>https://www.smithfieldfoods.com/</x:v>
      </x:c>
      <x:c r="L32" s="12" t="str">
        <x:v>https://www.smithfieldbioscience.com/products/porcine/</x:v>
      </x:c>
    </x:row>
    <x:row r="33" ht="55.5" customHeight="1">
      <x:c r="A33" s="11" t="str">
        <x:v>Firsthand Foods</x:v>
      </x:c>
      <x:c r="B33" s="11" t="n">
        <x:v>26</x:v>
      </x:c>
      <x:c r="C33" s="11" t="str">
        <x:v>Supplier Roster, row 140</x:v>
      </x:c>
      <x:c r="D33" s="18" t="n">
        <x:v>1.9397344508072853</x:v>
      </x:c>
      <x:c r="E33" s="18" t="n">
        <x:v>1.6875334791074554</x:v>
      </x:c>
      <x:c r="F33" s="11" t="str">
        <x:v>YES · ~2 mi
(Pikeville: n/m)</x:v>
      </x:c>
      <x:c r="G33" s="11" t="str">
        <x:v>n/a</x:v>
      </x:c>
      <x:c r="H33" s="11" t="str">
        <x:v>Referral / sourcing contact</x:v>
      </x:c>
      <x:c r="I33" s="11" t="str">
        <x:v>Now individually recorded in Claude’s referral lane. Both datasets distinguish contact address from a verified slaughter or collection site.</x:v>
      </x:c>
      <x:c r="J33" s="11" t="str">
        <x:v>919-599-0804</x:v>
      </x:c>
      <x:c r="K33" s="11" t="str">
        <x:v>https://firsthandfoods.com/</x:v>
      </x:c>
      <x:c r="L33" s="11" t="str">
        <x:v>https://firsthandfoods.com/contact-us/</x:v>
      </x:c>
    </x:row>
    <x:row r="34" ht="55.5" customHeight="1">
      <x:c r="A34" s="12" t="str">
        <x:v>Heritage Farms Cheshire Pork</x:v>
      </x:c>
      <x:c r="B34" s="12" t="n">
        <x:v>27</x:v>
      </x:c>
      <x:c r="C34" s="12" t="str">
        <x:v>Supplier Roster, row 141</x:v>
      </x:c>
      <x:c r="D34" s="16" t="n">
        <x:v>86.36438200906704</x:v>
      </x:c>
      <x:c r="E34" s="16" t="n">
        <x:v>72.34292299837503</x:v>
      </x:c>
      <x:c r="F34" s="12" t="str">
        <x:v>YES · ~86 mi
(Pikeville: n/m)</x:v>
      </x:c>
      <x:c r="G34" s="12" t="str">
        <x:v>n/a</x:v>
      </x:c>
      <x:c r="H34" s="12" t="str">
        <x:v>Referral / sourcing contact</x:v>
      </x:c>
      <x:c r="I34" s="12" t="str">
        <x:v>Now individually recorded in Claude’s referral lane. Both datasets distinguish contact address from a verified slaughter or collection site.</x:v>
      </x:c>
      <x:c r="J34" s="12" t="str">
        <x:v>919-222-9496</x:v>
      </x:c>
      <x:c r="K34" s="12" t="str">
        <x:v>https://www.cheshirepork.com/</x:v>
      </x:c>
      <x:c r="L34" s="12" t="str">
        <x:v>https://www.cheshirepork.com/contact-us</x:v>
      </x:c>
    </x:row>
    <x:row r="35" ht="55.5" customHeight="1">
      <x:c r="A35" s="11" t="str">
        <x:v>Carolina Packers</x:v>
      </x:c>
      <x:c r="B35" s="11" t="n">
        <x:v>28</x:v>
      </x:c>
      <x:c r="C35" s="11" t="str">
        <x:v>Supplier Roster, row 142</x:v>
      </x:c>
      <x:c r="D35" s="18" t="n">
        <x:v>58.14468503937008</x:v>
      </x:c>
      <x:c r="E35" s="18" t="n">
        <x:v>46.327227179026956</x:v>
      </x:c>
      <x:c r="F35" s="11" t="str">
        <x:v>YES · ~58 mi
(Pikeville: n/m)</x:v>
      </x:c>
      <x:c r="G35" s="11" t="str">
        <x:v>n/a</x:v>
      </x:c>
      <x:c r="H35" s="11" t="str">
        <x:v>Referral / sourcing contact</x:v>
      </x:c>
      <x:c r="I35" s="11" t="str">
        <x:v>Now individually recorded in Claude’s referral lane. Both datasets distinguish contact address from a verified slaughter or collection site.</x:v>
      </x:c>
      <x:c r="J35" s="11" t="str">
        <x:v>919-934-2181</x:v>
      </x:c>
      <x:c r="K35" s="11" t="str">
        <x:v>https://carolinapackers.com/</x:v>
      </x:c>
      <x:c r="L35" s="11" t="str">
        <x:v>https://carolinapackers.com/pages/franks-for-thanks</x:v>
      </x:c>
    </x:row>
    <x:row r="36" ht="55.5" customHeight="1">
      <x:c r="A36" s="12" t="str">
        <x:v>NC Choices, Sarah Blacklin</x:v>
      </x:c>
      <x:c r="B36" s="12" t="n">
        <x:v>29</x:v>
      </x:c>
      <x:c r="C36" s="12" t="str">
        <x:v>Supplier Roster, row 143</x:v>
      </x:c>
      <x:c r="D36" s="16" t="n">
        <x:v>23.587374731567643</x:v>
      </x:c>
      <x:c r="E36" s="16" t="n">
        <x:v>19.90414659500597</x:v>
      </x:c>
      <x:c r="F36" s="12" t="str">
        <x:v>YES · ~24 mi
(Pikeville: n/m)</x:v>
      </x:c>
      <x:c r="G36" s="12" t="str">
        <x:v>n/a</x:v>
      </x:c>
      <x:c r="H36" s="12" t="str">
        <x:v>Referral / sourcing contact</x:v>
      </x:c>
      <x:c r="I36" s="12" t="str">
        <x:v>Now individually recorded in Claude’s referral lane. Both datasets distinguish contact address from a verified slaughter or collection site.</x:v>
      </x:c>
      <x:c r="J36" s="12" t="str">
        <x:v>919-928-4771</x:v>
      </x:c>
      <x:c r="K36" s="12" t="str">
        <x:v>https://cefs.ncsu.edu/food-system-initiatives/nc-choices/</x:v>
      </x:c>
      <x:c r="L36" s="12" t="str">
        <x:v>https://cefs.ncsu.edu/contacts/</x:v>
      </x:c>
    </x:row>
    <x:row r="37" ht="55.5" customHeight="1">
      <x:c r="A37" s="11" t="str">
        <x:v>NC Meat and Poultry Inspection Division</x:v>
      </x:c>
      <x:c r="B37" s="11" t="n">
        <x:v>30</x:v>
      </x:c>
      <x:c r="C37" s="11" t="str">
        <x:v>Supplier Roster, row 144</x:v>
      </x:c>
      <x:c r="D37" s="18" t="n">
        <x:v>24.79364262705798</x:v>
      </x:c>
      <x:c r="E37" s="18" t="n">
        <x:v>20.80933072032395</x:v>
      </x:c>
      <x:c r="F37" s="11" t="str">
        <x:v>YES · ~25 mi
(Pikeville: n/m)</x:v>
      </x:c>
      <x:c r="G37" s="11" t="str">
        <x:v>n/a</x:v>
      </x:c>
      <x:c r="H37" s="11" t="str">
        <x:v>Referral / sourcing contact</x:v>
      </x:c>
      <x:c r="I37" s="11" t="str">
        <x:v>Now individually recorded in Claude’s referral lane. Both datasets distinguish contact address from a verified slaughter or collection site.</x:v>
      </x:c>
      <x:c r="J37" s="11" t="str">
        <x:v>919-707-3180</x:v>
      </x:c>
      <x:c r="K37" s="11" t="str">
        <x:v>https://www.ncagr.gov/divisions/meat-poultry-inspection</x:v>
      </x:c>
      <x:c r="L37" s="11" t="str">
        <x:v>https://www.ncagr.gov/divisions/meat-poultry-inspection/wplants/download?attachment=</x:v>
      </x:c>
    </x:row>
  </x:sheetData>
  <x:conditionalFormatting sqref="H8:H37">
    <x:cfRule type="containsText" dxfId="0" priority="1" operator="containsText" text="HOLD"/>
  </x:conditionalFormatting>
  <x:pageMargins left="0.7" right="0.7" top="0.75" bottom="0.75" header="0.3" footer="0.3"/>
  <x:tableParts count="1">
    <x:tablePart xmlns:r="http://schemas.openxmlformats.org/officeDocument/2006/relationships" r:id="Rd20698fb910f409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1" hidden="0" customWidth="1"/>
    <x:col min="2" max="2" width="31" hidden="0" customWidth="1"/>
    <x:col min="3" max="3" width="12" hidden="0" customWidth="1"/>
    <x:col min="4" max="4" width="12" hidden="0" customWidth="1"/>
    <x:col min="5" max="5" width="24" hidden="0" customWidth="1"/>
    <x:col min="6" max="6" width="24" hidden="0" customWidth="1"/>
    <x:col min="7" max="7" width="23" hidden="0" customWidth="1"/>
    <x:col min="8" max="8" width="55" hidden="0" customWidth="1"/>
    <x:col min="9" max="9" width="20" hidden="0" customWidth="1"/>
    <x:col min="10" max="10" width="45" hidden="0" customWidth="1"/>
    <x:col min="11" max="11" width="41" hidden="0" customWidth="1"/>
    <x:col min="12" max="12" width="64" hidden="0" customWidth="1"/>
    <x:col min="13" max="13" width="72" hidden="0" customWidth="1"/>
    <x:col min="14" max="14" width="55" hidden="0" customWidth="1"/>
    <x:col min="15" max="15" width="55" hidden="0" customWidth="1"/>
    <x:col min="16" max="16" width="43" hidden="0" customWidth="1"/>
    <x:col min="17" max="17" width="55" hidden="0" customWidth="1"/>
    <x:col min="18" max="18" width="5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4" t="str">
        <x:v>Additional plants and location screens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2" customHeight="1">
      <x:c r="A3" s="6" t="str">
        <x:v>23 additional records. Several were already in Claude’s broad list; not all are viable or new discoveries.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6" t="str">
        <x:v>Checked September 28, 2026, including Claude’s concurrent update. Unknown means unconfirmed, not zero.</x:v>
      </x:c>
      <x:c r="B4" s="2"/>
      <x:c r="C4" s="2"/>
      <x:c r="D4" s="2"/>
      <x:c r="E4" s="2"/>
      <x:c r="F4" s="2"/>
      <x:c r="G4" s="2"/>
      <x:c r="H4" s="2"/>
      <x:c r="I4" s="2"/>
      <x:c r="J4" s="2"/>
      <x:c r="K4" s="2" t="str">
        <x:v>Distance limit (miles)</x:v>
      </x:c>
      <x:c r="L4" s="15" t="n">
        <x:v>120</x:v>
      </x:c>
      <x:c r="M4" s="2"/>
      <x:c r="N4" s="2"/>
      <x:c r="O4" s="2"/>
      <x:c r="P4" s="2"/>
      <x:c r="Q4" s="2"/>
      <x:c r="R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38" customHeight="1">
      <x:c r="A7" s="10" t="str">
        <x:v>Supplier / plant</x:v>
      </x:c>
      <x:c r="B7" s="10" t="str">
        <x:v>Priority / disposition</x:v>
      </x:c>
      <x:c r="C7" s="10" t="str">
        <x:v>Road miles</x:v>
      </x:c>
      <x:c r="D7" s="10" t="str">
        <x:v>Radial miles</x:v>
      </x:c>
      <x:c r="E7" s="10" t="str">
        <x:v>120-mile radius</x:v>
      </x:c>
      <x:c r="F7" s="10" t="str">
        <x:v>120-mile drive</x:v>
      </x:c>
      <x:c r="G7" s="10" t="str">
        <x:v>Inspection / identity</x:v>
      </x:c>
      <x:c r="H7" s="10" t="str">
        <x:v>Weekly pig evidence</x:v>
      </x:c>
      <x:c r="I7" s="10" t="str">
        <x:v>Phone</x:v>
      </x:c>
      <x:c r="J7" s="10" t="str">
        <x:v>Website / public page</x:v>
      </x:c>
      <x:c r="K7" s="10" t="str">
        <x:v>Claude comparison</x:v>
      </x:c>
      <x:c r="L7" s="10" t="str">
        <x:v>New corroboration</x:v>
      </x:c>
      <x:c r="M7" s="10" t="str">
        <x:v>Remaining limitation</x:v>
      </x:c>
      <x:c r="N7" s="10" t="str">
        <x:v>Source 1</x:v>
      </x:c>
      <x:c r="O7" s="10" t="str">
        <x:v>Source 2</x:v>
      </x:c>
      <x:c r="P7" s="10" t="str">
        <x:v>Physical address</x:v>
      </x:c>
      <x:c r="Q7" s="10" t="str">
        <x:v>Geocoding source</x:v>
      </x:c>
      <x:c r="R7" s="10" t="str">
        <x:v>Routing source</x:v>
      </x:c>
    </x:row>
    <x:row r="8" ht="69" customHeight="1">
      <x:c r="A8" s="12" t="str">
        <x:v>Farmington Meat Processing</x:v>
      </x:c>
      <x:c r="B8" s="12" t="str">
        <x:v>High: additional qualification call</x:v>
      </x:c>
      <x:c r="C8" s="16" t="n">
        <x:v>102.58086524695776</x:v>
      </x:c>
      <x:c r="D8" s="16" t="n">
        <x:v>91.65576089158736</x:v>
      </x:c>
      <x:c r="E8" s="12" t="str">
        <x:f>IF(D8&gt;$L$4,"Outside radius",IF(D8&gt;=$L$4-2,"Boundary: verify base","Within radius"))</x:f>
        <x:v>Within radius</x:v>
      </x:c>
      <x:c r="F8" s="12" t="str">
        <x:f>IF(C8&gt;$L$4,"Over 120 road miles","Within 120 road miles")</x:f>
        <x:v>Within 120 road miles</x:v>
      </x:c>
      <x:c r="G8" s="12" t="str">
        <x:v>P-381</x:v>
      </x:c>
      <x:c r="H8" s="12" t="str">
        <x:v>State P-381 verified September 18 directory; weekly pig count unknown.</x:v>
      </x:c>
      <x:c r="I8" s="12" t="str">
        <x:v>336-998-7092</x:v>
      </x:c>
      <x:c r="J8" s="12" t="str">
        <x:v>https://www.facebook.com/FarmingtonMeat/</x:v>
      </x:c>
      <x:c r="K8" s="12" t="str">
        <x:v>Claude row 74 grouped mention; absent from prior Beebop 30</x:v>
      </x:c>
      <x:c r="L8" s="12" t="str">
        <x:v>State-inspected swine slaughter plus Facebook and Instagram pig-processing descriptions.</x:v>
      </x:c>
      <x:c r="M8" s="12" t="str">
        <x:v>No published workspace or tissue agreement. Small custom business model is not evidence of 2,000–5,000 pigs/week.</x:v>
      </x:c>
      <x:c r="N8" s="12" t="str">
        <x:v>https://www.ncagr.gov/divisions/meat-poultry-inspection/wplants/download?attachment=</x:v>
      </x:c>
      <x:c r="O8" s="12" t="str">
        <x:v>https://www.instagram.com/farmington_meat_processing/</x:v>
      </x:c>
      <x:c r="P8" s="12" t="str">
        <x:v>135 Nikkis Way, Mocksville, NC 27028</x:v>
      </x:c>
      <x:c r="Q8" s="12" t="str">
        <x:v>https://geocode.arcgis.com/arcgis/rest/services/World/GeocodeServer/findAddressCandidates?SingleLine=135+Nikkis+Way%2C+Mocksville%2C+NC+27028&amp;f=json&amp;outFields=Match_addr%2CAddr_type&amp;maxLocations=2</x:v>
      </x:c>
      <x:c r="R8" s="12" t="str">
        <x:v>https://router.project-osrm.org/route/v1/driving/-78.899684,35.996069;-80.539345,35.998190?overview=false</x:v>
      </x:c>
    </x:row>
    <x:row r="9" ht="69" customHeight="1">
      <x:c r="A9" s="11" t="str">
        <x:v>Easternview Farms</x:v>
      </x:c>
      <x:c r="B9" s="11" t="str">
        <x:v>High: additional qualification call</x:v>
      </x:c>
      <x:c r="C9" s="18" t="n">
        <x:v>75.973440109759</x:v>
      </x:c>
      <x:c r="D9" s="18" t="n">
        <x:v>65.18257538646907</x:v>
      </x:c>
      <x:c r="E9" s="11" t="str">
        <x:f>IF(D9&gt;$L$4,"Outside radius",IF(D9&gt;=$L$4-2,"Boundary: verify base","Within radius"))</x:f>
        <x:v>Within radius</x:v>
      </x:c>
      <x:c r="F9" s="11" t="str">
        <x:f>IF(C9&gt;$L$4,"Over 120 road miles","Within 120 road miles")</x:f>
        <x:v>Within 120 road miles</x:v>
      </x:c>
      <x:c r="G9" s="11" t="str">
        <x:v>M1908</x:v>
      </x:c>
      <x:c r="H9" s="11" t="str">
        <x:v>Federal identity corroborated by own site and September 1 directory mirror; direct federal page unavailable. Mirror reports category 1 aggregate.</x:v>
      </x:c>
      <x:c r="I9" s="11" t="str">
        <x:v>434-208-8602</x:v>
      </x:c>
      <x:c r="J9" s="11" t="str">
        <x:v>https://easternviewfarmsllc.com/</x:v>
      </x:c>
      <x:c r="K9" s="11" t="str">
        <x:v>Not named in reviewed Claude roster or prior Beebop 30</x:v>
      </x:c>
      <x:c r="L9" s="11" t="str">
        <x:v>Own site advertises pork processing, sourced animals and M1908. Directly describes on-site slaughter handling.</x:v>
      </x:c>
      <x:c r="M9" s="11" t="str">
        <x:v>Likely small-scale supplement. No verified current weekly pigs, room, research collection or 140–220 lb availability.</x:v>
      </x:c>
      <x:c r="N9" s="11" t="str">
        <x:v>https://localmeat.org/processors/virginia/easternview-farms-llc-drakes-branch-m1908</x:v>
      </x:c>
      <x:c r="O9" s="11" t="str">
        <x:v>https://localmeat.org/processors/virginia/easternview-farms-llc-drakes-branch-m1908</x:v>
      </x:c>
      <x:c r="P9" s="11" t="str">
        <x:v>1040 Deuprees Store Road, Drakes Branch, VA 23937</x:v>
      </x:c>
      <x:c r="Q9" s="11" t="str">
        <x:v>https://geocoding.geo.census.gov/geocoder/locations/onelineaddress?address=1040+Deuprees+Store+Road%2C+Drakes+Branch%2C+VA+23937&amp;benchmark=Public_AR_Current&amp;format=json</x:v>
      </x:c>
      <x:c r="R9" s="11" t="str">
        <x:v>https://router.project-osrm.org/route/v1/driving/-78.899684,35.996069;-78.547081,36.895820?overview=false</x:v>
      </x:c>
    </x:row>
    <x:row r="10" ht="69" customHeight="1">
      <x:c r="A10" s="12" t="str">
        <x:v>The Butcher’s Block</x:v>
      </x:c>
      <x:c r="B10" s="12" t="str">
        <x:v>Medium: additional qualification call</x:v>
      </x:c>
      <x:c r="C10" s="16" t="n">
        <x:v>73.9988467350672</x:v>
      </x:c>
      <x:c r="D10" s="16" t="n">
        <x:v>60.467235561790346</x:v>
      </x:c>
      <x:c r="E10" s="12" t="str">
        <x:f>IF(D10&gt;$L$4,"Outside radius",IF(D10&gt;=$L$4-2,"Boundary: verify base","Within radius"))</x:f>
        <x:v>Within radius</x:v>
      </x:c>
      <x:c r="F10" s="12" t="str">
        <x:f>IF(C10&gt;$L$4,"Over 120 road miles","Within 120 road miles")</x:f>
        <x:v>Within 120 road miles</x:v>
      </x:c>
      <x:c r="G10" s="12" t="str">
        <x:v>M763</x:v>
      </x:c>
      <x:c r="H10" s="12" t="str">
        <x:v>Federal record reported by September 1 mirror; primary current grant not directly retrieved. Category 1 aggregate reported.</x:v>
      </x:c>
      <x:c r="I10" s="12" t="str">
        <x:v>434-432-2345</x:v>
      </x:c>
      <x:c r="J10" s="12" t="str">
        <x:v>https://www.facebook.com/p/The-Butchers-Block-100057234168268/</x:v>
      </x:c>
      <x:c r="K10" s="12" t="str">
        <x:v>Not named in reviewed Claude roster or prior Beebop 30</x:v>
      </x:c>
      <x:c r="L10" s="12" t="str">
        <x:v>Directory mirror lists hog slaughter M763; Virginia processor list independently matches address, phone and Facebook page.</x:v>
      </x:c>
      <x:c r="M10" s="12" t="str">
        <x:v>Current pig schedule, capacity and tissue collection remain unknown. Namesake shops elsewhere are different businesses.</x:v>
      </x:c>
      <x:c r="N10" s="12" t="str">
        <x:v>https://localmeat.org/processors/virginia/the-butchers-block-dry-fork-m763</x:v>
      </x:c>
      <x:c r="O10" s="12" t="str">
        <x:v>https://localmeat.org/processors/virginia/the-butchers-block-dry-fork-m763</x:v>
      </x:c>
      <x:c r="P10" s="12" t="str">
        <x:v>4655 Dry Fork Road, Dry Fork, VA 24549</x:v>
      </x:c>
      <x:c r="Q10" s="12" t="str">
        <x:v>https://geocoding.geo.census.gov/geocoder/locations/onelineaddress?address=4655+Dry+Fork+Road%2C+Dry+Fork%2C+VA+24549&amp;benchmark=Public_AR_Current&amp;format=json</x:v>
      </x:c>
      <x:c r="R10" s="12" t="str">
        <x:v>https://router.project-osrm.org/route/v1/driving/-78.899684,35.996069;-79.460852,36.745555?overview=false</x:v>
      </x:c>
    </x:row>
    <x:row r="11" ht="69" customHeight="1">
      <x:c r="A11" s="11" t="str">
        <x:v>McLaughlin’s</x:v>
      </x:c>
      <x:c r="B11" s="11" t="str">
        <x:v>Medium: swine-only, road boundary</x:v>
      </x:c>
      <x:c r="C11" s="18" t="n">
        <x:v>119.35241937087409</x:v>
      </x:c>
      <x:c r="D11" s="18" t="n">
        <x:v>106.0784010024806</x:v>
      </x:c>
      <x:c r="E11" s="11" t="str">
        <x:f>IF(D11&gt;$L$4,"Outside radius",IF(D11&gt;=$L$4-2,"Boundary: verify base","Within radius"))</x:f>
        <x:v>Within radius</x:v>
      </x:c>
      <x:c r="F11" s="11" t="str">
        <x:f>IF(C11&gt;$L$4,"Over 120 road miles","Within 120 road miles")</x:f>
        <x:v>Within 120 road miles</x:v>
      </x:c>
      <x:c r="G11" s="11" t="str">
        <x:v>P-85</x:v>
      </x:c>
      <x:c r="H11" s="11" t="str">
        <x:v>State P-85 confirmed; weekly pig count unknown.</x:v>
      </x:c>
      <x:c r="I11" s="11" t="str">
        <x:v>704-235-8003</x:v>
      </x:c>
      <x:c r="J11" s="11" t="str">
        <x:v>https://mclaughlinsausage.com/</x:v>
      </x:c>
      <x:c r="K11" s="11" t="str">
        <x:v>Claude row 67 and western state trio; absent from prior Beebop 30</x:v>
      </x:c>
      <x:c r="L11" s="11" t="str">
        <x:v>State P-85 lists swine-only slaughter; company describes whole-hog sausage and livermush.</x:v>
      </x:c>
      <x:c r="M11" s="11" t="str">
        <x:v>119.4 road miles from planning origin; actual base may exceed 120 road miles. Sausage business does not establish live-weight fit.</x:v>
      </x:c>
      <x:c r="N11" s="11" t="str">
        <x:v>https://www.ncagr.gov/divisions/meat-poultry-inspection/wplants/download?attachment=</x:v>
      </x:c>
      <x:c r="O11" s="11" t="str">
        <x:v>https://www.ncagr.gov/divisions/meat-poultry-inspection/wplants/download?attachment=</x:v>
      </x:c>
      <x:c r="P11" s="11" t="str">
        <x:v>16311 Mooresville Road, Mooresville, NC 28115</x:v>
      </x:c>
      <x:c r="Q11" s="11" t="str">
        <x:v>https://geocoding.geo.census.gov/geocoder/locations/onelineaddress?address=16311+Mooresville+Road%2C+Mooresville%2C+NC+28115&amp;benchmark=Public_AR_Current&amp;format=json</x:v>
      </x:c>
      <x:c r="R11" s="11" t="str">
        <x:v>https://router.project-osrm.org/route/v1/driving/-78.899684,35.996069;-80.734541,35.618054?overview=false</x:v>
      </x:c>
    </x:row>
    <x:row r="12" ht="69" customHeight="1">
      <x:c r="A12" s="12" t="str">
        <x:v>EcoFriendly Foods</x:v>
      </x:c>
      <x:c r="B12" s="12" t="str">
        <x:v>Medium: radius qualifies; longer drive</x:v>
      </x:c>
      <x:c r="C12" s="16" t="n">
        <x:v>120.44771037143083</x:v>
      </x:c>
      <x:c r="D12" s="16" t="n">
        <x:v>92.57037085355904</x:v>
      </x:c>
      <x:c r="E12" s="12" t="str">
        <x:f>IF(D12&gt;$L$4,"Outside radius",IF(D12&gt;=$L$4-2,"Boundary: verify base","Within radius"))</x:f>
        <x:v>Within radius</x:v>
      </x:c>
      <x:c r="F12" s="12" t="str">
        <x:f>IF(C12&gt;$L$4,"Over 120 road miles","Within 120 road miles")</x:f>
        <x:v>Over 120 road miles</x:v>
      </x:c>
      <x:c r="G12" s="12" t="str">
        <x:v>M21938</x:v>
      </x:c>
      <x:c r="H12" s="12" t="str">
        <x:v>M21938 reported by September 1 federal mirror; company claims federal inspection.</x:v>
      </x:c>
      <x:c r="I12" s="12" t="str">
        <x:v>540-525-0352</x:v>
      </x:c>
      <x:c r="J12" s="12" t="str">
        <x:v>https://www.ecofriendly.com/services</x:v>
      </x:c>
      <x:c r="K12" s="12" t="str">
        <x:v>Claude row 41; September 28 revision gives ~112 road miles using city-level point. This pass refines exact plant address.</x:v>
      </x:c>
      <x:c r="L12" s="12" t="str">
        <x:v>Own services page offers slaughter and pork processing; published 2025 sheet includes small whole-hog harvest.</x:v>
      </x:c>
      <x:c r="M12" s="12" t="str">
        <x:v>92.6 radial miles but 120.4 road miles. Broad category 3 includes other species including poultry. Pig-only count unknown; price-sheet carcass weights are not live weights.</x:v>
      </x:c>
      <x:c r="N12" s="12" t="str">
        <x:v>https://www.ecofriendly.com/_files/ugd/052161_5117723c9f1044eb8b0cda50b73d524f.pdf</x:v>
      </x:c>
      <x:c r="O12" s="12" t="str">
        <x:v>https://www.ecofriendly.com/_files/ugd/052161_5117723c9f1044eb8b0cda50b73d524f.pdf</x:v>
      </x:c>
      <x:c r="P12" s="12" t="str">
        <x:v>3397 Stony Fork Road, Moneta, VA 24121</x:v>
      </x:c>
      <x:c r="Q12" s="12" t="str">
        <x:v>https://geocoding.geo.census.gov/geocoder/locations/onelineaddress?address=3397+Stony+Fork+Road%2C+Moneta%2C+VA+24121&amp;benchmark=Public_AR_Current&amp;format=json</x:v>
      </x:c>
      <x:c r="R12" s="12" t="str">
        <x:v>https://router.project-osrm.org/route/v1/driving/-78.899684,35.996069;-79.593530,37.214599?overview=false</x:v>
      </x:c>
    </x:row>
    <x:row r="13" ht="82.5" customHeight="1">
      <x:c r="A13" s="11" t="str">
        <x:v>Acre Station Meat Farm</x:v>
      </x:c>
      <x:c r="B13" s="11" t="str">
        <x:v>Boundary: radius needs actual-base check</x:v>
      </x:c>
      <x:c r="C13" s="18" t="n">
        <x:v>141.1308582876004</x:v>
      </x:c>
      <x:c r="D13" s="18" t="n">
        <x:v>119.66641348909243</x:v>
      </x:c>
      <x:c r="E13" s="11" t="str">
        <x:f>IF(D13&gt;$L$4,"Outside radius",IF(D13&gt;=$L$4-2,"Boundary: verify base","Within radius"))</x:f>
        <x:v>Boundary: verify base</x:v>
      </x:c>
      <x:c r="F13" s="11" t="str">
        <x:f>IF(C13&gt;$L$4,"Over 120 road miles","Within 120 road miles")</x:f>
        <x:v>Over 120 road miles</x:v>
      </x:c>
      <x:c r="G13" s="11" t="str">
        <x:v>TA-19904</x:v>
      </x:c>
      <x:c r="H13" s="11" t="str">
        <x:v>Current state directory confirms plant and swine. Claude’s ~150 pigs/week is a dated profile, not reverified.</x:v>
      </x:c>
      <x:c r="I13" s="11" t="str">
        <x:v>252-927-3700</x:v>
      </x:c>
      <x:c r="J13" s="11" t="str">
        <x:v>https://www.acrestationmeatfarm.com/</x:v>
      </x:c>
      <x:c r="K13" s="11" t="str">
        <x:v>Claude row 10; absent from prior Beebop 30</x:v>
      </x:c>
      <x:c r="L13" s="11" t="str">
        <x:v>State directory lists swine slaughter TA-19904.</x:v>
      </x:c>
      <x:c r="M13" s="11" t="str">
        <x:v>119.7 radial miles, 141.1 road miles. Radius result is too close to treat as robust without actual crew base and entrance. Farther than Claude’s Pikeville figure.</x:v>
      </x:c>
      <x:c r="N13" s="11" t="str">
        <x:v>https://www.ncagr.gov/divisions/meat-poultry-inspection/wplants/download?attachment=</x:v>
      </x:c>
      <x:c r="O13" s="11" t="str">
        <x:v>https://www.ncagr.gov/divisions/meat-poultry-inspection/wplants/download?attachment=</x:v>
      </x:c>
      <x:c r="P13" s="11" t="str">
        <x:v>17076 NC Highway 32 North, Pinetown, NC 27865</x:v>
      </x:c>
      <x:c r="Q13" s="11" t="str">
        <x:v>https://geocode.arcgis.com/arcgis/rest/services/World/GeocodeServer/findAddressCandidates?SingleLine=17076+NC+Highway+32+North%2C+Pinetown%2C+NC+27865&amp;f=json&amp;outFields=Match_addr%2CAddr_type&amp;maxLocations=2</x:v>
      </x:c>
      <x:c r="R13" s="11" t="str">
        <x:v>https://router.project-osrm.org/route/v1/driving/-78.899684,35.996069;-76.822056,35.596087?overview=false</x:v>
      </x:c>
    </x:row>
    <x:row r="14" ht="69" customHeight="1">
      <x:c r="A14" s="12" t="str">
        <x:v>KC Farms Meats</x:v>
      </x:c>
      <x:c r="B14" s="12" t="str">
        <x:v>Low: pig activity needs clarification</x:v>
      </x:c>
      <x:c r="C14" s="16" t="n">
        <x:v>116.67729211405391</x:v>
      </x:c>
      <x:c r="D14" s="16" t="n">
        <x:v>90.80099265741168</x:v>
      </x:c>
      <x:c r="E14" s="12" t="str">
        <x:f>IF(D14&gt;$L$4,"Outside radius",IF(D14&gt;=$L$4-2,"Boundary: verify base","Within radius"))</x:f>
        <x:v>Within radius</x:v>
      </x:c>
      <x:c r="F14" s="12" t="str">
        <x:f>IF(C14&gt;$L$4,"Over 120 road miles","Within 120 road miles")</x:f>
        <x:v>Within 120 road miles</x:v>
      </x:c>
      <x:c r="G14" s="12" t="str">
        <x:v>M1502</x:v>
      </x:c>
      <x:c r="H14" s="12" t="str">
        <x:v>M1502 reported by September 1 federal mirror; primary site corroborates beef processing only.</x:v>
      </x:c>
      <x:c r="I14" s="12" t="str">
        <x:v>540-365-2697</x:v>
      </x:c>
      <x:c r="J14" s="12" t="str">
        <x:v>https://www.kcfarmsva.com/kc-farms-meats</x:v>
      </x:c>
      <x:c r="K14" s="12" t="str">
        <x:v>Not individually named in reviewed Claude roster or prior Beebop 30</x:v>
      </x:c>
      <x:c r="L14" s="12" t="str">
        <x:v>Own website confirms inspected on-farm processing but emphasizes beef; federal mirror lists hogs.</x:v>
      </x:c>
      <x:c r="M14" s="12" t="str">
        <x:v>Current pig slaughter cannot be assumed from beef marketing or a historical species flag. 116.7 road miles.</x:v>
      </x:c>
      <x:c r="N14" s="12" t="str">
        <x:v>https://localmeat.org/processors/virginia/kc-farms-meats-llc-ferrum-m1502</x:v>
      </x:c>
      <x:c r="O14" s="12" t="str">
        <x:v>https://localmeat.org/processors/virginia/kc-farms-meats-llc-ferrum-m1502</x:v>
      </x:c>
      <x:c r="P14" s="12" t="str">
        <x:v>13963 Franklin Street, Ferrum, VA 24088</x:v>
      </x:c>
      <x:c r="Q14" s="12" t="str">
        <x:v>https://geocoding.geo.census.gov/geocoder/locations/onelineaddress?address=13963+Franklin+Street%2C+Ferrum%2C+VA+24088&amp;benchmark=Public_AR_Current&amp;format=json</x:v>
      </x:c>
      <x:c r="R14" s="12" t="str">
        <x:v>https://router.project-osrm.org/route/v1/driving/-78.899684,35.996069;-80.078825,36.905763?overview=false</x:v>
      </x:c>
    </x:row>
    <x:row r="15" ht="69" customHeight="1">
      <x:c r="A15" s="11" t="str">
        <x:v>Wildlife Processors</x:v>
      </x:c>
      <x:c r="B15" s="11" t="str">
        <x:v>Exploratory: custom-only</x:v>
      </x:c>
      <x:c r="C15" s="18" t="n">
        <x:v>96.58960421140539</x:v>
      </x:c>
      <x:c r="D15" s="18" t="n">
        <x:v>77.82266917450917</x:v>
      </x:c>
      <x:c r="E15" s="11" t="str">
        <x:f>IF(D15&gt;$L$4,"Outside radius",IF(D15&gt;=$L$4-2,"Boundary: verify base","Within radius"))</x:f>
        <x:v>Within radius</x:v>
      </x:c>
      <x:c r="F15" s="11" t="str">
        <x:f>IF(C15&gt;$L$4,"Over 120 road miles","Within 120 road miles")</x:f>
        <x:v>Within 120 road miles</x:v>
      </x:c>
      <x:c r="G15" s="11" t="str">
        <x:v>CUSTOM</x:v>
      </x:c>
      <x:c r="H15" s="11" t="str">
        <x:v>Weekly pig count not published. Custom listing; no federal inspection assumed.</x:v>
      </x:c>
      <x:c r="I15" s="11" t="str">
        <x:v>910-995-5308</x:v>
      </x:c>
      <x:c r="J15" s="11" t="str">
        <x:v>No company website confirmed</x:v>
      </x:c>
      <x:c r="K15" s="11" t="str">
        <x:v>Not individually named in reviewed Claude roster or prior Beebop 30</x:v>
      </x:c>
      <x:c r="L15" s="11" t="str">
        <x:v>September 18 state directory lists swine slaughter and matching facility contact.</x:v>
      </x:c>
      <x:c r="M15" s="11" t="str">
        <x:v>No tissue recovery, workspace, live-weight range or current pig throughput confirmed. Commercial specimen pathway also unresolved.</x:v>
      </x:c>
      <x:c r="N15" s="11" t="str">
        <x:v>https://www.ncagr.gov/divisions/meat-poultry-inspection/wplants/download?attachment=</x:v>
      </x:c>
      <x:c r="O15" s="11" t="str"/>
      <x:c r="P15" s="11" t="str">
        <x:v>505 Clayton Carriker Road, Ellerbe, NC 28338</x:v>
      </x:c>
      <x:c r="Q15" s="11" t="str">
        <x:v>https://geocoding.geo.census.gov/geocoder/locations/onelineaddress?address=505+Clayton+Carriker+Road%2C+Ellerbe%2C+NC+28338&amp;benchmark=Public_AR_Current&amp;format=json</x:v>
      </x:c>
      <x:c r="R15" s="11" t="str">
        <x:v>https://router.project-osrm.org/route/v1/driving/-78.899684,35.996069;-79.773375,35.122291?overview=false</x:v>
      </x:c>
    </x:row>
    <x:row r="16" ht="69" customHeight="1">
      <x:c r="A16" s="12" t="str">
        <x:v>Jerry’s Meat Processing</x:v>
      </x:c>
      <x:c r="B16" s="12" t="str">
        <x:v>Exploratory: custom-only</x:v>
      </x:c>
      <x:c r="C16" s="16" t="n">
        <x:v>108.62593702775789</x:v>
      </x:c>
      <x:c r="D16" s="16" t="n">
        <x:v>97.92606905144777</x:v>
      </x:c>
      <x:c r="E16" s="12" t="str">
        <x:f>IF(D16&gt;$L$4,"Outside radius",IF(D16&gt;=$L$4-2,"Boundary: verify base","Within radius"))</x:f>
        <x:v>Within radius</x:v>
      </x:c>
      <x:c r="F16" s="12" t="str">
        <x:f>IF(C16&gt;$L$4,"Over 120 road miles","Within 120 road miles")</x:f>
        <x:v>Within 120 road miles</x:v>
      </x:c>
      <x:c r="G16" s="12" t="str">
        <x:v>CUSTOM</x:v>
      </x:c>
      <x:c r="H16" s="12" t="str">
        <x:v>Weekly pig count not published. Custom listing; no federal inspection assumed.</x:v>
      </x:c>
      <x:c r="I16" s="12" t="str">
        <x:v>336-782-8617</x:v>
      </x:c>
      <x:c r="J16" s="12" t="str">
        <x:v>No company website confirmed</x:v>
      </x:c>
      <x:c r="K16" s="12" t="str">
        <x:v>Not individually named in reviewed Claude roster or prior Beebop 30</x:v>
      </x:c>
      <x:c r="L16" s="12" t="str">
        <x:v>September 18 state directory lists swine slaughter and matching facility contact.</x:v>
      </x:c>
      <x:c r="M16" s="12" t="str">
        <x:v>No tissue recovery, workspace, live-weight range or current pig throughput confirmed. Commercial specimen pathway also unresolved.</x:v>
      </x:c>
      <x:c r="N16" s="12" t="str">
        <x:v>https://www.ncagr.gov/divisions/meat-poultry-inspection/wplants/download?attachment=</x:v>
      </x:c>
      <x:c r="O16" s="12" t="str"/>
      <x:c r="P16" s="12" t="str">
        <x:v>892 Ralph Ratledge Road, Mocksville, NC 27028</x:v>
      </x:c>
      <x:c r="Q16" s="12" t="str">
        <x:v>https://geocoding.geo.census.gov/geocoder/locations/onelineaddress?address=892+Ralph+Ratledge+Road%2C+Mocksville%2C+NC+27028&amp;benchmark=Public_AR_Current&amp;format=json</x:v>
      </x:c>
      <x:c r="R16" s="12" t="str">
        <x:v>https://router.project-osrm.org/route/v1/driving/-78.899684,35.996069;-80.650095,35.950640?overview=false</x:v>
      </x:c>
    </x:row>
    <x:row r="17" ht="69" customHeight="1">
      <x:c r="A17" s="11" t="str">
        <x:v>Prospect Slaughter Pen</x:v>
      </x:c>
      <x:c r="B17" s="11" t="str">
        <x:v>Exploratory: custom-only</x:v>
      </x:c>
      <x:c r="C17" s="18" t="n">
        <x:v>115.54813638352024</x:v>
      </x:c>
      <x:c r="D17" s="18" t="n">
        <x:v>89.79270149593934</x:v>
      </x:c>
      <x:c r="E17" s="11" t="str">
        <x:f>IF(D17&gt;$L$4,"Outside radius",IF(D17&gt;=$L$4-2,"Boundary: verify base","Within radius"))</x:f>
        <x:v>Within radius</x:v>
      </x:c>
      <x:c r="F17" s="11" t="str">
        <x:f>IF(C17&gt;$L$4,"Over 120 road miles","Within 120 road miles")</x:f>
        <x:v>Within 120 road miles</x:v>
      </x:c>
      <x:c r="G17" s="11" t="str">
        <x:v>CUSTOM</x:v>
      </x:c>
      <x:c r="H17" s="11" t="str">
        <x:v>Weekly pig count not published. Custom listing; no federal inspection assumed.</x:v>
      </x:c>
      <x:c r="I17" s="11" t="str">
        <x:v>910-521-9259</x:v>
      </x:c>
      <x:c r="J17" s="11" t="str">
        <x:v>No company website confirmed</x:v>
      </x:c>
      <x:c r="K17" s="11" t="str">
        <x:v>Not individually named in reviewed Claude roster or prior Beebop 30</x:v>
      </x:c>
      <x:c r="L17" s="11" t="str">
        <x:v>September 18 state directory lists swine slaughter and matching facility contact.</x:v>
      </x:c>
      <x:c r="M17" s="11" t="str">
        <x:v>No tissue recovery, workspace, live-weight range or current pig throughput confirmed. Commercial specimen pathway also unresolved.</x:v>
      </x:c>
      <x:c r="N17" s="11" t="str">
        <x:v>https://www.ncagr.gov/divisions/meat-poultry-inspection/wplants/download?attachment=</x:v>
      </x:c>
      <x:c r="O17" s="11" t="str"/>
      <x:c r="P17" s="11" t="str">
        <x:v>382 Sherriell Road, Pembroke, NC 28372</x:v>
      </x:c>
      <x:c r="Q17" s="11" t="str">
        <x:v>https://geocoding.geo.census.gov/geocoder/locations/onelineaddress?address=382+Sherriell+Road%2C+Pembroke%2C+NC+28372&amp;benchmark=Public_AR_Current&amp;format=json</x:v>
      </x:c>
      <x:c r="R17" s="11" t="str">
        <x:v>https://router.project-osrm.org/route/v1/driving/-78.899684,35.996069;-79.233607,34.725334?overview=false</x:v>
      </x:c>
    </x:row>
    <x:row r="18" ht="69" customHeight="1">
      <x:c r="A18" s="12" t="str">
        <x:v>Wayne Mays Meat Processing</x:v>
      </x:c>
      <x:c r="B18" s="12" t="str">
        <x:v>Exclude: outside required radius</x:v>
      </x:c>
      <x:c r="C18" s="16" t="n">
        <x:v>141.78783404915293</x:v>
      </x:c>
      <x:c r="D18" s="16" t="n">
        <x:v>126.84663319219482</x:v>
      </x:c>
      <x:c r="E18" s="12" t="str">
        <x:f>IF(D18&gt;$L$4,"Outside radius",IF(D18&gt;=$L$4-2,"Boundary: verify base","Within radius"))</x:f>
        <x:v>Outside radius</x:v>
      </x:c>
      <x:c r="F18" s="12" t="str">
        <x:f>IF(C18&gt;$L$4,"Over 120 road miles","Within 120 road miles")</x:f>
        <x:v>Over 120 road miles</x:v>
      </x:c>
      <x:c r="G18" s="12" t="str">
        <x:v>TA-21848</x:v>
      </x:c>
      <x:c r="H18" s="12" t="str">
        <x:v>Weekly pig count not published. Current state directory corroborates establishment.</x:v>
      </x:c>
      <x:c r="I18" s="12" t="str">
        <x:v>828-632-2034</x:v>
      </x:c>
      <x:c r="J18" s="12" t="str">
        <x:v>No company website confirmed</x:v>
      </x:c>
      <x:c r="K18" s="12" t="str">
        <x:v>Claude Supplier Roster row 13; absent from prior Beebop 30</x:v>
      </x:c>
      <x:c r="L18" s="12" t="str">
        <x:v>September 18 state directory lists swine slaughter and matching facility contact.</x:v>
      </x:c>
      <x:c r="M18" s="12" t="str">
        <x:v>No tissue recovery, workspace, live-weight range or current pig throughput confirmed.</x:v>
      </x:c>
      <x:c r="N18" s="12" t="str">
        <x:v>https://www.ncagr.gov/divisions/meat-poultry-inspection/wplants/download?attachment=</x:v>
      </x:c>
      <x:c r="O18" s="12" t="str"/>
      <x:c r="P18" s="12" t="str">
        <x:v>541 East Main Street, Taylorsville, NC 28681</x:v>
      </x:c>
      <x:c r="Q18" s="12" t="str">
        <x:v>https://geocoding.geo.census.gov/geocoder/locations/onelineaddress?address=541+East+Main+Street%2C+Taylorsville%2C+NC+28681&amp;benchmark=Public_AR_Current&amp;format=json</x:v>
      </x:c>
      <x:c r="R18" s="12" t="str">
        <x:v>https://router.project-osrm.org/route/v1/driving/-78.899684,35.996069;-81.165957,35.921750?overview=false</x:v>
      </x:c>
    </x:row>
    <x:row r="19" ht="69" customHeight="1">
      <x:c r="A19" s="11" t="str">
        <x:v>Wilkes Abattoir / Apple Brandy</x:v>
      </x:c>
      <x:c r="B19" s="11" t="str">
        <x:v>Exclude: outside required radius</x:v>
      </x:c>
      <x:c r="C19" s="18" t="n">
        <x:v>135.89555744452397</x:v>
      </x:c>
      <x:c r="D19" s="18" t="n">
        <x:v>126.6877654848243</x:v>
      </x:c>
      <x:c r="E19" s="11" t="str">
        <x:f>IF(D19&gt;$L$4,"Outside radius",IF(D19&gt;=$L$4-2,"Boundary: verify base","Within radius"))</x:f>
        <x:v>Outside radius</x:v>
      </x:c>
      <x:c r="F19" s="11" t="str">
        <x:f>IF(C19&gt;$L$4,"Over 120 road miles","Within 120 road miles")</x:f>
        <x:v>Over 120 road miles</x:v>
      </x:c>
      <x:c r="G19" s="11" t="str">
        <x:v>TA-19511</x:v>
      </x:c>
      <x:c r="H19" s="11" t="str">
        <x:v>Weekly pig count not published. Current state directory corroborates establishment.</x:v>
      </x:c>
      <x:c r="I19" s="11" t="str">
        <x:v>336-667-1346</x:v>
      </x:c>
      <x:c r="J19" s="11" t="str">
        <x:v>No company website confirmed</x:v>
      </x:c>
      <x:c r="K19" s="11" t="str">
        <x:v>Claude Supplier Roster row 17; absent from prior Beebop 30</x:v>
      </x:c>
      <x:c r="L19" s="11" t="str">
        <x:v>September 18 state directory lists swine slaughter and matching facility contact.</x:v>
      </x:c>
      <x:c r="M19" s="11" t="str">
        <x:v>No tissue recovery, workspace, live-weight range or current pig throughput confirmed.</x:v>
      </x:c>
      <x:c r="N19" s="11" t="str">
        <x:v>https://www.ncagr.gov/divisions/meat-poultry-inspection/wplants/download?attachment=</x:v>
      </x:c>
      <x:c r="O19" s="11" t="str"/>
      <x:c r="P19" s="11" t="str">
        <x:v>347 Thomas Street, North Wilkesboro, NC 28659</x:v>
      </x:c>
      <x:c r="Q19" s="11" t="str">
        <x:v>https://geocoding.geo.census.gov/geocoder/locations/onelineaddress?address=347+Thomas+Street%2C+North+Wilkesboro%2C+NC+28659&amp;benchmark=Public_AR_Current&amp;format=json</x:v>
      </x:c>
      <x:c r="R19" s="11" t="str">
        <x:v>https://router.project-osrm.org/route/v1/driving/-78.899684,35.996069;-81.155647,36.193902?overview=false</x:v>
      </x:c>
    </x:row>
    <x:row r="20" ht="69" customHeight="1">
      <x:c r="A20" s="12" t="str">
        <x:v>Riverside Meats</x:v>
      </x:c>
      <x:c r="B20" s="12" t="str">
        <x:v>Secondary inspected lead</x:v>
      </x:c>
      <x:c r="C20" s="16" t="n">
        <x:v>129.46647826692117</x:v>
      </x:c>
      <x:c r="D20" s="16" t="n">
        <x:v>108.58292463586767</x:v>
      </x:c>
      <x:c r="E20" s="12" t="str">
        <x:f>IF(D20&gt;$L$4,"Outside radius",IF(D20&gt;=$L$4-2,"Boundary: verify base","Within radius"))</x:f>
        <x:v>Within radius</x:v>
      </x:c>
      <x:c r="F20" s="12" t="str">
        <x:f>IF(C20&gt;$L$4,"Over 120 road miles","Within 120 road miles")</x:f>
        <x:v>Over 120 road miles</x:v>
      </x:c>
      <x:c r="G20" s="12" t="str">
        <x:v>TA-20981</x:v>
      </x:c>
      <x:c r="H20" s="12" t="str">
        <x:v>Weekly pig count not published. Current state directory corroborates establishment.</x:v>
      </x:c>
      <x:c r="I20" s="12" t="str">
        <x:v>252-448-4047</x:v>
      </x:c>
      <x:c r="J20" s="12" t="str">
        <x:v>No company website confirmed</x:v>
      </x:c>
      <x:c r="K20" s="12" t="str">
        <x:v>Claude Supplier Roster row 21; absent from prior Beebop 30</x:v>
      </x:c>
      <x:c r="L20" s="12" t="str">
        <x:v>September 18 state directory lists swine slaughter and matching facility contact.</x:v>
      </x:c>
      <x:c r="M20" s="12" t="str">
        <x:v>No tissue recovery, workspace, live-weight range or current pig throughput confirmed.</x:v>
      </x:c>
      <x:c r="N20" s="12" t="str">
        <x:v>https://www.ncagr.gov/divisions/meat-poultry-inspection/wplants/download?attachment=</x:v>
      </x:c>
      <x:c r="O20" s="12" t="str"/>
      <x:c r="P20" s="12" t="str">
        <x:v>298 Landfill Road, Trenton, NC 28585</x:v>
      </x:c>
      <x:c r="Q20" s="12" t="str">
        <x:v>https://geocoding.geo.census.gov/geocoder/locations/onelineaddress?address=298+Landfill+Road%2C+Trenton%2C+NC+28585&amp;benchmark=Public_AR_Current&amp;format=json</x:v>
      </x:c>
      <x:c r="R20" s="12" t="str">
        <x:v>https://router.project-osrm.org/route/v1/driving/-78.899684,35.996069;-77.345640,35.063130?overview=false</x:v>
      </x:c>
    </x:row>
    <x:row r="21" ht="69" customHeight="1">
      <x:c r="A21" s="11" t="str">
        <x:v>Plantation Processing</x:v>
      </x:c>
      <x:c r="B21" s="11" t="str">
        <x:v>Secondary inspected lead</x:v>
      </x:c>
      <x:c r="C21" s="18" t="n">
        <x:v>139.00670086693708</x:v>
      </x:c>
      <x:c r="D21" s="18" t="n">
        <x:v>102.02798994126455</x:v>
      </x:c>
      <x:c r="E21" s="11" t="str">
        <x:f>IF(D21&gt;$L$4,"Outside radius",IF(D21&gt;=$L$4-2,"Boundary: verify base","Within radius"))</x:f>
        <x:v>Within radius</x:v>
      </x:c>
      <x:c r="F21" s="11" t="str">
        <x:f>IF(C21&gt;$L$4,"Over 120 road miles","Within 120 road miles")</x:f>
        <x:v>Over 120 road miles</x:v>
      </x:c>
      <x:c r="G21" s="11" t="str">
        <x:v>TA-790</x:v>
      </x:c>
      <x:c r="H21" s="11" t="str">
        <x:v>Weekly pig count not published. Current state directory corroborates establishment.</x:v>
      </x:c>
      <x:c r="I21" s="11" t="str">
        <x:v>704-385-9429</x:v>
      </x:c>
      <x:c r="J21" s="11" t="str">
        <x:v>No company website confirmed</x:v>
      </x:c>
      <x:c r="K21" s="11" t="str">
        <x:v>Claude Supplier Roster row 85; absent from prior Beebop 30</x:v>
      </x:c>
      <x:c r="L21" s="11" t="str">
        <x:v>September 18 state directory lists swine slaughter and matching facility contact.</x:v>
      </x:c>
      <x:c r="M21" s="11" t="str">
        <x:v>No tissue recovery, workspace, live-weight range or current pig throughput confirmed.</x:v>
      </x:c>
      <x:c r="N21" s="11" t="str">
        <x:v>https://www.ncagr.gov/divisions/meat-poultry-inspection/wplants/download?attachment=</x:v>
      </x:c>
      <x:c r="O21" s="11" t="str"/>
      <x:c r="P21" s="11" t="str">
        <x:v>6613 Highway 218 East, Marshville, NC 28103</x:v>
      </x:c>
      <x:c r="Q21" s="11" t="str">
        <x:v>https://geocoding.geo.census.gov/geocoder/locations/onelineaddress?address=6613+Highway+218+East%2C+Marshville%2C+NC+28103&amp;benchmark=Public_AR_Current&amp;format=json</x:v>
      </x:c>
      <x:c r="R21" s="11" t="str">
        <x:v>https://router.project-osrm.org/route/v1/driving/-78.899684,35.996069;-80.374030,35.134504?overview=false</x:v>
      </x:c>
    </x:row>
    <x:row r="22" ht="69" customHeight="1">
      <x:c r="A22" s="12" t="str">
        <x:v>Smitty’s Meats</x:v>
      </x:c>
      <x:c r="B22" s="12" t="str">
        <x:v>Exploratory: custom-only</x:v>
      </x:c>
      <x:c r="C22" s="16" t="n">
        <x:v>132.634477153424</x:v>
      </x:c>
      <x:c r="D22" s="16" t="n">
        <x:v>117.53621470257247</x:v>
      </x:c>
      <x:c r="E22" s="12" t="str">
        <x:f>IF(D22&gt;$L$4,"Outside radius",IF(D22&gt;=$L$4-2,"Boundary: verify base","Within radius"))</x:f>
        <x:v>Within radius</x:v>
      </x:c>
      <x:c r="F22" s="12" t="str">
        <x:f>IF(C22&gt;$L$4,"Over 120 road miles","Within 120 road miles")</x:f>
        <x:v>Over 120 road miles</x:v>
      </x:c>
      <x:c r="G22" s="12" t="str">
        <x:v>CUSTOM</x:v>
      </x:c>
      <x:c r="H22" s="12" t="str">
        <x:v>Weekly pig count not published. Custom listing; no federal inspection assumed.</x:v>
      </x:c>
      <x:c r="I22" s="12" t="str">
        <x:v>704-929-2341</x:v>
      </x:c>
      <x:c r="J22" s="12" t="str">
        <x:v>No company website confirmed</x:v>
      </x:c>
      <x:c r="K22" s="12" t="str">
        <x:v>Not individually named in reviewed Claude roster or prior Beebop 30</x:v>
      </x:c>
      <x:c r="L22" s="12" t="str">
        <x:v>September 18 state directory lists swine slaughter and matching facility contact.</x:v>
      </x:c>
      <x:c r="M22" s="12" t="str">
        <x:v>No tissue recovery, workspace, live-weight range or current pig throughput confirmed. Commercial specimen pathway also unresolved.</x:v>
      </x:c>
      <x:c r="N22" s="12" t="str">
        <x:v>https://www.ncagr.gov/divisions/meat-poultry-inspection/wplants/download?attachment=</x:v>
      </x:c>
      <x:c r="O22" s="12" t="str"/>
      <x:c r="P22" s="12" t="str">
        <x:v>301 Oak Hollow Road, Union Grove, NC 28689</x:v>
      </x:c>
      <x:c r="Q22" s="12" t="str">
        <x:v>https://geocoding.geo.census.gov/geocoder/locations/onelineaddress?address=301+Oak+Hollow+Road%2C+Union+Grove%2C+NC+28689&amp;benchmark=Public_AR_Current&amp;format=json</x:v>
      </x:c>
      <x:c r="R22" s="12" t="str">
        <x:v>https://router.project-osrm.org/route/v1/driving/-78.899684,35.996069;-81.002266,36.036438?overview=false</x:v>
      </x:c>
    </x:row>
    <x:row r="23" ht="69" customHeight="1">
      <x:c r="A23" s="11" t="str">
        <x:v>Stevens Meat Packing</x:v>
      </x:c>
      <x:c r="B23" s="11" t="str">
        <x:v>Exploratory: custom-only</x:v>
      </x:c>
      <x:c r="C23" s="18" t="n">
        <x:v>124.13921448739363</x:v>
      </x:c>
      <x:c r="D23" s="18" t="n">
        <x:v>109.94822528573489</x:v>
      </x:c>
      <x:c r="E23" s="11" t="str">
        <x:f>IF(D23&gt;$L$4,"Outside radius",IF(D23&gt;=$L$4-2,"Boundary: verify base","Within radius"))</x:f>
        <x:v>Within radius</x:v>
      </x:c>
      <x:c r="F23" s="11" t="str">
        <x:f>IF(C23&gt;$L$4,"Over 120 road miles","Within 120 road miles")</x:f>
        <x:v>Over 120 road miles</x:v>
      </x:c>
      <x:c r="G23" s="11" t="str">
        <x:v>CUSTOM</x:v>
      </x:c>
      <x:c r="H23" s="11" t="str">
        <x:v>Weekly pig count not published. Custom listing; no federal inspection assumed.</x:v>
      </x:c>
      <x:c r="I23" s="11" t="str">
        <x:v>336-710-1130</x:v>
      </x:c>
      <x:c r="J23" s="11" t="str">
        <x:v>No company website confirmed</x:v>
      </x:c>
      <x:c r="K23" s="11" t="str">
        <x:v>Not individually named in reviewed Claude roster or prior Beebop 30</x:v>
      </x:c>
      <x:c r="L23" s="11" t="str">
        <x:v>September 18 state directory lists swine slaughter and matching facility contact.</x:v>
      </x:c>
      <x:c r="M23" s="11" t="str">
        <x:v>No tissue recovery, workspace, live-weight range or current pig throughput confirmed. Commercial specimen pathway also unresolved.</x:v>
      </x:c>
      <x:c r="N23" s="11" t="str">
        <x:v>https://www.ncagr.gov/divisions/meat-poultry-inspection/wplants/download?attachment=</x:v>
      </x:c>
      <x:c r="O23" s="11" t="str"/>
      <x:c r="P23" s="11" t="str">
        <x:v>997 Bryant Road, Mount Airy, NC 27030</x:v>
      </x:c>
      <x:c r="Q23" s="11" t="str">
        <x:v>https://geocoding.geo.census.gov/geocoder/locations/onelineaddress?address=997+Bryant+Road%2C+Mount+Airy%2C+NC+27030&amp;benchmark=Public_AR_Current&amp;format=json</x:v>
      </x:c>
      <x:c r="R23" s="11" t="str">
        <x:v>https://router.project-osrm.org/route/v1/driving/-78.899684,35.996069;-80.765146,36.515173?overview=false</x:v>
      </x:c>
    </x:row>
    <x:row r="24" ht="69" customHeight="1">
      <x:c r="A24" s="12" t="str">
        <x:v>SCR International</x:v>
      </x:c>
      <x:c r="B24" s="12" t="str">
        <x:v>Secondary inspected lead</x:v>
      </x:c>
      <x:c r="C24" s="16" t="n">
        <x:v>135.89487393621252</x:v>
      </x:c>
      <x:c r="D24" s="16" t="n">
        <x:v>109.10541880655421</x:v>
      </x:c>
      <x:c r="E24" s="12" t="str">
        <x:f>IF(D24&gt;$L$4,"Outside radius",IF(D24&gt;=$L$4-2,"Boundary: verify base","Within radius"))</x:f>
        <x:v>Within radius</x:v>
      </x:c>
      <x:c r="F24" s="12" t="str">
        <x:f>IF(C24&gt;$L$4,"Over 120 road miles","Within 120 road miles")</x:f>
        <x:v>Over 120 road miles</x:v>
      </x:c>
      <x:c r="G24" s="12" t="str">
        <x:v>TA-9199</x:v>
      </x:c>
      <x:c r="H24" s="12" t="str">
        <x:v>Weekly pig count not published. Current state directory corroborates establishment.</x:v>
      </x:c>
      <x:c r="I24" s="12" t="str">
        <x:v>910-628-8267</x:v>
      </x:c>
      <x:c r="J24" s="12" t="str">
        <x:v>No company website confirmed</x:v>
      </x:c>
      <x:c r="K24" s="12" t="str">
        <x:v>Claude Supplier Roster row 81; absent from prior Beebop 30</x:v>
      </x:c>
      <x:c r="L24" s="12" t="str">
        <x:v>September 18 state directory lists swine slaughter and matching facility contact.</x:v>
      </x:c>
      <x:c r="M24" s="12" t="str">
        <x:v>No tissue recovery, workspace, live-weight range or current pig throughput confirmed. Claude describes small roasters; 140–220 lb live suitability unconfirmed.</x:v>
      </x:c>
      <x:c r="N24" s="12" t="str">
        <x:v>https://www.ncagr.gov/divisions/meat-poultry-inspection/wplants/download?attachment=</x:v>
      </x:c>
      <x:c r="O24" s="12" t="str"/>
      <x:c r="P24" s="12" t="str">
        <x:v>266 Bethesda Church Road, Fairmont, NC 28340</x:v>
      </x:c>
      <x:c r="Q24" s="12" t="str">
        <x:v>https://geocoding.geo.census.gov/geocoder/locations/onelineaddress?address=266+Bethesda+Church+Road%2C+Fairmont%2C+NC+28340&amp;benchmark=Public_AR_Current&amp;format=json</x:v>
      </x:c>
      <x:c r="R24" s="12" t="str">
        <x:v>https://router.project-osrm.org/route/v1/driving/-78.899684,35.996069;-79.111681,34.426495?overview=false</x:v>
      </x:c>
    </x:row>
    <x:row r="25" ht="69" customHeight="1">
      <x:c r="A25" s="11" t="str">
        <x:v>White Store Processing</x:v>
      </x:c>
      <x:c r="B25" s="11" t="str">
        <x:v>Exploratory: custom-only</x:v>
      </x:c>
      <x:c r="C25" s="18" t="n">
        <x:v>137.85616996739043</x:v>
      </x:c>
      <x:c r="D25" s="18" t="n">
        <x:v>108.29621515957848</x:v>
      </x:c>
      <x:c r="E25" s="11" t="str">
        <x:f>IF(D25&gt;$L$4,"Outside radius",IF(D25&gt;=$L$4-2,"Boundary: verify base","Within radius"))</x:f>
        <x:v>Within radius</x:v>
      </x:c>
      <x:c r="F25" s="11" t="str">
        <x:f>IF(C25&gt;$L$4,"Over 120 road miles","Within 120 road miles")</x:f>
        <x:v>Over 120 road miles</x:v>
      </x:c>
      <x:c r="G25" s="11" t="str">
        <x:v>CUSTOM</x:v>
      </x:c>
      <x:c r="H25" s="11" t="str">
        <x:v>Weekly pig count not published. Custom listing; no federal inspection assumed.</x:v>
      </x:c>
      <x:c r="I25" s="11" t="str">
        <x:v>704-999-9764</x:v>
      </x:c>
      <x:c r="J25" s="11" t="str">
        <x:v>No company website confirmed</x:v>
      </x:c>
      <x:c r="K25" s="11" t="str">
        <x:v>Not individually named in reviewed Claude roster or prior Beebop 30</x:v>
      </x:c>
      <x:c r="L25" s="11" t="str">
        <x:v>September 18 state directory lists swine slaughter and matching facility contact.</x:v>
      </x:c>
      <x:c r="M25" s="11" t="str">
        <x:v>No tissue recovery, workspace, live-weight range or current pig throughput confirmed. Commercial specimen pathway also unresolved.</x:v>
      </x:c>
      <x:c r="N25" s="11" t="str">
        <x:v>https://www.ncagr.gov/divisions/meat-poultry-inspection/wplants/download?attachment=</x:v>
      </x:c>
      <x:c r="O25" s="11" t="str"/>
      <x:c r="P25" s="11" t="str">
        <x:v>5846 Union Church Road, Peachland, NC 28133</x:v>
      </x:c>
      <x:c r="Q25" s="11" t="str">
        <x:v>https://geocoding.geo.census.gov/geocoder/locations/onelineaddress?address=5846+Union+Church+Road%2C+Peachland%2C+NC+28133&amp;benchmark=Public_AR_Current&amp;format=json</x:v>
      </x:c>
      <x:c r="R25" s="11" t="str">
        <x:v>https://router.project-osrm.org/route/v1/driving/-78.899684,35.996069;-80.267486,34.893739?overview=false</x:v>
      </x:c>
    </x:row>
    <x:row r="26" ht="69" customHeight="1">
      <x:c r="A26" s="12" t="str">
        <x:v>Mino’s Fresh Meats #2</x:v>
      </x:c>
      <x:c r="B26" s="12" t="str">
        <x:v>Exploratory: custom-only</x:v>
      </x:c>
      <x:c r="C26" s="16" t="n">
        <x:v>123.56811222460829</x:v>
      </x:c>
      <x:c r="D26" s="16" t="n">
        <x:v>108.89138101693175</x:v>
      </x:c>
      <x:c r="E26" s="12" t="str">
        <x:f>IF(D26&gt;$L$4,"Outside radius",IF(D26&gt;=$L$4-2,"Boundary: verify base","Within radius"))</x:f>
        <x:v>Within radius</x:v>
      </x:c>
      <x:c r="F26" s="12" t="str">
        <x:f>IF(C26&gt;$L$4,"Over 120 road miles","Within 120 road miles")</x:f>
        <x:v>Over 120 road miles</x:v>
      </x:c>
      <x:c r="G26" s="12" t="str">
        <x:v>CUSTOM</x:v>
      </x:c>
      <x:c r="H26" s="12" t="str">
        <x:v>Weekly pig count not published. Custom listing; no federal inspection assumed.</x:v>
      </x:c>
      <x:c r="I26" s="12" t="str">
        <x:v>910-660-6337</x:v>
      </x:c>
      <x:c r="J26" s="12" t="str">
        <x:v>No company website confirmed</x:v>
      </x:c>
      <x:c r="K26" s="12" t="str">
        <x:v>Not individually named in reviewed Claude roster or prior Beebop 30</x:v>
      </x:c>
      <x:c r="L26" s="12" t="str">
        <x:v>September 18 state directory lists swine slaughter and matching facility contact.</x:v>
      </x:c>
      <x:c r="M26" s="12" t="str">
        <x:v>No tissue recovery, workspace, live-weight range or current pig throughput confirmed. Commercial specimen pathway also unresolved.</x:v>
      </x:c>
      <x:c r="N26" s="12" t="str">
        <x:v>https://www.ncagr.gov/divisions/meat-poultry-inspection/wplants/download?attachment=</x:v>
      </x:c>
      <x:c r="O26" s="12" t="str"/>
      <x:c r="P26" s="12" t="str">
        <x:v>709 Croomsbridge Road, Burgaw, NC 28425</x:v>
      </x:c>
      <x:c r="Q26" s="12" t="str">
        <x:v>https://geocoding.geo.census.gov/geocoder/locations/onelineaddress?address=709+Croomsbridge+Road%2C+Burgaw%2C+NC+28425&amp;benchmark=Public_AR_Current&amp;format=json</x:v>
      </x:c>
      <x:c r="R26" s="12" t="str">
        <x:v>https://router.project-osrm.org/route/v1/driving/-78.899684,35.996069;-77.909964,34.642658?overview=false</x:v>
      </x:c>
    </x:row>
    <x:row r="27" ht="69" customHeight="1">
      <x:c r="A27" s="11" t="str">
        <x:v>Clarkton Processing</x:v>
      </x:c>
      <x:c r="B27" s="11" t="str">
        <x:v>Exploratory: custom-only</x:v>
      </x:c>
      <x:c r="C27" s="18" t="n">
        <x:v>130.99486498846733</x:v>
      </x:c>
      <x:c r="D27" s="18" t="n">
        <x:v>104.90701050075933</x:v>
      </x:c>
      <x:c r="E27" s="11" t="str">
        <x:f>IF(D27&gt;$L$4,"Outside radius",IF(D27&gt;=$L$4-2,"Boundary: verify base","Within radius"))</x:f>
        <x:v>Within radius</x:v>
      </x:c>
      <x:c r="F27" s="11" t="str">
        <x:f>IF(C27&gt;$L$4,"Over 120 road miles","Within 120 road miles")</x:f>
        <x:v>Over 120 road miles</x:v>
      </x:c>
      <x:c r="G27" s="11" t="str">
        <x:v>CUSTOM</x:v>
      </x:c>
      <x:c r="H27" s="11" t="str">
        <x:v>Weekly pig count not published. Custom listing; no federal inspection assumed.</x:v>
      </x:c>
      <x:c r="I27" s="11" t="str">
        <x:v>919-218-1751</x:v>
      </x:c>
      <x:c r="J27" s="11" t="str">
        <x:v>No company website confirmed</x:v>
      </x:c>
      <x:c r="K27" s="11" t="str">
        <x:v>Not individually named in reviewed Claude roster or prior Beebop 30</x:v>
      </x:c>
      <x:c r="L27" s="11" t="str">
        <x:v>September 18 state directory lists swine slaughter and matching facility contact.</x:v>
      </x:c>
      <x:c r="M27" s="11" t="str">
        <x:v>No tissue recovery, workspace, live-weight range or current pig throughput confirmed. Commercial specimen pathway also unresolved.</x:v>
      </x:c>
      <x:c r="N27" s="11" t="str">
        <x:v>https://www.ncagr.gov/divisions/meat-poultry-inspection/wplants/download?attachment=</x:v>
      </x:c>
      <x:c r="O27" s="11" t="str"/>
      <x:c r="P27" s="11" t="str">
        <x:v>105 North Gooden Street, Clarkton, NC 28433</x:v>
      </x:c>
      <x:c r="Q27" s="11" t="str">
        <x:v>https://geocoding.geo.census.gov/geocoder/locations/onelineaddress?address=105+North+Gooden+Street%2C+Clarkton%2C+NC+28433&amp;benchmark=Public_AR_Current&amp;format=json</x:v>
      </x:c>
      <x:c r="R27" s="11" t="str">
        <x:v>https://router.project-osrm.org/route/v1/driving/-78.899684,35.996069;-78.659520,34.490454?overview=false</x:v>
      </x:c>
    </x:row>
    <x:row r="28" ht="69" customHeight="1">
      <x:c r="A28" s="12" t="str">
        <x:v>Carolina Biological Supply</x:v>
      </x:c>
      <x:c r="B28" s="12" t="str">
        <x:v>Referral only: tissue condition mismatch</x:v>
      </x:c>
      <x:c r="C28" s="16" t="n">
        <x:v>37.7131303189374</x:v>
      </x:c>
      <x:c r="D28" s="16" t="n">
        <x:v>33.73945153790145</x:v>
      </x:c>
      <x:c r="E28" s="12" t="str">
        <x:f>IF(D28&gt;$L$4,"Outside radius",IF(D28&gt;=$L$4-2,"Boundary: verify base","Within radius"))</x:f>
        <x:v>Within radius</x:v>
      </x:c>
      <x:c r="F28" s="12" t="str">
        <x:f>IF(C28&gt;$L$4,"Over 120 road miles","Within 120 road miles")</x:f>
        <x:v>Within 120 road miles</x:v>
      </x:c>
      <x:c r="G28" s="12" t="str">
        <x:v>Not a slaughterhouse</x:v>
      </x:c>
      <x:c r="H28" s="12" t="str">
        <x:v>No slaughter operation established. 37.7 road miles is the contact facility, not a collection site.</x:v>
      </x:c>
      <x:c r="I28" s="12" t="str">
        <x:v>800-334-5551</x:v>
      </x:c>
      <x:c r="J28" s="12" t="str">
        <x:v>https://www.carolina.com/</x:v>
      </x:c>
      <x:c r="K28" s="12" t="str">
        <x:v>Not named in reviewed national supplier tab</x:v>
      </x:c>
      <x:c r="L28" s="12" t="str">
        <x:v>Local education specimen supplier; catalogue emphasizes fixed/preserved specimens.</x:v>
      </x:c>
      <x:c r="M28" s="12" t="str">
        <x:v>No evidence of unfixed fresh 140–220 lb porcine blocks or on-site harvest access. Not counted as qualified fresh tissue supply.</x:v>
      </x:c>
      <x:c r="N28" s="12" t="str">
        <x:v>https://www.carolina.com/null/10748.ct</x:v>
      </x:c>
      <x:c r="O28" s="12" t="str">
        <x:v>https://www.carolina.com/null/10748.ct</x:v>
      </x:c>
      <x:c r="P28" s="12" t="str">
        <x:v>2700 York Road, Burlington, NC 27215</x:v>
      </x:c>
      <x:c r="Q28" s="12" t="str">
        <x:v>https://geocode.arcgis.com/arcgis/rest/services/World/GeocodeServer/findAddressCandidates?SingleLine=2700+York+Road%2C+Burlington%2C+NC+27215&amp;f=json&amp;outFields=Match_addr%2CAddr_type&amp;maxLocations=2</x:v>
      </x:c>
      <x:c r="R28" s="12" t="str">
        <x:v>https://router.project-osrm.org/route/v1/driving/-78.899684,35.996069;-79.488506,36.104783?overview=false</x:v>
      </x:c>
    </x:row>
    <x:row r="29" ht="69" customHeight="1">
      <x:c r="A29" s="11" t="str">
        <x:v>Kansas City Sausage / Coastal Protein</x:v>
      </x:c>
      <x:c r="B29" s="11" t="str">
        <x:v>HOLD: Godwin identity unresolved</x:v>
      </x:c>
      <x:c r="C29" s="18" t="n">
        <x:v>77.8747116837668</x:v>
      </x:c>
      <x:c r="D29" s="18" t="n">
        <x:v>59.89954284362201</x:v>
      </x:c>
      <x:c r="E29" s="11" t="str">
        <x:f>IF(D29&gt;$L$4,"Outside radius",IF(D29&gt;=$L$4-2,"Boundary: verify base","Within radius"))</x:f>
        <x:v>Within radius</x:v>
      </x:c>
      <x:c r="F29" s="11" t="str">
        <x:f>IF(C29&gt;$L$4,"Over 120 road miles","Within 120 road miles")</x:f>
        <x:v>Within 120 road miles</x:v>
      </x:c>
      <x:c r="G29" s="11" t="str">
        <x:v>Unresolved</x:v>
      </x:c>
      <x:c r="H29" s="11" t="str">
        <x:v>Current slaughter grant not established. Claude’s inactive M760A is an Altoona, Iowa establishment, not proof of a North Carolina closure.</x:v>
      </x:c>
      <x:c r="I29" s="11" t="str">
        <x:v>Not confirmed</x:v>
      </x:c>
      <x:c r="J29" s="11" t="str">
        <x:v>https://www.ncmpa.com/associate-members/</x:v>
      </x:c>
      <x:c r="K29" s="11" t="str">
        <x:v>Claude rows 26 and 122; not in prior Beebop 30</x:v>
      </x:c>
      <x:c r="L29" s="11" t="str">
        <x:v>Federal motor-carrier record and trade association retain Godwin name/address signals; neither proves current slaughter.</x:v>
      </x:c>
      <x:c r="M29" s="11" t="str">
        <x:v>No reactivation claimed. Godwin operation needs site-specific inspection identity; older sow throughput claims are not used.</x:v>
      </x:c>
      <x:c r="N29" s="11" t="str">
        <x:v>https://safer.fmcsa.dot.gov/query.asp?original_query_param=NAME&amp;original_query_string=COASTAL+PROTEIN&amp;query_param=USDOT&amp;query_string=2484052&amp;query_type=queryCarrierSnapshot&amp;searchtype=ANY</x:v>
      </x:c>
      <x:c r="O29" s="11" t="str">
        <x:v>https://safer.fmcsa.dot.gov/query.asp?original_query_param=NAME&amp;original_query_string=COASTAL+PROTEIN&amp;query_param=USDOT&amp;query_string=2484052&amp;query_type=queryCarrierSnapshot&amp;searchtype=ANY</x:v>
      </x:c>
      <x:c r="P29" s="11" t="str">
        <x:v>1600 Martin Road, Godwin, NC 28344</x:v>
      </x:c>
      <x:c r="Q29" s="11" t="str">
        <x:v>https://geocoding.geo.census.gov/geocoder/locations/onelineaddress?address=1600+Martin+Road%2C+Godwin%2C+NC+28344&amp;benchmark=Public_AR_Current&amp;format=json</x:v>
      </x:c>
      <x:c r="R29" s="11" t="str">
        <x:v>https://router.project-osrm.org/route/v1/driving/-78.899684,35.996069;-78.629184,35.157513?overview=false</x:v>
      </x:c>
    </x:row>
    <x:row r="30" ht="69" customHeight="1">
      <x:c r="A30" s="12" t="str">
        <x:v>Smithfield Tar Heel</x:v>
      </x:c>
      <x:c r="B30" s="12" t="str">
        <x:v>Industrial alternative via BioScience</x:v>
      </x:c>
      <x:c r="C30" s="16" t="n">
        <x:v>108.87218643124154</x:v>
      </x:c>
      <x:c r="D30" s="16" t="n">
        <x:v>86.29244142320776</x:v>
      </x:c>
      <x:c r="E30" s="12" t="str">
        <x:f>IF(D30&gt;$L$4,"Outside radius",IF(D30&gt;=$L$4-2,"Boundary: verify base","Within radius"))</x:f>
        <x:v>Within radius</x:v>
      </x:c>
      <x:c r="F30" s="12" t="str">
        <x:f>IF(C30&gt;$L$4,"Over 120 road miles","Within 120 road miles")</x:f>
        <x:v>Within 120 road miles</x:v>
      </x:c>
      <x:c r="G30" s="12" t="str">
        <x:v>M18079</x:v>
      </x:c>
      <x:c r="H30" s="12" t="str">
        <x:v>M18079 is Claude’s plant identity; not freshly independently revalidated.</x:v>
      </x:c>
      <x:c r="I30" s="12" t="str">
        <x:v>Not confirmed</x:v>
      </x:c>
      <x:c r="J30" s="12" t="str">
        <x:v>https://www.smithfieldbioscience.com/products/porcine/</x:v>
      </x:c>
      <x:c r="K30" s="12" t="str">
        <x:v>Claude row 25; absent from prior Beebop 30</x:v>
      </x:c>
      <x:c r="L30" s="12" t="str">
        <x:v>Geographically local industrial plant; Smithfield BioScience separately markets custom fresh/frozen porcine tissues.</x:v>
      </x:c>
      <x:c r="M30" s="12" t="str">
        <x:v>No evidence that this specific plant supplies the requested blocks or admits an outside crew. Exact weekly kill not rechecked. Route to plant is not proof of local tissue availability.</x:v>
      </x:c>
      <x:c r="N30" s="12" t="str">
        <x:v>https://www.smithfieldbioscience.com/contact-us/</x:v>
      </x:c>
      <x:c r="O30" s="12" t="str">
        <x:v>https://www.smithfieldbioscience.com/contact-us/</x:v>
      </x:c>
      <x:c r="P30" s="12" t="str">
        <x:v>15855 NC Highway 87 West, Tar Heel, NC 28392</x:v>
      </x:c>
      <x:c r="Q30" s="12" t="str">
        <x:v>https://geocoding.geo.census.gov/geocoder/locations/onelineaddress?address=15855+NC+Highway+87+West%2C+Tar+Heel%2C+NC+28392&amp;benchmark=Public_AR_Current&amp;format=json</x:v>
      </x:c>
      <x:c r="R30" s="12" t="str">
        <x:v>https://router.project-osrm.org/route/v1/driving/-78.899684,35.996069;-78.802723,34.749649?overview=false</x:v>
      </x:c>
    </x:row>
  </x:sheetData>
  <x:conditionalFormatting sqref="E8:F30">
    <x:cfRule type="containsText" dxfId="1" priority="1" operator="containsText" text="Outside"/>
    <x:cfRule type="containsText" dxfId="2" priority="2" operator="containsText" text="Boundary"/>
  </x:conditionalFormatting>
  <x:pageMargins left="0.7" right="0.7" top="0.75" bottom="0.75" header="0.3" footer="0.3"/>
  <x:tableParts count="1">
    <x:tablePart xmlns:r="http://schemas.openxmlformats.org/officeDocument/2006/relationships" r:id="R704c37cfd343420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2" hidden="0" customWidth="1"/>
    <x:col min="2" max="2" width="35" hidden="0" customWidth="1"/>
    <x:col min="3" max="3" width="63" hidden="0" customWidth="1"/>
    <x:col min="4" max="4" width="63" hidden="0" customWidth="1"/>
    <x:col min="5" max="5" width="66" hidden="0" customWidth="1"/>
    <x:col min="6" max="6" width="28" hidden="0" customWidth="1"/>
    <x:col min="7" max="7" width="49" hidden="0" customWidth="1"/>
    <x:col min="8" max="8" width="58" hidden="0" customWidth="1"/>
    <x:col min="9" max="9" width="31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2" customHeight="1">
      <x:c r="A2" s="4" t="str">
        <x:v>Other tissue providers</x:v>
      </x:c>
      <x:c r="B2" s="5"/>
      <x:c r="C2" s="5"/>
      <x:c r="D2" s="5"/>
      <x:c r="E2" s="5"/>
      <x:c r="F2" s="5"/>
      <x:c r="G2" s="5"/>
      <x:c r="H2" s="5"/>
      <x:c r="I2" s="5"/>
    </x:row>
    <x:row r="3" ht="22" customHeight="1">
      <x:c r="A3" s="6" t="str">
        <x:v>Direct tissue capability and local collection geography are separate requirements.</x:v>
      </x:c>
      <x:c r="B3" s="2"/>
      <x:c r="C3" s="2"/>
      <x:c r="D3" s="2"/>
      <x:c r="E3" s="2"/>
      <x:c r="F3" s="2"/>
      <x:c r="G3" s="2"/>
      <x:c r="H3" s="2"/>
      <x:c r="I3" s="2"/>
    </x:row>
    <x:row r="4" ht="22" customHeight="1">
      <x:c r="A4" s="6" t="str">
        <x:v>Checked September 28, 2026, including Claude’s concurrent update. Unknown means unconfirmed, not zero.</x:v>
      </x:c>
      <x:c r="B4" s="2"/>
      <x:c r="C4" s="2"/>
      <x:c r="D4" s="2"/>
      <x:c r="E4" s="2"/>
      <x:c r="F4" s="2"/>
      <x:c r="G4" s="2"/>
      <x:c r="H4" s="2"/>
      <x:c r="I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38" customHeight="1">
      <x:c r="A7" s="10" t="str">
        <x:v>Provider</x:v>
      </x:c>
      <x:c r="B7" s="10" t="str">
        <x:v>Disposition</x:v>
      </x:c>
      <x:c r="C7" s="10" t="str">
        <x:v>Documented offering</x:v>
      </x:c>
      <x:c r="D7" s="10" t="str">
        <x:v>Collection geography</x:v>
      </x:c>
      <x:c r="E7" s="10" t="str">
        <x:v>Unconfirmed details</x:v>
      </x:c>
      <x:c r="F7" s="10" t="str">
        <x:v>Phone</x:v>
      </x:c>
      <x:c r="G7" s="10" t="str">
        <x:v>Website</x:v>
      </x:c>
      <x:c r="H7" s="10" t="str">
        <x:v>Source 2</x:v>
      </x:c>
      <x:c r="I7" s="10" t="str">
        <x:v>Claude location</x:v>
      </x:c>
    </x:row>
    <x:row r="8" ht="55.5" customHeight="1">
      <x:c r="A8" s="12" t="str">
        <x:v>Smithfield BioScience</x:v>
      </x:c>
      <x:c r="B8" s="12" t="str">
        <x:v>Conditional local sourcing channel</x:v>
      </x:c>
      <x:c r="C8" s="12" t="str">
        <x:v>Custom fresh/frozen porcine organs from market hogs or sows; trained collection specialists.</x:v>
      </x:c>
      <x:c r="D8" s="12" t="str">
        <x:v>Collection site within 120 miles of Durham not confirmed. Local Smithfield plants do not by themselves prove this service.</x:v>
      </x:c>
      <x:c r="E8" s="12" t="str">
        <x:v>Named harvest plant, 140–220 lb live animals, intact blocks, collection timing, inspector access, price and volume.</x:v>
      </x:c>
      <x:c r="F8" s="12" t="str">
        <x:v>800-437-2746</x:v>
      </x:c>
      <x:c r="G8" s="12" t="str">
        <x:v>https://www.smithfieldbioscience.com/products/porcine/</x:v>
      </x:c>
      <x:c r="H8" s="12" t="str">
        <x:v>https://www.smithfieldbioscience.com/contact-us/</x:v>
      </x:c>
      <x:c r="I8" s="12" t="str">
        <x:v>National Direct Suppliers row 10</x:v>
      </x:c>
    </x:row>
    <x:row r="9" ht="45" customHeight="1">
      <x:c r="A9" s="11" t="str">
        <x:v>Animal Biotech Industries</x:v>
      </x:c>
      <x:c r="B9" s="11" t="str">
        <x:v>Out-of-area technical and price benchmark</x:v>
      </x:c>
      <x:c r="C9" s="11" t="str">
        <x:v>Porcine organs, custom blocks and cannulation; own site places tissue processing in Pennsylvania.</x:v>
      </x:c>
      <x:c r="D9" s="11" t="str">
        <x:v>Outside required local footprint; no Durham-radius harvest site established.</x:v>
      </x:c>
      <x:c r="E9" s="11" t="str">
        <x:v>Source abattoir, acceptable shipment condition and specimen quote. Not a local replacement.</x:v>
      </x:c>
      <x:c r="F9" s="11" t="str">
        <x:v>215-766-7413</x:v>
      </x:c>
      <x:c r="G9" s="11" t="str">
        <x:v>https://animalbiotech.com/</x:v>
      </x:c>
      <x:c r="H9" s="11" t="str">
        <x:v>https://animalbiotech.com/industries-we-serve/medical-device-development/</x:v>
      </x:c>
      <x:c r="I9" s="11" t="str">
        <x:v>National Direct Suppliers row 6</x:v>
      </x:c>
    </x:row>
    <x:row r="10" ht="55.5" customHeight="1">
      <x:c r="A10" s="12" t="str">
        <x:v>Sustainable Swine Resources</x:v>
      </x:c>
      <x:c r="B10" s="12" t="str">
        <x:v>Out-of-area technical and price benchmark</x:v>
      </x:c>
      <x:c r="C10" s="12" t="str">
        <x:v>Company supports custom porcine materials and detailed specimen specifications.</x:v>
      </x:c>
      <x:c r="D10" s="12" t="str">
        <x:v>No Durham-radius collection operation established; Claude locates Johnsonville program in Wisconsin.</x:v>
      </x:c>
      <x:c r="E10" s="12" t="str">
        <x:v>Local collection site, live-weight mix, fresh block availability and commercial terms.</x:v>
      </x:c>
      <x:c r="F10" s="12" t="str">
        <x:v>Not confirmed in this pass; company contact page</x:v>
      </x:c>
      <x:c r="G10" s="12" t="str">
        <x:v>https://ssr-solutions.com/</x:v>
      </x:c>
      <x:c r="H10" s="12" t="str">
        <x:v>https://ssr-solutions.com/porcine/custom-porcine-tissue-specifications-how-to-order-the-right-material-for-your-study/</x:v>
      </x:c>
      <x:c r="I10" s="12" t="str">
        <x:v>National Direct Suppliers row 9</x:v>
      </x:c>
    </x:row>
    <x:row r="11" ht="45" customHeight="1">
      <x:c r="A11" s="11" t="str">
        <x:v>Carolina Biological Supply</x:v>
      </x:c>
      <x:c r="B11" s="11" t="str">
        <x:v>Referral only for this fresh-tissue project</x:v>
      </x:c>
      <x:c r="C11" s="11" t="str">
        <x:v>Local educational specimen business. Published catalogue emphasizes fixed/preserved material.</x:v>
      </x:c>
      <x:c r="D11" s="11" t="str">
        <x:v>Burlington contact facility 37.7 road / 33.7 radial miles. Slaughter or collection site unknown.</x:v>
      </x:c>
      <x:c r="E11" s="11" t="str">
        <x:v>Unfixed fresh organ or block supply not established; chemical preservation may be incompatible with intended models.</x:v>
      </x:c>
      <x:c r="F11" s="11" t="str">
        <x:v>800-334-5551</x:v>
      </x:c>
      <x:c r="G11" s="11" t="str">
        <x:v>https://www.carolina.com/</x:v>
      </x:c>
      <x:c r="H11" s="11" t="str">
        <x:v>https://www.carolina.com/null/10748.ct</x:v>
      </x:c>
      <x:c r="I11" s="11" t="str">
        <x:v>Not named in reviewed national supplier tab</x:v>
      </x:c>
    </x:row>
  </x:sheetData>
  <x:pageMargins left="0.7" right="0.7" top="0.75" bottom="0.75" header="0.3" footer="0.3"/>
  <x:tableParts count="1">
    <x:tablePart xmlns:r="http://schemas.openxmlformats.org/officeDocument/2006/relationships" r:id="R58bec7a11d83442d"/>
  </x:tableParts>
</x:worksheet>
</file>